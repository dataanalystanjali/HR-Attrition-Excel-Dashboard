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C:\Users\Piyush\Downloads\"/>
    </mc:Choice>
  </mc:AlternateContent>
  <xr:revisionPtr revIDLastSave="0" documentId="13_ncr:1_{9F73114B-28EC-4B06-B3F9-AF6BD772B00A}" xr6:coauthVersionLast="47" xr6:coauthVersionMax="47" xr10:uidLastSave="{00000000-0000-0000-0000-000000000000}"/>
  <bookViews>
    <workbookView xWindow="-108" yWindow="-108" windowWidth="23256" windowHeight="12456" tabRatio="545" xr2:uid="{00000000-000D-0000-FFFF-FFFF00000000}"/>
  </bookViews>
  <sheets>
    <sheet name="Dashboard" sheetId="2" r:id="rId1"/>
    <sheet name="Raw data" sheetId="1" r:id="rId2"/>
    <sheet name="Pivot Data" sheetId="3" r:id="rId3"/>
  </sheets>
  <definedNames>
    <definedName name="_xlnm._FilterDatabase" localSheetId="1" hidden="1">'Raw data'!$K$1:$K$1501</definedName>
    <definedName name="Slicer_Category">#N/A</definedName>
    <definedName name="Slicer_Region">#N/A</definedName>
    <definedName name="Slicer_Salesperson">#N/A</definedName>
  </definedNames>
  <calcPr calcId="191028"/>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 i="1" l="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Y2" i="1"/>
  <c r="T33" i="2"/>
  <c r="S34" i="2"/>
  <c r="S33" i="2"/>
  <c r="D4" i="3"/>
  <c r="S39" i="2" s="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J26" i="2"/>
  <c r="I26" i="2"/>
  <c r="H26" i="2"/>
  <c r="T28" i="2" s="1"/>
  <c r="D2" i="1"/>
  <c r="E2" i="1" s="1"/>
  <c r="F2" i="1" s="1"/>
  <c r="D3" i="1"/>
  <c r="E3" i="1" s="1"/>
  <c r="F3" i="1" s="1"/>
  <c r="D4" i="1"/>
  <c r="E4" i="1" s="1"/>
  <c r="F4" i="1" s="1"/>
  <c r="D5" i="1"/>
  <c r="E5" i="1" s="1"/>
  <c r="F5" i="1" s="1"/>
  <c r="D6" i="1"/>
  <c r="E6" i="1" s="1"/>
  <c r="F6" i="1" s="1"/>
  <c r="D7" i="1"/>
  <c r="E7" i="1" s="1"/>
  <c r="F7" i="1" s="1"/>
  <c r="D8" i="1"/>
  <c r="E8" i="1" s="1"/>
  <c r="F8" i="1" s="1"/>
  <c r="D9" i="1"/>
  <c r="E9" i="1" s="1"/>
  <c r="F9" i="1" s="1"/>
  <c r="D10" i="1"/>
  <c r="E10" i="1" s="1"/>
  <c r="F10" i="1" s="1"/>
  <c r="D11" i="1"/>
  <c r="E11" i="1" s="1"/>
  <c r="F11" i="1" s="1"/>
  <c r="D12" i="1"/>
  <c r="E12" i="1" s="1"/>
  <c r="F12" i="1" s="1"/>
  <c r="D13" i="1"/>
  <c r="E13" i="1" s="1"/>
  <c r="F13" i="1" s="1"/>
  <c r="D14" i="1"/>
  <c r="E14" i="1" s="1"/>
  <c r="F14" i="1" s="1"/>
  <c r="D15" i="1"/>
  <c r="E15" i="1" s="1"/>
  <c r="F15" i="1" s="1"/>
  <c r="D16" i="1"/>
  <c r="E16" i="1" s="1"/>
  <c r="F16" i="1" s="1"/>
  <c r="D17" i="1"/>
  <c r="E17" i="1" s="1"/>
  <c r="F17" i="1" s="1"/>
  <c r="D18" i="1"/>
  <c r="E18" i="1" s="1"/>
  <c r="F18" i="1" s="1"/>
  <c r="D19" i="1"/>
  <c r="E19" i="1" s="1"/>
  <c r="F19" i="1" s="1"/>
  <c r="D20" i="1"/>
  <c r="E20" i="1" s="1"/>
  <c r="F20" i="1" s="1"/>
  <c r="D21" i="1"/>
  <c r="E21" i="1" s="1"/>
  <c r="F21" i="1" s="1"/>
  <c r="D22" i="1"/>
  <c r="E22" i="1" s="1"/>
  <c r="F22" i="1" s="1"/>
  <c r="D23" i="1"/>
  <c r="E23" i="1" s="1"/>
  <c r="F23" i="1" s="1"/>
  <c r="D24" i="1"/>
  <c r="E24" i="1" s="1"/>
  <c r="F24" i="1" s="1"/>
  <c r="D25" i="1"/>
  <c r="E25" i="1" s="1"/>
  <c r="F25" i="1" s="1"/>
  <c r="D26" i="1"/>
  <c r="E26" i="1" s="1"/>
  <c r="F26" i="1" s="1"/>
  <c r="D27" i="1"/>
  <c r="E27" i="1" s="1"/>
  <c r="F27" i="1" s="1"/>
  <c r="D28" i="1"/>
  <c r="E28" i="1" s="1"/>
  <c r="F28" i="1" s="1"/>
  <c r="D29" i="1"/>
  <c r="E29" i="1" s="1"/>
  <c r="F29" i="1" s="1"/>
  <c r="D30" i="1"/>
  <c r="E30" i="1" s="1"/>
  <c r="F30" i="1" s="1"/>
  <c r="D31" i="1"/>
  <c r="E31" i="1" s="1"/>
  <c r="F31" i="1" s="1"/>
  <c r="D32" i="1"/>
  <c r="E32" i="1" s="1"/>
  <c r="F32" i="1" s="1"/>
  <c r="D33" i="1"/>
  <c r="E33" i="1" s="1"/>
  <c r="F33" i="1" s="1"/>
  <c r="D34" i="1"/>
  <c r="E34" i="1" s="1"/>
  <c r="F34" i="1" s="1"/>
  <c r="D35" i="1"/>
  <c r="E35" i="1" s="1"/>
  <c r="F35" i="1" s="1"/>
  <c r="D36" i="1"/>
  <c r="E36" i="1" s="1"/>
  <c r="F36" i="1" s="1"/>
  <c r="D37" i="1"/>
  <c r="E37" i="1" s="1"/>
  <c r="F37" i="1" s="1"/>
  <c r="D38" i="1"/>
  <c r="E38" i="1" s="1"/>
  <c r="F38" i="1" s="1"/>
  <c r="D39" i="1"/>
  <c r="E39" i="1" s="1"/>
  <c r="F39" i="1" s="1"/>
  <c r="D40" i="1"/>
  <c r="E40" i="1" s="1"/>
  <c r="F40" i="1" s="1"/>
  <c r="D41" i="1"/>
  <c r="E41" i="1" s="1"/>
  <c r="F41" i="1" s="1"/>
  <c r="D42" i="1"/>
  <c r="E42" i="1" s="1"/>
  <c r="F42" i="1" s="1"/>
  <c r="D43" i="1"/>
  <c r="E43" i="1" s="1"/>
  <c r="F43" i="1" s="1"/>
  <c r="D44" i="1"/>
  <c r="E44" i="1" s="1"/>
  <c r="F44" i="1" s="1"/>
  <c r="D45" i="1"/>
  <c r="E45" i="1" s="1"/>
  <c r="F45" i="1" s="1"/>
  <c r="D46" i="1"/>
  <c r="E46" i="1" s="1"/>
  <c r="F46" i="1" s="1"/>
  <c r="D47" i="1"/>
  <c r="E47" i="1" s="1"/>
  <c r="F47" i="1" s="1"/>
  <c r="D48" i="1"/>
  <c r="E48" i="1" s="1"/>
  <c r="F48" i="1" s="1"/>
  <c r="D49" i="1"/>
  <c r="E49" i="1" s="1"/>
  <c r="F49" i="1" s="1"/>
  <c r="D50" i="1"/>
  <c r="E50" i="1" s="1"/>
  <c r="F50" i="1" s="1"/>
  <c r="D51" i="1"/>
  <c r="E51" i="1" s="1"/>
  <c r="F51" i="1" s="1"/>
  <c r="D52" i="1"/>
  <c r="E52" i="1" s="1"/>
  <c r="F52" i="1" s="1"/>
  <c r="D53" i="1"/>
  <c r="E53" i="1" s="1"/>
  <c r="F53" i="1" s="1"/>
  <c r="D54" i="1"/>
  <c r="E54" i="1" s="1"/>
  <c r="F54" i="1" s="1"/>
  <c r="D55" i="1"/>
  <c r="E55" i="1" s="1"/>
  <c r="F55" i="1" s="1"/>
  <c r="D56" i="1"/>
  <c r="E56" i="1" s="1"/>
  <c r="F56" i="1" s="1"/>
  <c r="D57" i="1"/>
  <c r="E57" i="1" s="1"/>
  <c r="F57" i="1" s="1"/>
  <c r="D58" i="1"/>
  <c r="E58" i="1" s="1"/>
  <c r="F58" i="1" s="1"/>
  <c r="D59" i="1"/>
  <c r="E59" i="1" s="1"/>
  <c r="F59" i="1" s="1"/>
  <c r="D60" i="1"/>
  <c r="E60" i="1" s="1"/>
  <c r="F60" i="1" s="1"/>
  <c r="D61" i="1"/>
  <c r="E61" i="1" s="1"/>
  <c r="F61" i="1" s="1"/>
  <c r="D62" i="1"/>
  <c r="E62" i="1" s="1"/>
  <c r="F62" i="1" s="1"/>
  <c r="D63" i="1"/>
  <c r="E63" i="1" s="1"/>
  <c r="F63" i="1" s="1"/>
  <c r="D64" i="1"/>
  <c r="E64" i="1" s="1"/>
  <c r="F64" i="1" s="1"/>
  <c r="D65" i="1"/>
  <c r="E65" i="1" s="1"/>
  <c r="F65" i="1" s="1"/>
  <c r="D66" i="1"/>
  <c r="E66" i="1" s="1"/>
  <c r="F66" i="1" s="1"/>
  <c r="D67" i="1"/>
  <c r="E67" i="1" s="1"/>
  <c r="F67" i="1" s="1"/>
  <c r="D68" i="1"/>
  <c r="E68" i="1" s="1"/>
  <c r="F68" i="1" s="1"/>
  <c r="D69" i="1"/>
  <c r="E69" i="1" s="1"/>
  <c r="F69" i="1" s="1"/>
  <c r="D70" i="1"/>
  <c r="E70" i="1" s="1"/>
  <c r="F70" i="1" s="1"/>
  <c r="D71" i="1"/>
  <c r="E71" i="1" s="1"/>
  <c r="F71" i="1" s="1"/>
  <c r="D72" i="1"/>
  <c r="E72" i="1" s="1"/>
  <c r="F72" i="1" s="1"/>
  <c r="D73" i="1"/>
  <c r="E73" i="1" s="1"/>
  <c r="F73" i="1" s="1"/>
  <c r="D74" i="1"/>
  <c r="E74" i="1" s="1"/>
  <c r="F74" i="1" s="1"/>
  <c r="D75" i="1"/>
  <c r="E75" i="1" s="1"/>
  <c r="F75" i="1" s="1"/>
  <c r="D76" i="1"/>
  <c r="E76" i="1" s="1"/>
  <c r="F76" i="1" s="1"/>
  <c r="D77" i="1"/>
  <c r="E77" i="1" s="1"/>
  <c r="F77" i="1" s="1"/>
  <c r="D78" i="1"/>
  <c r="E78" i="1" s="1"/>
  <c r="F78" i="1" s="1"/>
  <c r="D79" i="1"/>
  <c r="E79" i="1" s="1"/>
  <c r="F79" i="1" s="1"/>
  <c r="D80" i="1"/>
  <c r="E80" i="1" s="1"/>
  <c r="F80" i="1" s="1"/>
  <c r="D81" i="1"/>
  <c r="E81" i="1" s="1"/>
  <c r="F81" i="1" s="1"/>
  <c r="D82" i="1"/>
  <c r="E82" i="1" s="1"/>
  <c r="F82" i="1" s="1"/>
  <c r="D83" i="1"/>
  <c r="E83" i="1" s="1"/>
  <c r="F83" i="1" s="1"/>
  <c r="D84" i="1"/>
  <c r="E84" i="1" s="1"/>
  <c r="F84" i="1" s="1"/>
  <c r="D85" i="1"/>
  <c r="E85" i="1" s="1"/>
  <c r="F85" i="1" s="1"/>
  <c r="D86" i="1"/>
  <c r="E86" i="1" s="1"/>
  <c r="F86" i="1" s="1"/>
  <c r="D87" i="1"/>
  <c r="E87" i="1" s="1"/>
  <c r="F87" i="1" s="1"/>
  <c r="D88" i="1"/>
  <c r="E88" i="1" s="1"/>
  <c r="F88" i="1" s="1"/>
  <c r="D89" i="1"/>
  <c r="E89" i="1" s="1"/>
  <c r="F89" i="1" s="1"/>
  <c r="D90" i="1"/>
  <c r="E90" i="1" s="1"/>
  <c r="F90" i="1" s="1"/>
  <c r="D91" i="1"/>
  <c r="E91" i="1" s="1"/>
  <c r="F91" i="1" s="1"/>
  <c r="D92" i="1"/>
  <c r="E92" i="1" s="1"/>
  <c r="F92" i="1" s="1"/>
  <c r="D93" i="1"/>
  <c r="E93" i="1" s="1"/>
  <c r="F93" i="1" s="1"/>
  <c r="D94" i="1"/>
  <c r="E94" i="1" s="1"/>
  <c r="F94" i="1" s="1"/>
  <c r="D95" i="1"/>
  <c r="E95" i="1" s="1"/>
  <c r="F95" i="1" s="1"/>
  <c r="D96" i="1"/>
  <c r="E96" i="1" s="1"/>
  <c r="F96" i="1" s="1"/>
  <c r="D97" i="1"/>
  <c r="E97" i="1" s="1"/>
  <c r="F97" i="1" s="1"/>
  <c r="D98" i="1"/>
  <c r="E98" i="1" s="1"/>
  <c r="F98" i="1" s="1"/>
  <c r="D99" i="1"/>
  <c r="E99" i="1" s="1"/>
  <c r="F99" i="1" s="1"/>
  <c r="D100" i="1"/>
  <c r="E100" i="1" s="1"/>
  <c r="F100" i="1" s="1"/>
  <c r="D101" i="1"/>
  <c r="E101" i="1" s="1"/>
  <c r="F101" i="1" s="1"/>
  <c r="D102" i="1"/>
  <c r="E102" i="1" s="1"/>
  <c r="F102" i="1" s="1"/>
  <c r="D103" i="1"/>
  <c r="E103" i="1" s="1"/>
  <c r="F103" i="1" s="1"/>
  <c r="D104" i="1"/>
  <c r="E104" i="1" s="1"/>
  <c r="F104" i="1" s="1"/>
  <c r="D105" i="1"/>
  <c r="E105" i="1" s="1"/>
  <c r="F105" i="1" s="1"/>
  <c r="D106" i="1"/>
  <c r="E106" i="1" s="1"/>
  <c r="F106" i="1" s="1"/>
  <c r="D107" i="1"/>
  <c r="E107" i="1" s="1"/>
  <c r="F107" i="1" s="1"/>
  <c r="D108" i="1"/>
  <c r="E108" i="1" s="1"/>
  <c r="F108" i="1" s="1"/>
  <c r="D109" i="1"/>
  <c r="E109" i="1" s="1"/>
  <c r="F109" i="1" s="1"/>
  <c r="D110" i="1"/>
  <c r="E110" i="1" s="1"/>
  <c r="F110" i="1" s="1"/>
  <c r="D111" i="1"/>
  <c r="E111" i="1" s="1"/>
  <c r="F111" i="1" s="1"/>
  <c r="D112" i="1"/>
  <c r="E112" i="1" s="1"/>
  <c r="F112" i="1" s="1"/>
  <c r="D113" i="1"/>
  <c r="E113" i="1" s="1"/>
  <c r="F113" i="1" s="1"/>
  <c r="D114" i="1"/>
  <c r="E114" i="1" s="1"/>
  <c r="F114" i="1" s="1"/>
  <c r="D115" i="1"/>
  <c r="E115" i="1" s="1"/>
  <c r="F115" i="1" s="1"/>
  <c r="D116" i="1"/>
  <c r="E116" i="1" s="1"/>
  <c r="F116" i="1" s="1"/>
  <c r="D117" i="1"/>
  <c r="E117" i="1" s="1"/>
  <c r="F117" i="1" s="1"/>
  <c r="D118" i="1"/>
  <c r="E118" i="1" s="1"/>
  <c r="F118" i="1" s="1"/>
  <c r="D119" i="1"/>
  <c r="E119" i="1" s="1"/>
  <c r="F119" i="1" s="1"/>
  <c r="D120" i="1"/>
  <c r="E120" i="1" s="1"/>
  <c r="F120" i="1" s="1"/>
  <c r="D121" i="1"/>
  <c r="E121" i="1" s="1"/>
  <c r="F121" i="1" s="1"/>
  <c r="D122" i="1"/>
  <c r="E122" i="1" s="1"/>
  <c r="F122" i="1" s="1"/>
  <c r="D123" i="1"/>
  <c r="E123" i="1" s="1"/>
  <c r="F123" i="1" s="1"/>
  <c r="D124" i="1"/>
  <c r="E124" i="1" s="1"/>
  <c r="F124" i="1" s="1"/>
  <c r="D125" i="1"/>
  <c r="E125" i="1" s="1"/>
  <c r="F125" i="1" s="1"/>
  <c r="D126" i="1"/>
  <c r="E126" i="1" s="1"/>
  <c r="F126" i="1" s="1"/>
  <c r="D127" i="1"/>
  <c r="E127" i="1" s="1"/>
  <c r="F127" i="1" s="1"/>
  <c r="D128" i="1"/>
  <c r="E128" i="1" s="1"/>
  <c r="F128" i="1" s="1"/>
  <c r="D129" i="1"/>
  <c r="E129" i="1" s="1"/>
  <c r="F129" i="1" s="1"/>
  <c r="D130" i="1"/>
  <c r="E130" i="1" s="1"/>
  <c r="F130" i="1" s="1"/>
  <c r="D131" i="1"/>
  <c r="E131" i="1" s="1"/>
  <c r="F131" i="1" s="1"/>
  <c r="D132" i="1"/>
  <c r="E132" i="1" s="1"/>
  <c r="F132" i="1" s="1"/>
  <c r="D133" i="1"/>
  <c r="E133" i="1" s="1"/>
  <c r="F133" i="1" s="1"/>
  <c r="D134" i="1"/>
  <c r="E134" i="1" s="1"/>
  <c r="F134" i="1" s="1"/>
  <c r="D135" i="1"/>
  <c r="E135" i="1" s="1"/>
  <c r="F135" i="1" s="1"/>
  <c r="D136" i="1"/>
  <c r="E136" i="1" s="1"/>
  <c r="F136" i="1" s="1"/>
  <c r="D137" i="1"/>
  <c r="E137" i="1" s="1"/>
  <c r="F137" i="1" s="1"/>
  <c r="D138" i="1"/>
  <c r="E138" i="1" s="1"/>
  <c r="F138" i="1" s="1"/>
  <c r="D139" i="1"/>
  <c r="E139" i="1" s="1"/>
  <c r="F139" i="1" s="1"/>
  <c r="D140" i="1"/>
  <c r="E140" i="1" s="1"/>
  <c r="F140" i="1" s="1"/>
  <c r="D141" i="1"/>
  <c r="E141" i="1" s="1"/>
  <c r="F141" i="1" s="1"/>
  <c r="D142" i="1"/>
  <c r="E142" i="1" s="1"/>
  <c r="F142" i="1" s="1"/>
  <c r="D143" i="1"/>
  <c r="E143" i="1" s="1"/>
  <c r="F143" i="1" s="1"/>
  <c r="D144" i="1"/>
  <c r="E144" i="1" s="1"/>
  <c r="F144" i="1" s="1"/>
  <c r="D145" i="1"/>
  <c r="E145" i="1" s="1"/>
  <c r="F145" i="1" s="1"/>
  <c r="D146" i="1"/>
  <c r="E146" i="1" s="1"/>
  <c r="F146" i="1" s="1"/>
  <c r="D147" i="1"/>
  <c r="E147" i="1" s="1"/>
  <c r="F147" i="1" s="1"/>
  <c r="D148" i="1"/>
  <c r="E148" i="1" s="1"/>
  <c r="F148" i="1" s="1"/>
  <c r="D149" i="1"/>
  <c r="E149" i="1" s="1"/>
  <c r="F149" i="1" s="1"/>
  <c r="D150" i="1"/>
  <c r="E150" i="1" s="1"/>
  <c r="F150" i="1" s="1"/>
  <c r="D151" i="1"/>
  <c r="E151" i="1" s="1"/>
  <c r="F151" i="1" s="1"/>
  <c r="D152" i="1"/>
  <c r="E152" i="1" s="1"/>
  <c r="F152" i="1" s="1"/>
  <c r="D153" i="1"/>
  <c r="E153" i="1" s="1"/>
  <c r="F153" i="1" s="1"/>
  <c r="D154" i="1"/>
  <c r="E154" i="1" s="1"/>
  <c r="F154" i="1" s="1"/>
  <c r="D155" i="1"/>
  <c r="E155" i="1" s="1"/>
  <c r="F155" i="1" s="1"/>
  <c r="D156" i="1"/>
  <c r="E156" i="1" s="1"/>
  <c r="F156" i="1" s="1"/>
  <c r="D157" i="1"/>
  <c r="E157" i="1" s="1"/>
  <c r="F157" i="1" s="1"/>
  <c r="D158" i="1"/>
  <c r="E158" i="1" s="1"/>
  <c r="F158" i="1" s="1"/>
  <c r="D159" i="1"/>
  <c r="E159" i="1" s="1"/>
  <c r="F159" i="1" s="1"/>
  <c r="D160" i="1"/>
  <c r="E160" i="1" s="1"/>
  <c r="F160" i="1" s="1"/>
  <c r="D161" i="1"/>
  <c r="E161" i="1" s="1"/>
  <c r="F161" i="1" s="1"/>
  <c r="D162" i="1"/>
  <c r="E162" i="1" s="1"/>
  <c r="F162" i="1" s="1"/>
  <c r="D163" i="1"/>
  <c r="E163" i="1" s="1"/>
  <c r="F163" i="1" s="1"/>
  <c r="D164" i="1"/>
  <c r="E164" i="1" s="1"/>
  <c r="F164" i="1" s="1"/>
  <c r="D165" i="1"/>
  <c r="E165" i="1" s="1"/>
  <c r="F165" i="1" s="1"/>
  <c r="D166" i="1"/>
  <c r="E166" i="1" s="1"/>
  <c r="F166" i="1" s="1"/>
  <c r="D167" i="1"/>
  <c r="E167" i="1" s="1"/>
  <c r="F167" i="1" s="1"/>
  <c r="D168" i="1"/>
  <c r="E168" i="1" s="1"/>
  <c r="F168" i="1" s="1"/>
  <c r="D169" i="1"/>
  <c r="E169" i="1" s="1"/>
  <c r="F169" i="1" s="1"/>
  <c r="D170" i="1"/>
  <c r="E170" i="1" s="1"/>
  <c r="F170" i="1" s="1"/>
  <c r="D171" i="1"/>
  <c r="E171" i="1" s="1"/>
  <c r="F171" i="1" s="1"/>
  <c r="D172" i="1"/>
  <c r="E172" i="1" s="1"/>
  <c r="F172" i="1" s="1"/>
  <c r="D173" i="1"/>
  <c r="E173" i="1" s="1"/>
  <c r="F173" i="1" s="1"/>
  <c r="D174" i="1"/>
  <c r="E174" i="1" s="1"/>
  <c r="F174" i="1" s="1"/>
  <c r="D175" i="1"/>
  <c r="E175" i="1" s="1"/>
  <c r="F175" i="1" s="1"/>
  <c r="D176" i="1"/>
  <c r="E176" i="1" s="1"/>
  <c r="F176" i="1" s="1"/>
  <c r="D177" i="1"/>
  <c r="E177" i="1" s="1"/>
  <c r="F177" i="1" s="1"/>
  <c r="D178" i="1"/>
  <c r="E178" i="1" s="1"/>
  <c r="F178" i="1" s="1"/>
  <c r="D179" i="1"/>
  <c r="E179" i="1" s="1"/>
  <c r="F179" i="1" s="1"/>
  <c r="D180" i="1"/>
  <c r="E180" i="1" s="1"/>
  <c r="F180" i="1" s="1"/>
  <c r="D181" i="1"/>
  <c r="E181" i="1" s="1"/>
  <c r="F181" i="1" s="1"/>
  <c r="D182" i="1"/>
  <c r="E182" i="1" s="1"/>
  <c r="F182" i="1" s="1"/>
  <c r="D183" i="1"/>
  <c r="E183" i="1" s="1"/>
  <c r="F183" i="1" s="1"/>
  <c r="D184" i="1"/>
  <c r="E184" i="1" s="1"/>
  <c r="F184" i="1" s="1"/>
  <c r="D185" i="1"/>
  <c r="E185" i="1" s="1"/>
  <c r="F185" i="1" s="1"/>
  <c r="D186" i="1"/>
  <c r="E186" i="1" s="1"/>
  <c r="F186" i="1" s="1"/>
  <c r="D187" i="1"/>
  <c r="E187" i="1" s="1"/>
  <c r="F187" i="1" s="1"/>
  <c r="D188" i="1"/>
  <c r="E188" i="1" s="1"/>
  <c r="F188" i="1" s="1"/>
  <c r="D189" i="1"/>
  <c r="E189" i="1" s="1"/>
  <c r="F189" i="1" s="1"/>
  <c r="D190" i="1"/>
  <c r="E190" i="1" s="1"/>
  <c r="F190" i="1" s="1"/>
  <c r="D191" i="1"/>
  <c r="E191" i="1" s="1"/>
  <c r="F191" i="1" s="1"/>
  <c r="D192" i="1"/>
  <c r="E192" i="1" s="1"/>
  <c r="F192" i="1" s="1"/>
  <c r="D193" i="1"/>
  <c r="E193" i="1" s="1"/>
  <c r="F193" i="1" s="1"/>
  <c r="D194" i="1"/>
  <c r="E194" i="1" s="1"/>
  <c r="F194" i="1" s="1"/>
  <c r="D195" i="1"/>
  <c r="E195" i="1" s="1"/>
  <c r="F195" i="1" s="1"/>
  <c r="D196" i="1"/>
  <c r="E196" i="1" s="1"/>
  <c r="F196" i="1" s="1"/>
  <c r="D197" i="1"/>
  <c r="E197" i="1" s="1"/>
  <c r="F197" i="1" s="1"/>
  <c r="D198" i="1"/>
  <c r="E198" i="1" s="1"/>
  <c r="F198" i="1" s="1"/>
  <c r="D199" i="1"/>
  <c r="E199" i="1" s="1"/>
  <c r="F199" i="1" s="1"/>
  <c r="D200" i="1"/>
  <c r="E200" i="1" s="1"/>
  <c r="F200" i="1" s="1"/>
  <c r="D201" i="1"/>
  <c r="E201" i="1" s="1"/>
  <c r="F201" i="1" s="1"/>
  <c r="D202" i="1"/>
  <c r="E202" i="1" s="1"/>
  <c r="F202" i="1" s="1"/>
  <c r="D203" i="1"/>
  <c r="E203" i="1" s="1"/>
  <c r="F203" i="1" s="1"/>
  <c r="D204" i="1"/>
  <c r="E204" i="1" s="1"/>
  <c r="F204" i="1" s="1"/>
  <c r="D205" i="1"/>
  <c r="E205" i="1" s="1"/>
  <c r="F205" i="1" s="1"/>
  <c r="D206" i="1"/>
  <c r="E206" i="1" s="1"/>
  <c r="F206" i="1" s="1"/>
  <c r="D207" i="1"/>
  <c r="E207" i="1" s="1"/>
  <c r="F207" i="1" s="1"/>
  <c r="D208" i="1"/>
  <c r="E208" i="1" s="1"/>
  <c r="F208" i="1" s="1"/>
  <c r="D209" i="1"/>
  <c r="E209" i="1" s="1"/>
  <c r="F209" i="1" s="1"/>
  <c r="D210" i="1"/>
  <c r="E210" i="1" s="1"/>
  <c r="F210" i="1" s="1"/>
  <c r="D211" i="1"/>
  <c r="E211" i="1" s="1"/>
  <c r="F211" i="1" s="1"/>
  <c r="D212" i="1"/>
  <c r="E212" i="1" s="1"/>
  <c r="F212" i="1" s="1"/>
  <c r="D213" i="1"/>
  <c r="E213" i="1" s="1"/>
  <c r="F213" i="1" s="1"/>
  <c r="D214" i="1"/>
  <c r="E214" i="1" s="1"/>
  <c r="F214" i="1" s="1"/>
  <c r="D215" i="1"/>
  <c r="E215" i="1" s="1"/>
  <c r="F215" i="1" s="1"/>
  <c r="D216" i="1"/>
  <c r="E216" i="1" s="1"/>
  <c r="F216" i="1" s="1"/>
  <c r="D217" i="1"/>
  <c r="E217" i="1" s="1"/>
  <c r="F217" i="1" s="1"/>
  <c r="D218" i="1"/>
  <c r="E218" i="1" s="1"/>
  <c r="F218" i="1" s="1"/>
  <c r="D219" i="1"/>
  <c r="E219" i="1" s="1"/>
  <c r="F219" i="1" s="1"/>
  <c r="D220" i="1"/>
  <c r="E220" i="1" s="1"/>
  <c r="F220" i="1" s="1"/>
  <c r="D221" i="1"/>
  <c r="E221" i="1" s="1"/>
  <c r="F221" i="1" s="1"/>
  <c r="D222" i="1"/>
  <c r="E222" i="1" s="1"/>
  <c r="F222" i="1" s="1"/>
  <c r="D223" i="1"/>
  <c r="E223" i="1" s="1"/>
  <c r="F223" i="1" s="1"/>
  <c r="D224" i="1"/>
  <c r="E224" i="1" s="1"/>
  <c r="F224" i="1" s="1"/>
  <c r="D225" i="1"/>
  <c r="E225" i="1" s="1"/>
  <c r="F225" i="1" s="1"/>
  <c r="D226" i="1"/>
  <c r="E226" i="1" s="1"/>
  <c r="F226" i="1" s="1"/>
  <c r="D227" i="1"/>
  <c r="E227" i="1" s="1"/>
  <c r="F227" i="1" s="1"/>
  <c r="D228" i="1"/>
  <c r="E228" i="1" s="1"/>
  <c r="F228" i="1" s="1"/>
  <c r="D229" i="1"/>
  <c r="E229" i="1" s="1"/>
  <c r="F229" i="1" s="1"/>
  <c r="D230" i="1"/>
  <c r="E230" i="1" s="1"/>
  <c r="F230" i="1" s="1"/>
  <c r="D231" i="1"/>
  <c r="E231" i="1" s="1"/>
  <c r="F231" i="1" s="1"/>
  <c r="D232" i="1"/>
  <c r="E232" i="1" s="1"/>
  <c r="F232" i="1" s="1"/>
  <c r="D233" i="1"/>
  <c r="E233" i="1" s="1"/>
  <c r="F233" i="1" s="1"/>
  <c r="D234" i="1"/>
  <c r="E234" i="1" s="1"/>
  <c r="F234" i="1" s="1"/>
  <c r="D235" i="1"/>
  <c r="E235" i="1" s="1"/>
  <c r="F235" i="1" s="1"/>
  <c r="D236" i="1"/>
  <c r="E236" i="1" s="1"/>
  <c r="F236" i="1" s="1"/>
  <c r="D237" i="1"/>
  <c r="E237" i="1" s="1"/>
  <c r="F237" i="1" s="1"/>
  <c r="D238" i="1"/>
  <c r="E238" i="1" s="1"/>
  <c r="F238" i="1" s="1"/>
  <c r="D239" i="1"/>
  <c r="E239" i="1" s="1"/>
  <c r="F239" i="1" s="1"/>
  <c r="D240" i="1"/>
  <c r="E240" i="1" s="1"/>
  <c r="F240" i="1" s="1"/>
  <c r="D241" i="1"/>
  <c r="E241" i="1" s="1"/>
  <c r="F241" i="1" s="1"/>
  <c r="D242" i="1"/>
  <c r="E242" i="1" s="1"/>
  <c r="F242" i="1" s="1"/>
  <c r="D243" i="1"/>
  <c r="E243" i="1" s="1"/>
  <c r="F243" i="1" s="1"/>
  <c r="D244" i="1"/>
  <c r="E244" i="1" s="1"/>
  <c r="F244" i="1" s="1"/>
  <c r="D245" i="1"/>
  <c r="E245" i="1" s="1"/>
  <c r="F245" i="1" s="1"/>
  <c r="D246" i="1"/>
  <c r="E246" i="1" s="1"/>
  <c r="F246" i="1" s="1"/>
  <c r="D247" i="1"/>
  <c r="E247" i="1" s="1"/>
  <c r="F247" i="1" s="1"/>
  <c r="D248" i="1"/>
  <c r="E248" i="1" s="1"/>
  <c r="F248" i="1" s="1"/>
  <c r="D249" i="1"/>
  <c r="E249" i="1" s="1"/>
  <c r="F249" i="1" s="1"/>
  <c r="D250" i="1"/>
  <c r="E250" i="1" s="1"/>
  <c r="F250" i="1" s="1"/>
  <c r="D251" i="1"/>
  <c r="E251" i="1" s="1"/>
  <c r="F251" i="1" s="1"/>
  <c r="D252" i="1"/>
  <c r="E252" i="1" s="1"/>
  <c r="F252" i="1" s="1"/>
  <c r="D253" i="1"/>
  <c r="E253" i="1" s="1"/>
  <c r="F253" i="1" s="1"/>
  <c r="D254" i="1"/>
  <c r="E254" i="1" s="1"/>
  <c r="F254" i="1" s="1"/>
  <c r="D255" i="1"/>
  <c r="E255" i="1" s="1"/>
  <c r="F255" i="1" s="1"/>
  <c r="D256" i="1"/>
  <c r="E256" i="1" s="1"/>
  <c r="F256" i="1" s="1"/>
  <c r="D257" i="1"/>
  <c r="E257" i="1" s="1"/>
  <c r="F257" i="1" s="1"/>
  <c r="D258" i="1"/>
  <c r="E258" i="1" s="1"/>
  <c r="F258" i="1" s="1"/>
  <c r="D259" i="1"/>
  <c r="E259" i="1" s="1"/>
  <c r="F259" i="1" s="1"/>
  <c r="D260" i="1"/>
  <c r="E260" i="1" s="1"/>
  <c r="F260" i="1" s="1"/>
  <c r="D261" i="1"/>
  <c r="E261" i="1" s="1"/>
  <c r="F261" i="1" s="1"/>
  <c r="D262" i="1"/>
  <c r="E262" i="1" s="1"/>
  <c r="F262" i="1" s="1"/>
  <c r="D263" i="1"/>
  <c r="E263" i="1" s="1"/>
  <c r="F263" i="1" s="1"/>
  <c r="D264" i="1"/>
  <c r="E264" i="1" s="1"/>
  <c r="F264" i="1" s="1"/>
  <c r="D265" i="1"/>
  <c r="E265" i="1" s="1"/>
  <c r="F265" i="1" s="1"/>
  <c r="D266" i="1"/>
  <c r="E266" i="1" s="1"/>
  <c r="F266" i="1" s="1"/>
  <c r="D267" i="1"/>
  <c r="E267" i="1" s="1"/>
  <c r="F267" i="1" s="1"/>
  <c r="D268" i="1"/>
  <c r="E268" i="1" s="1"/>
  <c r="F268" i="1" s="1"/>
  <c r="D269" i="1"/>
  <c r="E269" i="1" s="1"/>
  <c r="F269" i="1" s="1"/>
  <c r="D270" i="1"/>
  <c r="E270" i="1" s="1"/>
  <c r="F270" i="1" s="1"/>
  <c r="D271" i="1"/>
  <c r="E271" i="1" s="1"/>
  <c r="F271" i="1" s="1"/>
  <c r="D272" i="1"/>
  <c r="E272" i="1" s="1"/>
  <c r="F272" i="1" s="1"/>
  <c r="D273" i="1"/>
  <c r="E273" i="1" s="1"/>
  <c r="F273" i="1" s="1"/>
  <c r="D274" i="1"/>
  <c r="E274" i="1" s="1"/>
  <c r="F274" i="1" s="1"/>
  <c r="D275" i="1"/>
  <c r="E275" i="1" s="1"/>
  <c r="F275" i="1" s="1"/>
  <c r="D276" i="1"/>
  <c r="E276" i="1" s="1"/>
  <c r="F276" i="1" s="1"/>
  <c r="D277" i="1"/>
  <c r="E277" i="1" s="1"/>
  <c r="F277" i="1" s="1"/>
  <c r="D278" i="1"/>
  <c r="E278" i="1" s="1"/>
  <c r="F278" i="1" s="1"/>
  <c r="D279" i="1"/>
  <c r="E279" i="1" s="1"/>
  <c r="F279" i="1" s="1"/>
  <c r="D280" i="1"/>
  <c r="E280" i="1" s="1"/>
  <c r="F280" i="1" s="1"/>
  <c r="D281" i="1"/>
  <c r="E281" i="1" s="1"/>
  <c r="F281" i="1" s="1"/>
  <c r="D282" i="1"/>
  <c r="E282" i="1" s="1"/>
  <c r="F282" i="1" s="1"/>
  <c r="D283" i="1"/>
  <c r="E283" i="1" s="1"/>
  <c r="F283" i="1" s="1"/>
  <c r="D284" i="1"/>
  <c r="E284" i="1" s="1"/>
  <c r="F284" i="1" s="1"/>
  <c r="D285" i="1"/>
  <c r="E285" i="1" s="1"/>
  <c r="F285" i="1" s="1"/>
  <c r="D286" i="1"/>
  <c r="E286" i="1" s="1"/>
  <c r="F286" i="1" s="1"/>
  <c r="D287" i="1"/>
  <c r="E287" i="1" s="1"/>
  <c r="F287" i="1" s="1"/>
  <c r="D288" i="1"/>
  <c r="E288" i="1" s="1"/>
  <c r="F288" i="1" s="1"/>
  <c r="D289" i="1"/>
  <c r="E289" i="1" s="1"/>
  <c r="F289" i="1" s="1"/>
  <c r="D290" i="1"/>
  <c r="E290" i="1" s="1"/>
  <c r="F290" i="1" s="1"/>
  <c r="D291" i="1"/>
  <c r="E291" i="1" s="1"/>
  <c r="F291" i="1" s="1"/>
  <c r="D292" i="1"/>
  <c r="E292" i="1" s="1"/>
  <c r="F292" i="1" s="1"/>
  <c r="D293" i="1"/>
  <c r="E293" i="1" s="1"/>
  <c r="F293" i="1" s="1"/>
  <c r="D294" i="1"/>
  <c r="E294" i="1" s="1"/>
  <c r="F294" i="1" s="1"/>
  <c r="D295" i="1"/>
  <c r="E295" i="1" s="1"/>
  <c r="F295" i="1" s="1"/>
  <c r="D296" i="1"/>
  <c r="E296" i="1" s="1"/>
  <c r="F296" i="1" s="1"/>
  <c r="D297" i="1"/>
  <c r="E297" i="1" s="1"/>
  <c r="F297" i="1" s="1"/>
  <c r="D298" i="1"/>
  <c r="E298" i="1" s="1"/>
  <c r="F298" i="1" s="1"/>
  <c r="D299" i="1"/>
  <c r="E299" i="1" s="1"/>
  <c r="F299" i="1" s="1"/>
  <c r="D300" i="1"/>
  <c r="E300" i="1" s="1"/>
  <c r="F300" i="1" s="1"/>
  <c r="D301" i="1"/>
  <c r="E301" i="1" s="1"/>
  <c r="F301" i="1" s="1"/>
  <c r="D302" i="1"/>
  <c r="E302" i="1" s="1"/>
  <c r="F302" i="1" s="1"/>
  <c r="D303" i="1"/>
  <c r="E303" i="1" s="1"/>
  <c r="F303" i="1" s="1"/>
  <c r="D304" i="1"/>
  <c r="E304" i="1" s="1"/>
  <c r="F304" i="1" s="1"/>
  <c r="D305" i="1"/>
  <c r="E305" i="1" s="1"/>
  <c r="F305" i="1" s="1"/>
  <c r="D306" i="1"/>
  <c r="E306" i="1" s="1"/>
  <c r="F306" i="1" s="1"/>
  <c r="D307" i="1"/>
  <c r="E307" i="1" s="1"/>
  <c r="F307" i="1" s="1"/>
  <c r="D308" i="1"/>
  <c r="E308" i="1" s="1"/>
  <c r="F308" i="1" s="1"/>
  <c r="D309" i="1"/>
  <c r="E309" i="1" s="1"/>
  <c r="F309" i="1" s="1"/>
  <c r="D310" i="1"/>
  <c r="E310" i="1" s="1"/>
  <c r="F310" i="1" s="1"/>
  <c r="D311" i="1"/>
  <c r="E311" i="1" s="1"/>
  <c r="F311" i="1" s="1"/>
  <c r="D312" i="1"/>
  <c r="E312" i="1" s="1"/>
  <c r="F312" i="1" s="1"/>
  <c r="D313" i="1"/>
  <c r="E313" i="1" s="1"/>
  <c r="F313" i="1" s="1"/>
  <c r="D314" i="1"/>
  <c r="E314" i="1" s="1"/>
  <c r="F314" i="1" s="1"/>
  <c r="D315" i="1"/>
  <c r="E315" i="1" s="1"/>
  <c r="F315" i="1" s="1"/>
  <c r="D316" i="1"/>
  <c r="E316" i="1" s="1"/>
  <c r="F316" i="1" s="1"/>
  <c r="D317" i="1"/>
  <c r="E317" i="1" s="1"/>
  <c r="F317" i="1" s="1"/>
  <c r="D318" i="1"/>
  <c r="E318" i="1" s="1"/>
  <c r="F318" i="1" s="1"/>
  <c r="D319" i="1"/>
  <c r="E319" i="1" s="1"/>
  <c r="F319" i="1" s="1"/>
  <c r="D320" i="1"/>
  <c r="E320" i="1" s="1"/>
  <c r="F320" i="1" s="1"/>
  <c r="D321" i="1"/>
  <c r="E321" i="1" s="1"/>
  <c r="F321" i="1" s="1"/>
  <c r="D322" i="1"/>
  <c r="E322" i="1" s="1"/>
  <c r="F322" i="1" s="1"/>
  <c r="D323" i="1"/>
  <c r="E323" i="1" s="1"/>
  <c r="F323" i="1" s="1"/>
  <c r="D324" i="1"/>
  <c r="E324" i="1" s="1"/>
  <c r="F324" i="1" s="1"/>
  <c r="D325" i="1"/>
  <c r="E325" i="1" s="1"/>
  <c r="F325" i="1" s="1"/>
  <c r="D326" i="1"/>
  <c r="E326" i="1" s="1"/>
  <c r="F326" i="1" s="1"/>
  <c r="D327" i="1"/>
  <c r="E327" i="1" s="1"/>
  <c r="F327" i="1" s="1"/>
  <c r="D328" i="1"/>
  <c r="E328" i="1" s="1"/>
  <c r="F328" i="1" s="1"/>
  <c r="D329" i="1"/>
  <c r="E329" i="1" s="1"/>
  <c r="F329" i="1" s="1"/>
  <c r="D330" i="1"/>
  <c r="E330" i="1" s="1"/>
  <c r="F330" i="1" s="1"/>
  <c r="D331" i="1"/>
  <c r="E331" i="1" s="1"/>
  <c r="F331" i="1" s="1"/>
  <c r="D332" i="1"/>
  <c r="E332" i="1" s="1"/>
  <c r="F332" i="1" s="1"/>
  <c r="D333" i="1"/>
  <c r="E333" i="1" s="1"/>
  <c r="F333" i="1" s="1"/>
  <c r="D334" i="1"/>
  <c r="E334" i="1" s="1"/>
  <c r="F334" i="1" s="1"/>
  <c r="D335" i="1"/>
  <c r="E335" i="1" s="1"/>
  <c r="F335" i="1" s="1"/>
  <c r="D336" i="1"/>
  <c r="E336" i="1" s="1"/>
  <c r="F336" i="1" s="1"/>
  <c r="D337" i="1"/>
  <c r="E337" i="1" s="1"/>
  <c r="F337" i="1" s="1"/>
  <c r="D338" i="1"/>
  <c r="E338" i="1" s="1"/>
  <c r="F338" i="1" s="1"/>
  <c r="D339" i="1"/>
  <c r="E339" i="1" s="1"/>
  <c r="F339" i="1" s="1"/>
  <c r="D340" i="1"/>
  <c r="E340" i="1" s="1"/>
  <c r="F340" i="1" s="1"/>
  <c r="D341" i="1"/>
  <c r="E341" i="1" s="1"/>
  <c r="F341" i="1" s="1"/>
  <c r="D342" i="1"/>
  <c r="E342" i="1" s="1"/>
  <c r="F342" i="1" s="1"/>
  <c r="D343" i="1"/>
  <c r="E343" i="1" s="1"/>
  <c r="F343" i="1" s="1"/>
  <c r="D344" i="1"/>
  <c r="E344" i="1" s="1"/>
  <c r="F344" i="1" s="1"/>
  <c r="D345" i="1"/>
  <c r="E345" i="1" s="1"/>
  <c r="F345" i="1" s="1"/>
  <c r="D346" i="1"/>
  <c r="E346" i="1" s="1"/>
  <c r="F346" i="1" s="1"/>
  <c r="D347" i="1"/>
  <c r="E347" i="1" s="1"/>
  <c r="F347" i="1" s="1"/>
  <c r="D348" i="1"/>
  <c r="E348" i="1" s="1"/>
  <c r="F348" i="1" s="1"/>
  <c r="D349" i="1"/>
  <c r="E349" i="1" s="1"/>
  <c r="F349" i="1" s="1"/>
  <c r="D350" i="1"/>
  <c r="E350" i="1" s="1"/>
  <c r="F350" i="1" s="1"/>
  <c r="D351" i="1"/>
  <c r="E351" i="1" s="1"/>
  <c r="F351" i="1" s="1"/>
  <c r="D352" i="1"/>
  <c r="E352" i="1" s="1"/>
  <c r="F352" i="1" s="1"/>
  <c r="D353" i="1"/>
  <c r="E353" i="1" s="1"/>
  <c r="F353" i="1" s="1"/>
  <c r="D354" i="1"/>
  <c r="E354" i="1" s="1"/>
  <c r="F354" i="1" s="1"/>
  <c r="D355" i="1"/>
  <c r="E355" i="1" s="1"/>
  <c r="F355" i="1" s="1"/>
  <c r="D356" i="1"/>
  <c r="E356" i="1" s="1"/>
  <c r="F356" i="1" s="1"/>
  <c r="D357" i="1"/>
  <c r="E357" i="1" s="1"/>
  <c r="F357" i="1" s="1"/>
  <c r="D358" i="1"/>
  <c r="E358" i="1" s="1"/>
  <c r="F358" i="1" s="1"/>
  <c r="D359" i="1"/>
  <c r="E359" i="1" s="1"/>
  <c r="F359" i="1" s="1"/>
  <c r="D360" i="1"/>
  <c r="E360" i="1" s="1"/>
  <c r="F360" i="1" s="1"/>
  <c r="D361" i="1"/>
  <c r="E361" i="1" s="1"/>
  <c r="F361" i="1" s="1"/>
  <c r="D362" i="1"/>
  <c r="E362" i="1" s="1"/>
  <c r="F362" i="1" s="1"/>
  <c r="D363" i="1"/>
  <c r="E363" i="1" s="1"/>
  <c r="F363" i="1" s="1"/>
  <c r="D364" i="1"/>
  <c r="E364" i="1" s="1"/>
  <c r="F364" i="1" s="1"/>
  <c r="D365" i="1"/>
  <c r="E365" i="1" s="1"/>
  <c r="F365" i="1" s="1"/>
  <c r="D366" i="1"/>
  <c r="E366" i="1" s="1"/>
  <c r="F366" i="1" s="1"/>
  <c r="D367" i="1"/>
  <c r="E367" i="1" s="1"/>
  <c r="F367" i="1" s="1"/>
  <c r="D368" i="1"/>
  <c r="E368" i="1" s="1"/>
  <c r="F368" i="1" s="1"/>
  <c r="D369" i="1"/>
  <c r="E369" i="1" s="1"/>
  <c r="F369" i="1" s="1"/>
  <c r="D370" i="1"/>
  <c r="E370" i="1" s="1"/>
  <c r="F370" i="1" s="1"/>
  <c r="D371" i="1"/>
  <c r="E371" i="1" s="1"/>
  <c r="F371" i="1" s="1"/>
  <c r="D372" i="1"/>
  <c r="E372" i="1" s="1"/>
  <c r="F372" i="1" s="1"/>
  <c r="D373" i="1"/>
  <c r="E373" i="1" s="1"/>
  <c r="F373" i="1" s="1"/>
  <c r="D374" i="1"/>
  <c r="E374" i="1" s="1"/>
  <c r="F374" i="1" s="1"/>
  <c r="D375" i="1"/>
  <c r="E375" i="1" s="1"/>
  <c r="F375" i="1" s="1"/>
  <c r="D376" i="1"/>
  <c r="E376" i="1" s="1"/>
  <c r="F376" i="1" s="1"/>
  <c r="D377" i="1"/>
  <c r="E377" i="1" s="1"/>
  <c r="F377" i="1" s="1"/>
  <c r="D378" i="1"/>
  <c r="E378" i="1" s="1"/>
  <c r="F378" i="1" s="1"/>
  <c r="D379" i="1"/>
  <c r="E379" i="1" s="1"/>
  <c r="F379" i="1" s="1"/>
  <c r="D380" i="1"/>
  <c r="E380" i="1" s="1"/>
  <c r="F380" i="1" s="1"/>
  <c r="D381" i="1"/>
  <c r="E381" i="1" s="1"/>
  <c r="F381" i="1" s="1"/>
  <c r="D382" i="1"/>
  <c r="E382" i="1" s="1"/>
  <c r="F382" i="1" s="1"/>
  <c r="D383" i="1"/>
  <c r="E383" i="1" s="1"/>
  <c r="F383" i="1" s="1"/>
  <c r="D384" i="1"/>
  <c r="E384" i="1" s="1"/>
  <c r="F384" i="1" s="1"/>
  <c r="D385" i="1"/>
  <c r="E385" i="1" s="1"/>
  <c r="F385" i="1" s="1"/>
  <c r="D386" i="1"/>
  <c r="E386" i="1" s="1"/>
  <c r="F386" i="1" s="1"/>
  <c r="D387" i="1"/>
  <c r="E387" i="1" s="1"/>
  <c r="F387" i="1" s="1"/>
  <c r="D388" i="1"/>
  <c r="E388" i="1" s="1"/>
  <c r="F388" i="1" s="1"/>
  <c r="D389" i="1"/>
  <c r="E389" i="1" s="1"/>
  <c r="F389" i="1" s="1"/>
  <c r="D390" i="1"/>
  <c r="E390" i="1" s="1"/>
  <c r="F390" i="1" s="1"/>
  <c r="D391" i="1"/>
  <c r="E391" i="1" s="1"/>
  <c r="F391" i="1" s="1"/>
  <c r="D392" i="1"/>
  <c r="E392" i="1" s="1"/>
  <c r="F392" i="1" s="1"/>
  <c r="D393" i="1"/>
  <c r="E393" i="1" s="1"/>
  <c r="F393" i="1" s="1"/>
  <c r="D394" i="1"/>
  <c r="E394" i="1" s="1"/>
  <c r="F394" i="1" s="1"/>
  <c r="D395" i="1"/>
  <c r="E395" i="1" s="1"/>
  <c r="F395" i="1" s="1"/>
  <c r="D396" i="1"/>
  <c r="E396" i="1" s="1"/>
  <c r="F396" i="1" s="1"/>
  <c r="D397" i="1"/>
  <c r="E397" i="1" s="1"/>
  <c r="F397" i="1" s="1"/>
  <c r="D398" i="1"/>
  <c r="E398" i="1" s="1"/>
  <c r="F398" i="1" s="1"/>
  <c r="D399" i="1"/>
  <c r="E399" i="1" s="1"/>
  <c r="F399" i="1" s="1"/>
  <c r="D400" i="1"/>
  <c r="E400" i="1" s="1"/>
  <c r="F400" i="1" s="1"/>
  <c r="D401" i="1"/>
  <c r="E401" i="1" s="1"/>
  <c r="F401" i="1" s="1"/>
  <c r="D402" i="1"/>
  <c r="E402" i="1" s="1"/>
  <c r="F402" i="1" s="1"/>
  <c r="D403" i="1"/>
  <c r="E403" i="1" s="1"/>
  <c r="F403" i="1" s="1"/>
  <c r="D404" i="1"/>
  <c r="E404" i="1" s="1"/>
  <c r="F404" i="1" s="1"/>
  <c r="D405" i="1"/>
  <c r="E405" i="1" s="1"/>
  <c r="F405" i="1" s="1"/>
  <c r="D406" i="1"/>
  <c r="E406" i="1" s="1"/>
  <c r="F406" i="1" s="1"/>
  <c r="D407" i="1"/>
  <c r="E407" i="1" s="1"/>
  <c r="F407" i="1" s="1"/>
  <c r="D408" i="1"/>
  <c r="E408" i="1" s="1"/>
  <c r="F408" i="1" s="1"/>
  <c r="D409" i="1"/>
  <c r="E409" i="1" s="1"/>
  <c r="F409" i="1" s="1"/>
  <c r="D410" i="1"/>
  <c r="E410" i="1" s="1"/>
  <c r="F410" i="1" s="1"/>
  <c r="D411" i="1"/>
  <c r="E411" i="1" s="1"/>
  <c r="F411" i="1" s="1"/>
  <c r="D412" i="1"/>
  <c r="E412" i="1" s="1"/>
  <c r="F412" i="1" s="1"/>
  <c r="D413" i="1"/>
  <c r="E413" i="1" s="1"/>
  <c r="F413" i="1" s="1"/>
  <c r="D414" i="1"/>
  <c r="E414" i="1" s="1"/>
  <c r="F414" i="1" s="1"/>
  <c r="D415" i="1"/>
  <c r="E415" i="1" s="1"/>
  <c r="F415" i="1" s="1"/>
  <c r="D416" i="1"/>
  <c r="E416" i="1" s="1"/>
  <c r="F416" i="1" s="1"/>
  <c r="D417" i="1"/>
  <c r="E417" i="1" s="1"/>
  <c r="F417" i="1" s="1"/>
  <c r="D418" i="1"/>
  <c r="E418" i="1" s="1"/>
  <c r="F418" i="1" s="1"/>
  <c r="D419" i="1"/>
  <c r="E419" i="1" s="1"/>
  <c r="F419" i="1" s="1"/>
  <c r="D420" i="1"/>
  <c r="E420" i="1" s="1"/>
  <c r="F420" i="1" s="1"/>
  <c r="D421" i="1"/>
  <c r="E421" i="1" s="1"/>
  <c r="F421" i="1" s="1"/>
  <c r="D422" i="1"/>
  <c r="E422" i="1" s="1"/>
  <c r="F422" i="1" s="1"/>
  <c r="D423" i="1"/>
  <c r="E423" i="1" s="1"/>
  <c r="F423" i="1" s="1"/>
  <c r="D424" i="1"/>
  <c r="E424" i="1" s="1"/>
  <c r="F424" i="1" s="1"/>
  <c r="D425" i="1"/>
  <c r="E425" i="1" s="1"/>
  <c r="F425" i="1" s="1"/>
  <c r="D426" i="1"/>
  <c r="E426" i="1" s="1"/>
  <c r="F426" i="1" s="1"/>
  <c r="D427" i="1"/>
  <c r="E427" i="1" s="1"/>
  <c r="F427" i="1" s="1"/>
  <c r="D428" i="1"/>
  <c r="E428" i="1" s="1"/>
  <c r="F428" i="1" s="1"/>
  <c r="D429" i="1"/>
  <c r="E429" i="1" s="1"/>
  <c r="F429" i="1" s="1"/>
  <c r="D430" i="1"/>
  <c r="E430" i="1" s="1"/>
  <c r="F430" i="1" s="1"/>
  <c r="D431" i="1"/>
  <c r="E431" i="1" s="1"/>
  <c r="F431" i="1" s="1"/>
  <c r="D432" i="1"/>
  <c r="E432" i="1" s="1"/>
  <c r="F432" i="1" s="1"/>
  <c r="D433" i="1"/>
  <c r="E433" i="1" s="1"/>
  <c r="F433" i="1" s="1"/>
  <c r="D434" i="1"/>
  <c r="E434" i="1" s="1"/>
  <c r="F434" i="1" s="1"/>
  <c r="D435" i="1"/>
  <c r="E435" i="1" s="1"/>
  <c r="F435" i="1" s="1"/>
  <c r="D436" i="1"/>
  <c r="E436" i="1" s="1"/>
  <c r="F436" i="1" s="1"/>
  <c r="D437" i="1"/>
  <c r="E437" i="1" s="1"/>
  <c r="F437" i="1" s="1"/>
  <c r="D438" i="1"/>
  <c r="E438" i="1" s="1"/>
  <c r="F438" i="1" s="1"/>
  <c r="D439" i="1"/>
  <c r="E439" i="1" s="1"/>
  <c r="F439" i="1" s="1"/>
  <c r="D440" i="1"/>
  <c r="E440" i="1" s="1"/>
  <c r="F440" i="1" s="1"/>
  <c r="D441" i="1"/>
  <c r="E441" i="1" s="1"/>
  <c r="F441" i="1" s="1"/>
  <c r="D442" i="1"/>
  <c r="E442" i="1" s="1"/>
  <c r="F442" i="1" s="1"/>
  <c r="D443" i="1"/>
  <c r="E443" i="1" s="1"/>
  <c r="F443" i="1" s="1"/>
  <c r="D444" i="1"/>
  <c r="E444" i="1" s="1"/>
  <c r="F444" i="1" s="1"/>
  <c r="D445" i="1"/>
  <c r="E445" i="1" s="1"/>
  <c r="F445" i="1" s="1"/>
  <c r="D446" i="1"/>
  <c r="E446" i="1" s="1"/>
  <c r="F446" i="1" s="1"/>
  <c r="D447" i="1"/>
  <c r="E447" i="1" s="1"/>
  <c r="F447" i="1" s="1"/>
  <c r="D448" i="1"/>
  <c r="E448" i="1" s="1"/>
  <c r="F448" i="1" s="1"/>
  <c r="D449" i="1"/>
  <c r="E449" i="1" s="1"/>
  <c r="F449" i="1" s="1"/>
  <c r="D450" i="1"/>
  <c r="E450" i="1" s="1"/>
  <c r="F450" i="1" s="1"/>
  <c r="D451" i="1"/>
  <c r="E451" i="1" s="1"/>
  <c r="F451" i="1" s="1"/>
  <c r="D452" i="1"/>
  <c r="E452" i="1" s="1"/>
  <c r="F452" i="1" s="1"/>
  <c r="D453" i="1"/>
  <c r="E453" i="1" s="1"/>
  <c r="F453" i="1" s="1"/>
  <c r="D454" i="1"/>
  <c r="E454" i="1" s="1"/>
  <c r="F454" i="1" s="1"/>
  <c r="D455" i="1"/>
  <c r="E455" i="1" s="1"/>
  <c r="F455" i="1" s="1"/>
  <c r="D456" i="1"/>
  <c r="E456" i="1" s="1"/>
  <c r="F456" i="1" s="1"/>
  <c r="D457" i="1"/>
  <c r="E457" i="1" s="1"/>
  <c r="F457" i="1" s="1"/>
  <c r="D458" i="1"/>
  <c r="E458" i="1" s="1"/>
  <c r="F458" i="1" s="1"/>
  <c r="D459" i="1"/>
  <c r="E459" i="1" s="1"/>
  <c r="F459" i="1" s="1"/>
  <c r="D460" i="1"/>
  <c r="E460" i="1" s="1"/>
  <c r="F460" i="1" s="1"/>
  <c r="D461" i="1"/>
  <c r="E461" i="1" s="1"/>
  <c r="F461" i="1" s="1"/>
  <c r="D462" i="1"/>
  <c r="E462" i="1" s="1"/>
  <c r="F462" i="1" s="1"/>
  <c r="D463" i="1"/>
  <c r="E463" i="1" s="1"/>
  <c r="F463" i="1" s="1"/>
  <c r="D464" i="1"/>
  <c r="E464" i="1" s="1"/>
  <c r="F464" i="1" s="1"/>
  <c r="D465" i="1"/>
  <c r="E465" i="1" s="1"/>
  <c r="F465" i="1" s="1"/>
  <c r="D466" i="1"/>
  <c r="E466" i="1" s="1"/>
  <c r="F466" i="1" s="1"/>
  <c r="D467" i="1"/>
  <c r="E467" i="1" s="1"/>
  <c r="F467" i="1" s="1"/>
  <c r="D468" i="1"/>
  <c r="E468" i="1" s="1"/>
  <c r="F468" i="1" s="1"/>
  <c r="D469" i="1"/>
  <c r="E469" i="1" s="1"/>
  <c r="F469" i="1" s="1"/>
  <c r="D470" i="1"/>
  <c r="E470" i="1" s="1"/>
  <c r="F470" i="1" s="1"/>
  <c r="D471" i="1"/>
  <c r="E471" i="1" s="1"/>
  <c r="F471" i="1" s="1"/>
  <c r="D472" i="1"/>
  <c r="E472" i="1" s="1"/>
  <c r="F472" i="1" s="1"/>
  <c r="D473" i="1"/>
  <c r="E473" i="1" s="1"/>
  <c r="F473" i="1" s="1"/>
  <c r="D474" i="1"/>
  <c r="E474" i="1" s="1"/>
  <c r="F474" i="1" s="1"/>
  <c r="D475" i="1"/>
  <c r="E475" i="1" s="1"/>
  <c r="F475" i="1" s="1"/>
  <c r="D476" i="1"/>
  <c r="E476" i="1" s="1"/>
  <c r="F476" i="1" s="1"/>
  <c r="D477" i="1"/>
  <c r="E477" i="1" s="1"/>
  <c r="F477" i="1" s="1"/>
  <c r="D478" i="1"/>
  <c r="E478" i="1" s="1"/>
  <c r="F478" i="1" s="1"/>
  <c r="D479" i="1"/>
  <c r="E479" i="1" s="1"/>
  <c r="F479" i="1" s="1"/>
  <c r="D480" i="1"/>
  <c r="E480" i="1" s="1"/>
  <c r="F480" i="1" s="1"/>
  <c r="D481" i="1"/>
  <c r="E481" i="1" s="1"/>
  <c r="F481" i="1" s="1"/>
  <c r="D482" i="1"/>
  <c r="E482" i="1" s="1"/>
  <c r="F482" i="1" s="1"/>
  <c r="D483" i="1"/>
  <c r="E483" i="1" s="1"/>
  <c r="F483" i="1" s="1"/>
  <c r="D484" i="1"/>
  <c r="E484" i="1" s="1"/>
  <c r="F484" i="1" s="1"/>
  <c r="D485" i="1"/>
  <c r="E485" i="1" s="1"/>
  <c r="F485" i="1" s="1"/>
  <c r="D486" i="1"/>
  <c r="E486" i="1" s="1"/>
  <c r="F486" i="1" s="1"/>
  <c r="D487" i="1"/>
  <c r="E487" i="1" s="1"/>
  <c r="F487" i="1" s="1"/>
  <c r="D488" i="1"/>
  <c r="E488" i="1" s="1"/>
  <c r="F488" i="1" s="1"/>
  <c r="D489" i="1"/>
  <c r="E489" i="1" s="1"/>
  <c r="F489" i="1" s="1"/>
  <c r="D490" i="1"/>
  <c r="E490" i="1" s="1"/>
  <c r="F490" i="1" s="1"/>
  <c r="D491" i="1"/>
  <c r="E491" i="1" s="1"/>
  <c r="F491" i="1" s="1"/>
  <c r="D492" i="1"/>
  <c r="E492" i="1" s="1"/>
  <c r="F492" i="1" s="1"/>
  <c r="D493" i="1"/>
  <c r="E493" i="1" s="1"/>
  <c r="F493" i="1" s="1"/>
  <c r="D494" i="1"/>
  <c r="E494" i="1" s="1"/>
  <c r="F494" i="1" s="1"/>
  <c r="D495" i="1"/>
  <c r="E495" i="1" s="1"/>
  <c r="F495" i="1" s="1"/>
  <c r="D496" i="1"/>
  <c r="E496" i="1" s="1"/>
  <c r="F496" i="1" s="1"/>
  <c r="D497" i="1"/>
  <c r="E497" i="1" s="1"/>
  <c r="F497" i="1" s="1"/>
  <c r="D498" i="1"/>
  <c r="E498" i="1" s="1"/>
  <c r="F498" i="1" s="1"/>
  <c r="D499" i="1"/>
  <c r="E499" i="1" s="1"/>
  <c r="F499" i="1" s="1"/>
  <c r="D500" i="1"/>
  <c r="E500" i="1" s="1"/>
  <c r="F500" i="1" s="1"/>
  <c r="D501" i="1"/>
  <c r="E501" i="1" s="1"/>
  <c r="F501" i="1" s="1"/>
  <c r="D502" i="1"/>
  <c r="E502" i="1" s="1"/>
  <c r="F502" i="1" s="1"/>
  <c r="D503" i="1"/>
  <c r="E503" i="1" s="1"/>
  <c r="F503" i="1" s="1"/>
  <c r="D504" i="1"/>
  <c r="E504" i="1" s="1"/>
  <c r="F504" i="1" s="1"/>
  <c r="D505" i="1"/>
  <c r="E505" i="1" s="1"/>
  <c r="F505" i="1" s="1"/>
  <c r="D506" i="1"/>
  <c r="E506" i="1" s="1"/>
  <c r="F506" i="1" s="1"/>
  <c r="D507" i="1"/>
  <c r="E507" i="1" s="1"/>
  <c r="F507" i="1" s="1"/>
  <c r="D508" i="1"/>
  <c r="E508" i="1" s="1"/>
  <c r="F508" i="1" s="1"/>
  <c r="D509" i="1"/>
  <c r="E509" i="1" s="1"/>
  <c r="F509" i="1" s="1"/>
  <c r="D510" i="1"/>
  <c r="E510" i="1" s="1"/>
  <c r="F510" i="1" s="1"/>
  <c r="D511" i="1"/>
  <c r="E511" i="1" s="1"/>
  <c r="F511" i="1" s="1"/>
  <c r="D512" i="1"/>
  <c r="E512" i="1" s="1"/>
  <c r="F512" i="1" s="1"/>
  <c r="D513" i="1"/>
  <c r="E513" i="1" s="1"/>
  <c r="F513" i="1" s="1"/>
  <c r="D514" i="1"/>
  <c r="E514" i="1" s="1"/>
  <c r="F514" i="1" s="1"/>
  <c r="D515" i="1"/>
  <c r="E515" i="1" s="1"/>
  <c r="F515" i="1" s="1"/>
  <c r="D516" i="1"/>
  <c r="E516" i="1" s="1"/>
  <c r="F516" i="1" s="1"/>
  <c r="D517" i="1"/>
  <c r="E517" i="1" s="1"/>
  <c r="F517" i="1" s="1"/>
  <c r="D518" i="1"/>
  <c r="E518" i="1" s="1"/>
  <c r="F518" i="1" s="1"/>
  <c r="D519" i="1"/>
  <c r="E519" i="1" s="1"/>
  <c r="F519" i="1" s="1"/>
  <c r="D520" i="1"/>
  <c r="E520" i="1" s="1"/>
  <c r="F520" i="1" s="1"/>
  <c r="D521" i="1"/>
  <c r="E521" i="1" s="1"/>
  <c r="F521" i="1" s="1"/>
  <c r="D522" i="1"/>
  <c r="E522" i="1" s="1"/>
  <c r="F522" i="1" s="1"/>
  <c r="D523" i="1"/>
  <c r="E523" i="1" s="1"/>
  <c r="F523" i="1" s="1"/>
  <c r="D524" i="1"/>
  <c r="E524" i="1" s="1"/>
  <c r="F524" i="1" s="1"/>
  <c r="D525" i="1"/>
  <c r="E525" i="1" s="1"/>
  <c r="F525" i="1" s="1"/>
  <c r="D526" i="1"/>
  <c r="E526" i="1" s="1"/>
  <c r="F526" i="1" s="1"/>
  <c r="D527" i="1"/>
  <c r="E527" i="1" s="1"/>
  <c r="F527" i="1" s="1"/>
  <c r="D528" i="1"/>
  <c r="E528" i="1" s="1"/>
  <c r="F528" i="1" s="1"/>
  <c r="D529" i="1"/>
  <c r="E529" i="1" s="1"/>
  <c r="F529" i="1" s="1"/>
  <c r="D530" i="1"/>
  <c r="E530" i="1" s="1"/>
  <c r="F530" i="1" s="1"/>
  <c r="D531" i="1"/>
  <c r="E531" i="1" s="1"/>
  <c r="F531" i="1" s="1"/>
  <c r="D532" i="1"/>
  <c r="E532" i="1" s="1"/>
  <c r="F532" i="1" s="1"/>
  <c r="D533" i="1"/>
  <c r="E533" i="1" s="1"/>
  <c r="F533" i="1" s="1"/>
  <c r="D534" i="1"/>
  <c r="E534" i="1" s="1"/>
  <c r="F534" i="1" s="1"/>
  <c r="D535" i="1"/>
  <c r="E535" i="1" s="1"/>
  <c r="F535" i="1" s="1"/>
  <c r="D536" i="1"/>
  <c r="E536" i="1" s="1"/>
  <c r="F536" i="1" s="1"/>
  <c r="D537" i="1"/>
  <c r="E537" i="1" s="1"/>
  <c r="F537" i="1" s="1"/>
  <c r="D538" i="1"/>
  <c r="E538" i="1" s="1"/>
  <c r="F538" i="1" s="1"/>
  <c r="D539" i="1"/>
  <c r="E539" i="1" s="1"/>
  <c r="F539" i="1" s="1"/>
  <c r="D540" i="1"/>
  <c r="E540" i="1" s="1"/>
  <c r="F540" i="1" s="1"/>
  <c r="D541" i="1"/>
  <c r="E541" i="1" s="1"/>
  <c r="F541" i="1" s="1"/>
  <c r="D542" i="1"/>
  <c r="E542" i="1" s="1"/>
  <c r="F542" i="1" s="1"/>
  <c r="D543" i="1"/>
  <c r="E543" i="1" s="1"/>
  <c r="F543" i="1" s="1"/>
  <c r="D544" i="1"/>
  <c r="E544" i="1" s="1"/>
  <c r="F544" i="1" s="1"/>
  <c r="D545" i="1"/>
  <c r="E545" i="1" s="1"/>
  <c r="F545" i="1" s="1"/>
  <c r="D546" i="1"/>
  <c r="E546" i="1" s="1"/>
  <c r="F546" i="1" s="1"/>
  <c r="D547" i="1"/>
  <c r="E547" i="1" s="1"/>
  <c r="F547" i="1" s="1"/>
  <c r="D548" i="1"/>
  <c r="E548" i="1" s="1"/>
  <c r="F548" i="1" s="1"/>
  <c r="D549" i="1"/>
  <c r="E549" i="1" s="1"/>
  <c r="F549" i="1" s="1"/>
  <c r="D550" i="1"/>
  <c r="E550" i="1" s="1"/>
  <c r="F550" i="1" s="1"/>
  <c r="D551" i="1"/>
  <c r="E551" i="1" s="1"/>
  <c r="F551" i="1" s="1"/>
  <c r="D552" i="1"/>
  <c r="E552" i="1" s="1"/>
  <c r="F552" i="1" s="1"/>
  <c r="D553" i="1"/>
  <c r="E553" i="1" s="1"/>
  <c r="F553" i="1" s="1"/>
  <c r="D554" i="1"/>
  <c r="E554" i="1" s="1"/>
  <c r="F554" i="1" s="1"/>
  <c r="D555" i="1"/>
  <c r="E555" i="1" s="1"/>
  <c r="F555" i="1" s="1"/>
  <c r="D556" i="1"/>
  <c r="E556" i="1" s="1"/>
  <c r="F556" i="1" s="1"/>
  <c r="D557" i="1"/>
  <c r="E557" i="1" s="1"/>
  <c r="F557" i="1" s="1"/>
  <c r="D558" i="1"/>
  <c r="E558" i="1" s="1"/>
  <c r="F558" i="1" s="1"/>
  <c r="D559" i="1"/>
  <c r="E559" i="1" s="1"/>
  <c r="F559" i="1" s="1"/>
  <c r="D560" i="1"/>
  <c r="E560" i="1" s="1"/>
  <c r="F560" i="1" s="1"/>
  <c r="D561" i="1"/>
  <c r="E561" i="1" s="1"/>
  <c r="F561" i="1" s="1"/>
  <c r="D562" i="1"/>
  <c r="E562" i="1" s="1"/>
  <c r="F562" i="1" s="1"/>
  <c r="D563" i="1"/>
  <c r="E563" i="1" s="1"/>
  <c r="F563" i="1" s="1"/>
  <c r="D564" i="1"/>
  <c r="E564" i="1" s="1"/>
  <c r="F564" i="1" s="1"/>
  <c r="D565" i="1"/>
  <c r="E565" i="1" s="1"/>
  <c r="F565" i="1" s="1"/>
  <c r="D566" i="1"/>
  <c r="E566" i="1" s="1"/>
  <c r="F566" i="1" s="1"/>
  <c r="D567" i="1"/>
  <c r="E567" i="1" s="1"/>
  <c r="F567" i="1" s="1"/>
  <c r="D568" i="1"/>
  <c r="E568" i="1" s="1"/>
  <c r="F568" i="1" s="1"/>
  <c r="D569" i="1"/>
  <c r="E569" i="1" s="1"/>
  <c r="F569" i="1" s="1"/>
  <c r="D570" i="1"/>
  <c r="E570" i="1" s="1"/>
  <c r="F570" i="1" s="1"/>
  <c r="D571" i="1"/>
  <c r="E571" i="1" s="1"/>
  <c r="F571" i="1" s="1"/>
  <c r="D572" i="1"/>
  <c r="E572" i="1" s="1"/>
  <c r="F572" i="1" s="1"/>
  <c r="D573" i="1"/>
  <c r="E573" i="1" s="1"/>
  <c r="F573" i="1" s="1"/>
  <c r="D574" i="1"/>
  <c r="E574" i="1" s="1"/>
  <c r="F574" i="1" s="1"/>
  <c r="D575" i="1"/>
  <c r="E575" i="1" s="1"/>
  <c r="F575" i="1" s="1"/>
  <c r="D576" i="1"/>
  <c r="E576" i="1" s="1"/>
  <c r="F576" i="1" s="1"/>
  <c r="D577" i="1"/>
  <c r="E577" i="1" s="1"/>
  <c r="F577" i="1" s="1"/>
  <c r="D578" i="1"/>
  <c r="E578" i="1" s="1"/>
  <c r="F578" i="1" s="1"/>
  <c r="D579" i="1"/>
  <c r="E579" i="1" s="1"/>
  <c r="F579" i="1" s="1"/>
  <c r="D580" i="1"/>
  <c r="E580" i="1" s="1"/>
  <c r="F580" i="1" s="1"/>
  <c r="D581" i="1"/>
  <c r="E581" i="1" s="1"/>
  <c r="F581" i="1" s="1"/>
  <c r="D582" i="1"/>
  <c r="E582" i="1" s="1"/>
  <c r="F582" i="1" s="1"/>
  <c r="D583" i="1"/>
  <c r="E583" i="1" s="1"/>
  <c r="F583" i="1" s="1"/>
  <c r="D584" i="1"/>
  <c r="E584" i="1" s="1"/>
  <c r="F584" i="1" s="1"/>
  <c r="D585" i="1"/>
  <c r="E585" i="1" s="1"/>
  <c r="F585" i="1" s="1"/>
  <c r="D586" i="1"/>
  <c r="E586" i="1" s="1"/>
  <c r="F586" i="1" s="1"/>
  <c r="D587" i="1"/>
  <c r="E587" i="1" s="1"/>
  <c r="F587" i="1" s="1"/>
  <c r="D588" i="1"/>
  <c r="E588" i="1" s="1"/>
  <c r="F588" i="1" s="1"/>
  <c r="D589" i="1"/>
  <c r="E589" i="1" s="1"/>
  <c r="F589" i="1" s="1"/>
  <c r="D590" i="1"/>
  <c r="E590" i="1" s="1"/>
  <c r="F590" i="1" s="1"/>
  <c r="D591" i="1"/>
  <c r="E591" i="1" s="1"/>
  <c r="F591" i="1" s="1"/>
  <c r="D592" i="1"/>
  <c r="E592" i="1" s="1"/>
  <c r="F592" i="1" s="1"/>
  <c r="D593" i="1"/>
  <c r="E593" i="1" s="1"/>
  <c r="F593" i="1" s="1"/>
  <c r="D594" i="1"/>
  <c r="E594" i="1" s="1"/>
  <c r="F594" i="1" s="1"/>
  <c r="D595" i="1"/>
  <c r="E595" i="1" s="1"/>
  <c r="F595" i="1" s="1"/>
  <c r="D596" i="1"/>
  <c r="E596" i="1" s="1"/>
  <c r="F596" i="1" s="1"/>
  <c r="D597" i="1"/>
  <c r="E597" i="1" s="1"/>
  <c r="F597" i="1" s="1"/>
  <c r="D598" i="1"/>
  <c r="E598" i="1" s="1"/>
  <c r="F598" i="1" s="1"/>
  <c r="D599" i="1"/>
  <c r="E599" i="1" s="1"/>
  <c r="F599" i="1" s="1"/>
  <c r="D600" i="1"/>
  <c r="E600" i="1" s="1"/>
  <c r="F600" i="1" s="1"/>
  <c r="D601" i="1"/>
  <c r="E601" i="1" s="1"/>
  <c r="F601" i="1" s="1"/>
  <c r="D602" i="1"/>
  <c r="E602" i="1" s="1"/>
  <c r="F602" i="1" s="1"/>
  <c r="D603" i="1"/>
  <c r="E603" i="1" s="1"/>
  <c r="F603" i="1" s="1"/>
  <c r="D604" i="1"/>
  <c r="E604" i="1" s="1"/>
  <c r="F604" i="1" s="1"/>
  <c r="D605" i="1"/>
  <c r="E605" i="1" s="1"/>
  <c r="F605" i="1" s="1"/>
  <c r="D606" i="1"/>
  <c r="E606" i="1" s="1"/>
  <c r="F606" i="1" s="1"/>
  <c r="D607" i="1"/>
  <c r="E607" i="1" s="1"/>
  <c r="F607" i="1" s="1"/>
  <c r="D608" i="1"/>
  <c r="E608" i="1" s="1"/>
  <c r="F608" i="1" s="1"/>
  <c r="D609" i="1"/>
  <c r="E609" i="1" s="1"/>
  <c r="F609" i="1" s="1"/>
  <c r="D610" i="1"/>
  <c r="E610" i="1" s="1"/>
  <c r="F610" i="1" s="1"/>
  <c r="D611" i="1"/>
  <c r="E611" i="1" s="1"/>
  <c r="F611" i="1" s="1"/>
  <c r="D612" i="1"/>
  <c r="E612" i="1" s="1"/>
  <c r="F612" i="1" s="1"/>
  <c r="D613" i="1"/>
  <c r="E613" i="1" s="1"/>
  <c r="F613" i="1" s="1"/>
  <c r="D614" i="1"/>
  <c r="E614" i="1" s="1"/>
  <c r="F614" i="1" s="1"/>
  <c r="D615" i="1"/>
  <c r="E615" i="1" s="1"/>
  <c r="F615" i="1" s="1"/>
  <c r="D616" i="1"/>
  <c r="E616" i="1" s="1"/>
  <c r="F616" i="1" s="1"/>
  <c r="D617" i="1"/>
  <c r="E617" i="1" s="1"/>
  <c r="F617" i="1" s="1"/>
  <c r="D618" i="1"/>
  <c r="E618" i="1" s="1"/>
  <c r="F618" i="1" s="1"/>
  <c r="D619" i="1"/>
  <c r="E619" i="1" s="1"/>
  <c r="F619" i="1" s="1"/>
  <c r="D620" i="1"/>
  <c r="E620" i="1" s="1"/>
  <c r="F620" i="1" s="1"/>
  <c r="D621" i="1"/>
  <c r="E621" i="1" s="1"/>
  <c r="F621" i="1" s="1"/>
  <c r="D622" i="1"/>
  <c r="E622" i="1" s="1"/>
  <c r="F622" i="1" s="1"/>
  <c r="D623" i="1"/>
  <c r="E623" i="1" s="1"/>
  <c r="F623" i="1" s="1"/>
  <c r="D624" i="1"/>
  <c r="E624" i="1" s="1"/>
  <c r="F624" i="1" s="1"/>
  <c r="D625" i="1"/>
  <c r="E625" i="1" s="1"/>
  <c r="F625" i="1" s="1"/>
  <c r="D626" i="1"/>
  <c r="E626" i="1" s="1"/>
  <c r="F626" i="1" s="1"/>
  <c r="D627" i="1"/>
  <c r="E627" i="1" s="1"/>
  <c r="F627" i="1" s="1"/>
  <c r="D628" i="1"/>
  <c r="E628" i="1" s="1"/>
  <c r="F628" i="1" s="1"/>
  <c r="D629" i="1"/>
  <c r="E629" i="1" s="1"/>
  <c r="F629" i="1" s="1"/>
  <c r="D630" i="1"/>
  <c r="E630" i="1" s="1"/>
  <c r="F630" i="1" s="1"/>
  <c r="D631" i="1"/>
  <c r="E631" i="1" s="1"/>
  <c r="F631" i="1" s="1"/>
  <c r="D632" i="1"/>
  <c r="E632" i="1" s="1"/>
  <c r="F632" i="1" s="1"/>
  <c r="D633" i="1"/>
  <c r="E633" i="1" s="1"/>
  <c r="F633" i="1" s="1"/>
  <c r="D634" i="1"/>
  <c r="E634" i="1" s="1"/>
  <c r="F634" i="1" s="1"/>
  <c r="D635" i="1"/>
  <c r="E635" i="1" s="1"/>
  <c r="F635" i="1" s="1"/>
  <c r="D636" i="1"/>
  <c r="E636" i="1" s="1"/>
  <c r="F636" i="1" s="1"/>
  <c r="D637" i="1"/>
  <c r="E637" i="1" s="1"/>
  <c r="F637" i="1" s="1"/>
  <c r="D638" i="1"/>
  <c r="E638" i="1" s="1"/>
  <c r="F638" i="1" s="1"/>
  <c r="D639" i="1"/>
  <c r="E639" i="1" s="1"/>
  <c r="F639" i="1" s="1"/>
  <c r="D640" i="1"/>
  <c r="E640" i="1" s="1"/>
  <c r="F640" i="1" s="1"/>
  <c r="D641" i="1"/>
  <c r="E641" i="1" s="1"/>
  <c r="F641" i="1" s="1"/>
  <c r="D642" i="1"/>
  <c r="E642" i="1" s="1"/>
  <c r="F642" i="1" s="1"/>
  <c r="D643" i="1"/>
  <c r="E643" i="1" s="1"/>
  <c r="F643" i="1" s="1"/>
  <c r="D644" i="1"/>
  <c r="E644" i="1" s="1"/>
  <c r="F644" i="1" s="1"/>
  <c r="D645" i="1"/>
  <c r="E645" i="1" s="1"/>
  <c r="F645" i="1" s="1"/>
  <c r="D646" i="1"/>
  <c r="E646" i="1" s="1"/>
  <c r="F646" i="1" s="1"/>
  <c r="D647" i="1"/>
  <c r="E647" i="1" s="1"/>
  <c r="F647" i="1" s="1"/>
  <c r="D648" i="1"/>
  <c r="E648" i="1" s="1"/>
  <c r="F648" i="1" s="1"/>
  <c r="D649" i="1"/>
  <c r="E649" i="1" s="1"/>
  <c r="F649" i="1" s="1"/>
  <c r="D650" i="1"/>
  <c r="E650" i="1" s="1"/>
  <c r="F650" i="1" s="1"/>
  <c r="D651" i="1"/>
  <c r="E651" i="1" s="1"/>
  <c r="F651" i="1" s="1"/>
  <c r="D652" i="1"/>
  <c r="E652" i="1" s="1"/>
  <c r="F652" i="1" s="1"/>
  <c r="D653" i="1"/>
  <c r="E653" i="1" s="1"/>
  <c r="F653" i="1" s="1"/>
  <c r="D654" i="1"/>
  <c r="E654" i="1" s="1"/>
  <c r="F654" i="1" s="1"/>
  <c r="D655" i="1"/>
  <c r="E655" i="1" s="1"/>
  <c r="F655" i="1" s="1"/>
  <c r="D656" i="1"/>
  <c r="E656" i="1" s="1"/>
  <c r="F656" i="1" s="1"/>
  <c r="D657" i="1"/>
  <c r="E657" i="1" s="1"/>
  <c r="F657" i="1" s="1"/>
  <c r="D658" i="1"/>
  <c r="E658" i="1" s="1"/>
  <c r="F658" i="1" s="1"/>
  <c r="D659" i="1"/>
  <c r="E659" i="1" s="1"/>
  <c r="F659" i="1" s="1"/>
  <c r="D660" i="1"/>
  <c r="E660" i="1" s="1"/>
  <c r="F660" i="1" s="1"/>
  <c r="D661" i="1"/>
  <c r="E661" i="1" s="1"/>
  <c r="F661" i="1" s="1"/>
  <c r="D662" i="1"/>
  <c r="E662" i="1" s="1"/>
  <c r="F662" i="1" s="1"/>
  <c r="D663" i="1"/>
  <c r="E663" i="1" s="1"/>
  <c r="F663" i="1" s="1"/>
  <c r="D664" i="1"/>
  <c r="E664" i="1" s="1"/>
  <c r="F664" i="1" s="1"/>
  <c r="D665" i="1"/>
  <c r="E665" i="1" s="1"/>
  <c r="F665" i="1" s="1"/>
  <c r="D666" i="1"/>
  <c r="E666" i="1" s="1"/>
  <c r="F666" i="1" s="1"/>
  <c r="D667" i="1"/>
  <c r="E667" i="1" s="1"/>
  <c r="F667" i="1" s="1"/>
  <c r="D668" i="1"/>
  <c r="E668" i="1" s="1"/>
  <c r="F668" i="1" s="1"/>
  <c r="D669" i="1"/>
  <c r="E669" i="1" s="1"/>
  <c r="F669" i="1" s="1"/>
  <c r="D670" i="1"/>
  <c r="E670" i="1" s="1"/>
  <c r="F670" i="1" s="1"/>
  <c r="D671" i="1"/>
  <c r="E671" i="1" s="1"/>
  <c r="F671" i="1" s="1"/>
  <c r="D672" i="1"/>
  <c r="E672" i="1" s="1"/>
  <c r="F672" i="1" s="1"/>
  <c r="D673" i="1"/>
  <c r="E673" i="1" s="1"/>
  <c r="F673" i="1" s="1"/>
  <c r="D674" i="1"/>
  <c r="E674" i="1" s="1"/>
  <c r="F674" i="1" s="1"/>
  <c r="D675" i="1"/>
  <c r="E675" i="1" s="1"/>
  <c r="F675" i="1" s="1"/>
  <c r="D676" i="1"/>
  <c r="E676" i="1" s="1"/>
  <c r="F676" i="1" s="1"/>
  <c r="D677" i="1"/>
  <c r="E677" i="1" s="1"/>
  <c r="F677" i="1" s="1"/>
  <c r="D678" i="1"/>
  <c r="E678" i="1" s="1"/>
  <c r="F678" i="1" s="1"/>
  <c r="D679" i="1"/>
  <c r="E679" i="1" s="1"/>
  <c r="F679" i="1" s="1"/>
  <c r="D680" i="1"/>
  <c r="E680" i="1" s="1"/>
  <c r="F680" i="1" s="1"/>
  <c r="D681" i="1"/>
  <c r="E681" i="1" s="1"/>
  <c r="F681" i="1" s="1"/>
  <c r="D682" i="1"/>
  <c r="E682" i="1" s="1"/>
  <c r="F682" i="1" s="1"/>
  <c r="D683" i="1"/>
  <c r="E683" i="1" s="1"/>
  <c r="F683" i="1" s="1"/>
  <c r="D684" i="1"/>
  <c r="E684" i="1" s="1"/>
  <c r="F684" i="1" s="1"/>
  <c r="D685" i="1"/>
  <c r="E685" i="1" s="1"/>
  <c r="F685" i="1" s="1"/>
  <c r="D686" i="1"/>
  <c r="E686" i="1" s="1"/>
  <c r="F686" i="1" s="1"/>
  <c r="D687" i="1"/>
  <c r="E687" i="1" s="1"/>
  <c r="F687" i="1" s="1"/>
  <c r="D688" i="1"/>
  <c r="E688" i="1" s="1"/>
  <c r="F688" i="1" s="1"/>
  <c r="D689" i="1"/>
  <c r="E689" i="1" s="1"/>
  <c r="F689" i="1" s="1"/>
  <c r="D690" i="1"/>
  <c r="E690" i="1" s="1"/>
  <c r="F690" i="1" s="1"/>
  <c r="D691" i="1"/>
  <c r="E691" i="1" s="1"/>
  <c r="F691" i="1" s="1"/>
  <c r="D692" i="1"/>
  <c r="E692" i="1" s="1"/>
  <c r="F692" i="1" s="1"/>
  <c r="D693" i="1"/>
  <c r="E693" i="1" s="1"/>
  <c r="F693" i="1" s="1"/>
  <c r="D694" i="1"/>
  <c r="E694" i="1" s="1"/>
  <c r="F694" i="1" s="1"/>
  <c r="D695" i="1"/>
  <c r="E695" i="1" s="1"/>
  <c r="F695" i="1" s="1"/>
  <c r="D696" i="1"/>
  <c r="E696" i="1" s="1"/>
  <c r="F696" i="1" s="1"/>
  <c r="D697" i="1"/>
  <c r="E697" i="1" s="1"/>
  <c r="F697" i="1" s="1"/>
  <c r="D698" i="1"/>
  <c r="E698" i="1" s="1"/>
  <c r="F698" i="1" s="1"/>
  <c r="D699" i="1"/>
  <c r="E699" i="1" s="1"/>
  <c r="F699" i="1" s="1"/>
  <c r="D700" i="1"/>
  <c r="E700" i="1" s="1"/>
  <c r="F700" i="1" s="1"/>
  <c r="D701" i="1"/>
  <c r="E701" i="1" s="1"/>
  <c r="F701" i="1" s="1"/>
  <c r="D702" i="1"/>
  <c r="E702" i="1" s="1"/>
  <c r="F702" i="1" s="1"/>
  <c r="D703" i="1"/>
  <c r="E703" i="1" s="1"/>
  <c r="F703" i="1" s="1"/>
  <c r="D704" i="1"/>
  <c r="E704" i="1" s="1"/>
  <c r="F704" i="1" s="1"/>
  <c r="D705" i="1"/>
  <c r="E705" i="1" s="1"/>
  <c r="F705" i="1" s="1"/>
  <c r="D706" i="1"/>
  <c r="E706" i="1" s="1"/>
  <c r="F706" i="1" s="1"/>
  <c r="D707" i="1"/>
  <c r="E707" i="1" s="1"/>
  <c r="F707" i="1" s="1"/>
  <c r="D708" i="1"/>
  <c r="E708" i="1" s="1"/>
  <c r="F708" i="1" s="1"/>
  <c r="D709" i="1"/>
  <c r="E709" i="1" s="1"/>
  <c r="F709" i="1" s="1"/>
  <c r="D710" i="1"/>
  <c r="E710" i="1" s="1"/>
  <c r="F710" i="1" s="1"/>
  <c r="D711" i="1"/>
  <c r="E711" i="1" s="1"/>
  <c r="F711" i="1" s="1"/>
  <c r="D712" i="1"/>
  <c r="E712" i="1" s="1"/>
  <c r="F712" i="1" s="1"/>
  <c r="D713" i="1"/>
  <c r="E713" i="1" s="1"/>
  <c r="F713" i="1" s="1"/>
  <c r="D714" i="1"/>
  <c r="E714" i="1" s="1"/>
  <c r="F714" i="1" s="1"/>
  <c r="D715" i="1"/>
  <c r="E715" i="1" s="1"/>
  <c r="F715" i="1" s="1"/>
  <c r="D716" i="1"/>
  <c r="E716" i="1" s="1"/>
  <c r="F716" i="1" s="1"/>
  <c r="D717" i="1"/>
  <c r="E717" i="1" s="1"/>
  <c r="F717" i="1" s="1"/>
  <c r="D718" i="1"/>
  <c r="E718" i="1" s="1"/>
  <c r="F718" i="1" s="1"/>
  <c r="D719" i="1"/>
  <c r="E719" i="1" s="1"/>
  <c r="F719" i="1" s="1"/>
  <c r="D720" i="1"/>
  <c r="E720" i="1" s="1"/>
  <c r="F720" i="1" s="1"/>
  <c r="D721" i="1"/>
  <c r="E721" i="1" s="1"/>
  <c r="F721" i="1" s="1"/>
  <c r="D722" i="1"/>
  <c r="E722" i="1" s="1"/>
  <c r="F722" i="1" s="1"/>
  <c r="D723" i="1"/>
  <c r="E723" i="1" s="1"/>
  <c r="F723" i="1" s="1"/>
  <c r="D724" i="1"/>
  <c r="E724" i="1" s="1"/>
  <c r="F724" i="1" s="1"/>
  <c r="D725" i="1"/>
  <c r="E725" i="1" s="1"/>
  <c r="F725" i="1" s="1"/>
  <c r="D726" i="1"/>
  <c r="E726" i="1" s="1"/>
  <c r="F726" i="1" s="1"/>
  <c r="D727" i="1"/>
  <c r="E727" i="1" s="1"/>
  <c r="F727" i="1" s="1"/>
  <c r="D728" i="1"/>
  <c r="E728" i="1" s="1"/>
  <c r="F728" i="1" s="1"/>
  <c r="D729" i="1"/>
  <c r="E729" i="1" s="1"/>
  <c r="F729" i="1" s="1"/>
  <c r="D730" i="1"/>
  <c r="E730" i="1" s="1"/>
  <c r="F730" i="1" s="1"/>
  <c r="D731" i="1"/>
  <c r="E731" i="1" s="1"/>
  <c r="F731" i="1" s="1"/>
  <c r="D732" i="1"/>
  <c r="E732" i="1" s="1"/>
  <c r="F732" i="1" s="1"/>
  <c r="D733" i="1"/>
  <c r="E733" i="1" s="1"/>
  <c r="F733" i="1" s="1"/>
  <c r="D734" i="1"/>
  <c r="E734" i="1" s="1"/>
  <c r="F734" i="1" s="1"/>
  <c r="D735" i="1"/>
  <c r="E735" i="1" s="1"/>
  <c r="F735" i="1" s="1"/>
  <c r="D736" i="1"/>
  <c r="E736" i="1" s="1"/>
  <c r="F736" i="1" s="1"/>
  <c r="D737" i="1"/>
  <c r="E737" i="1" s="1"/>
  <c r="F737" i="1" s="1"/>
  <c r="D738" i="1"/>
  <c r="E738" i="1" s="1"/>
  <c r="F738" i="1" s="1"/>
  <c r="D739" i="1"/>
  <c r="E739" i="1" s="1"/>
  <c r="F739" i="1" s="1"/>
  <c r="D740" i="1"/>
  <c r="E740" i="1" s="1"/>
  <c r="F740" i="1" s="1"/>
  <c r="D741" i="1"/>
  <c r="E741" i="1" s="1"/>
  <c r="F741" i="1" s="1"/>
  <c r="D742" i="1"/>
  <c r="E742" i="1" s="1"/>
  <c r="F742" i="1" s="1"/>
  <c r="D743" i="1"/>
  <c r="E743" i="1" s="1"/>
  <c r="F743" i="1" s="1"/>
  <c r="D744" i="1"/>
  <c r="E744" i="1" s="1"/>
  <c r="F744" i="1" s="1"/>
  <c r="D745" i="1"/>
  <c r="E745" i="1" s="1"/>
  <c r="F745" i="1" s="1"/>
  <c r="D746" i="1"/>
  <c r="E746" i="1" s="1"/>
  <c r="F746" i="1" s="1"/>
  <c r="D747" i="1"/>
  <c r="E747" i="1" s="1"/>
  <c r="F747" i="1" s="1"/>
  <c r="D748" i="1"/>
  <c r="E748" i="1" s="1"/>
  <c r="F748" i="1" s="1"/>
  <c r="D749" i="1"/>
  <c r="E749" i="1" s="1"/>
  <c r="F749" i="1" s="1"/>
  <c r="D750" i="1"/>
  <c r="E750" i="1" s="1"/>
  <c r="F750" i="1" s="1"/>
  <c r="D751" i="1"/>
  <c r="E751" i="1" s="1"/>
  <c r="F751" i="1" s="1"/>
  <c r="D752" i="1"/>
  <c r="E752" i="1" s="1"/>
  <c r="F752" i="1" s="1"/>
  <c r="D753" i="1"/>
  <c r="E753" i="1" s="1"/>
  <c r="F753" i="1" s="1"/>
  <c r="D754" i="1"/>
  <c r="E754" i="1" s="1"/>
  <c r="F754" i="1" s="1"/>
  <c r="D755" i="1"/>
  <c r="E755" i="1" s="1"/>
  <c r="F755" i="1" s="1"/>
  <c r="D756" i="1"/>
  <c r="E756" i="1" s="1"/>
  <c r="F756" i="1" s="1"/>
  <c r="D757" i="1"/>
  <c r="E757" i="1" s="1"/>
  <c r="F757" i="1" s="1"/>
  <c r="D758" i="1"/>
  <c r="E758" i="1" s="1"/>
  <c r="F758" i="1" s="1"/>
  <c r="D759" i="1"/>
  <c r="E759" i="1" s="1"/>
  <c r="F759" i="1" s="1"/>
  <c r="D760" i="1"/>
  <c r="E760" i="1" s="1"/>
  <c r="F760" i="1" s="1"/>
  <c r="D761" i="1"/>
  <c r="E761" i="1" s="1"/>
  <c r="F761" i="1" s="1"/>
  <c r="D762" i="1"/>
  <c r="E762" i="1" s="1"/>
  <c r="F762" i="1" s="1"/>
  <c r="D763" i="1"/>
  <c r="E763" i="1" s="1"/>
  <c r="F763" i="1" s="1"/>
  <c r="D764" i="1"/>
  <c r="E764" i="1" s="1"/>
  <c r="F764" i="1" s="1"/>
  <c r="D765" i="1"/>
  <c r="E765" i="1" s="1"/>
  <c r="F765" i="1" s="1"/>
  <c r="D766" i="1"/>
  <c r="E766" i="1" s="1"/>
  <c r="F766" i="1" s="1"/>
  <c r="D767" i="1"/>
  <c r="E767" i="1" s="1"/>
  <c r="F767" i="1" s="1"/>
  <c r="D768" i="1"/>
  <c r="E768" i="1" s="1"/>
  <c r="F768" i="1" s="1"/>
  <c r="D769" i="1"/>
  <c r="E769" i="1" s="1"/>
  <c r="F769" i="1" s="1"/>
  <c r="D770" i="1"/>
  <c r="E770" i="1" s="1"/>
  <c r="F770" i="1" s="1"/>
  <c r="D771" i="1"/>
  <c r="E771" i="1" s="1"/>
  <c r="F771" i="1" s="1"/>
  <c r="D772" i="1"/>
  <c r="E772" i="1" s="1"/>
  <c r="F772" i="1" s="1"/>
  <c r="D773" i="1"/>
  <c r="E773" i="1" s="1"/>
  <c r="F773" i="1" s="1"/>
  <c r="D774" i="1"/>
  <c r="E774" i="1" s="1"/>
  <c r="F774" i="1" s="1"/>
  <c r="D775" i="1"/>
  <c r="E775" i="1" s="1"/>
  <c r="F775" i="1" s="1"/>
  <c r="D776" i="1"/>
  <c r="E776" i="1" s="1"/>
  <c r="F776" i="1" s="1"/>
  <c r="D777" i="1"/>
  <c r="E777" i="1" s="1"/>
  <c r="F777" i="1" s="1"/>
  <c r="D778" i="1"/>
  <c r="E778" i="1" s="1"/>
  <c r="F778" i="1" s="1"/>
  <c r="D779" i="1"/>
  <c r="E779" i="1" s="1"/>
  <c r="F779" i="1" s="1"/>
  <c r="D780" i="1"/>
  <c r="E780" i="1" s="1"/>
  <c r="F780" i="1" s="1"/>
  <c r="D781" i="1"/>
  <c r="E781" i="1" s="1"/>
  <c r="F781" i="1" s="1"/>
  <c r="D782" i="1"/>
  <c r="E782" i="1" s="1"/>
  <c r="F782" i="1" s="1"/>
  <c r="D783" i="1"/>
  <c r="E783" i="1" s="1"/>
  <c r="F783" i="1" s="1"/>
  <c r="D784" i="1"/>
  <c r="E784" i="1" s="1"/>
  <c r="F784" i="1" s="1"/>
  <c r="D785" i="1"/>
  <c r="E785" i="1" s="1"/>
  <c r="F785" i="1" s="1"/>
  <c r="D786" i="1"/>
  <c r="E786" i="1" s="1"/>
  <c r="F786" i="1" s="1"/>
  <c r="D787" i="1"/>
  <c r="E787" i="1" s="1"/>
  <c r="F787" i="1" s="1"/>
  <c r="D788" i="1"/>
  <c r="E788" i="1" s="1"/>
  <c r="F788" i="1" s="1"/>
  <c r="D789" i="1"/>
  <c r="E789" i="1" s="1"/>
  <c r="F789" i="1" s="1"/>
  <c r="D790" i="1"/>
  <c r="E790" i="1" s="1"/>
  <c r="F790" i="1" s="1"/>
  <c r="D791" i="1"/>
  <c r="E791" i="1" s="1"/>
  <c r="F791" i="1" s="1"/>
  <c r="D792" i="1"/>
  <c r="E792" i="1" s="1"/>
  <c r="F792" i="1" s="1"/>
  <c r="D793" i="1"/>
  <c r="E793" i="1" s="1"/>
  <c r="F793" i="1" s="1"/>
  <c r="D794" i="1"/>
  <c r="E794" i="1" s="1"/>
  <c r="F794" i="1" s="1"/>
  <c r="D795" i="1"/>
  <c r="E795" i="1" s="1"/>
  <c r="F795" i="1" s="1"/>
  <c r="D796" i="1"/>
  <c r="E796" i="1" s="1"/>
  <c r="F796" i="1" s="1"/>
  <c r="D797" i="1"/>
  <c r="E797" i="1" s="1"/>
  <c r="F797" i="1" s="1"/>
  <c r="D798" i="1"/>
  <c r="E798" i="1" s="1"/>
  <c r="F798" i="1" s="1"/>
  <c r="D799" i="1"/>
  <c r="E799" i="1" s="1"/>
  <c r="F799" i="1" s="1"/>
  <c r="D800" i="1"/>
  <c r="E800" i="1" s="1"/>
  <c r="F800" i="1" s="1"/>
  <c r="D801" i="1"/>
  <c r="E801" i="1" s="1"/>
  <c r="F801" i="1" s="1"/>
  <c r="D802" i="1"/>
  <c r="E802" i="1" s="1"/>
  <c r="F802" i="1" s="1"/>
  <c r="D803" i="1"/>
  <c r="E803" i="1" s="1"/>
  <c r="F803" i="1" s="1"/>
  <c r="D804" i="1"/>
  <c r="E804" i="1" s="1"/>
  <c r="F804" i="1" s="1"/>
  <c r="D805" i="1"/>
  <c r="E805" i="1" s="1"/>
  <c r="F805" i="1" s="1"/>
  <c r="D806" i="1"/>
  <c r="E806" i="1" s="1"/>
  <c r="F806" i="1" s="1"/>
  <c r="D807" i="1"/>
  <c r="E807" i="1" s="1"/>
  <c r="F807" i="1" s="1"/>
  <c r="D808" i="1"/>
  <c r="E808" i="1" s="1"/>
  <c r="F808" i="1" s="1"/>
  <c r="D809" i="1"/>
  <c r="E809" i="1" s="1"/>
  <c r="F809" i="1" s="1"/>
  <c r="D810" i="1"/>
  <c r="E810" i="1" s="1"/>
  <c r="F810" i="1" s="1"/>
  <c r="D811" i="1"/>
  <c r="E811" i="1" s="1"/>
  <c r="F811" i="1" s="1"/>
  <c r="D812" i="1"/>
  <c r="E812" i="1" s="1"/>
  <c r="F812" i="1" s="1"/>
  <c r="D813" i="1"/>
  <c r="E813" i="1" s="1"/>
  <c r="F813" i="1" s="1"/>
  <c r="D814" i="1"/>
  <c r="E814" i="1" s="1"/>
  <c r="F814" i="1" s="1"/>
  <c r="D815" i="1"/>
  <c r="E815" i="1" s="1"/>
  <c r="F815" i="1" s="1"/>
  <c r="D816" i="1"/>
  <c r="E816" i="1" s="1"/>
  <c r="F816" i="1" s="1"/>
  <c r="D817" i="1"/>
  <c r="E817" i="1" s="1"/>
  <c r="F817" i="1" s="1"/>
  <c r="D818" i="1"/>
  <c r="E818" i="1" s="1"/>
  <c r="F818" i="1" s="1"/>
  <c r="D819" i="1"/>
  <c r="E819" i="1" s="1"/>
  <c r="F819" i="1" s="1"/>
  <c r="D820" i="1"/>
  <c r="E820" i="1" s="1"/>
  <c r="F820" i="1" s="1"/>
  <c r="D821" i="1"/>
  <c r="E821" i="1" s="1"/>
  <c r="F821" i="1" s="1"/>
  <c r="D822" i="1"/>
  <c r="E822" i="1" s="1"/>
  <c r="F822" i="1" s="1"/>
  <c r="D823" i="1"/>
  <c r="E823" i="1" s="1"/>
  <c r="F823" i="1" s="1"/>
  <c r="D824" i="1"/>
  <c r="E824" i="1" s="1"/>
  <c r="F824" i="1" s="1"/>
  <c r="D825" i="1"/>
  <c r="E825" i="1" s="1"/>
  <c r="F825" i="1" s="1"/>
  <c r="D826" i="1"/>
  <c r="E826" i="1" s="1"/>
  <c r="F826" i="1" s="1"/>
  <c r="D827" i="1"/>
  <c r="E827" i="1" s="1"/>
  <c r="F827" i="1" s="1"/>
  <c r="D828" i="1"/>
  <c r="E828" i="1" s="1"/>
  <c r="F828" i="1" s="1"/>
  <c r="D829" i="1"/>
  <c r="E829" i="1" s="1"/>
  <c r="F829" i="1" s="1"/>
  <c r="D830" i="1"/>
  <c r="E830" i="1" s="1"/>
  <c r="F830" i="1" s="1"/>
  <c r="D831" i="1"/>
  <c r="E831" i="1" s="1"/>
  <c r="F831" i="1" s="1"/>
  <c r="D832" i="1"/>
  <c r="E832" i="1" s="1"/>
  <c r="F832" i="1" s="1"/>
  <c r="D833" i="1"/>
  <c r="E833" i="1" s="1"/>
  <c r="F833" i="1" s="1"/>
  <c r="D834" i="1"/>
  <c r="E834" i="1" s="1"/>
  <c r="F834" i="1" s="1"/>
  <c r="D835" i="1"/>
  <c r="E835" i="1" s="1"/>
  <c r="F835" i="1" s="1"/>
  <c r="D836" i="1"/>
  <c r="E836" i="1" s="1"/>
  <c r="F836" i="1" s="1"/>
  <c r="D837" i="1"/>
  <c r="E837" i="1" s="1"/>
  <c r="F837" i="1" s="1"/>
  <c r="D838" i="1"/>
  <c r="E838" i="1" s="1"/>
  <c r="F838" i="1" s="1"/>
  <c r="D839" i="1"/>
  <c r="E839" i="1" s="1"/>
  <c r="F839" i="1" s="1"/>
  <c r="D840" i="1"/>
  <c r="E840" i="1" s="1"/>
  <c r="F840" i="1" s="1"/>
  <c r="D841" i="1"/>
  <c r="E841" i="1" s="1"/>
  <c r="F841" i="1" s="1"/>
  <c r="D842" i="1"/>
  <c r="E842" i="1" s="1"/>
  <c r="F842" i="1" s="1"/>
  <c r="D843" i="1"/>
  <c r="E843" i="1" s="1"/>
  <c r="F843" i="1" s="1"/>
  <c r="D844" i="1"/>
  <c r="E844" i="1" s="1"/>
  <c r="F844" i="1" s="1"/>
  <c r="D845" i="1"/>
  <c r="E845" i="1" s="1"/>
  <c r="F845" i="1" s="1"/>
  <c r="D846" i="1"/>
  <c r="E846" i="1" s="1"/>
  <c r="F846" i="1" s="1"/>
  <c r="D847" i="1"/>
  <c r="E847" i="1" s="1"/>
  <c r="F847" i="1" s="1"/>
  <c r="D848" i="1"/>
  <c r="E848" i="1" s="1"/>
  <c r="F848" i="1" s="1"/>
  <c r="D849" i="1"/>
  <c r="E849" i="1" s="1"/>
  <c r="F849" i="1" s="1"/>
  <c r="D850" i="1"/>
  <c r="E850" i="1" s="1"/>
  <c r="F850" i="1" s="1"/>
  <c r="D851" i="1"/>
  <c r="E851" i="1" s="1"/>
  <c r="F851" i="1" s="1"/>
  <c r="D852" i="1"/>
  <c r="E852" i="1" s="1"/>
  <c r="F852" i="1" s="1"/>
  <c r="D853" i="1"/>
  <c r="E853" i="1" s="1"/>
  <c r="F853" i="1" s="1"/>
  <c r="D854" i="1"/>
  <c r="E854" i="1" s="1"/>
  <c r="F854" i="1" s="1"/>
  <c r="D855" i="1"/>
  <c r="E855" i="1" s="1"/>
  <c r="F855" i="1" s="1"/>
  <c r="D856" i="1"/>
  <c r="E856" i="1" s="1"/>
  <c r="F856" i="1" s="1"/>
  <c r="D857" i="1"/>
  <c r="E857" i="1" s="1"/>
  <c r="F857" i="1" s="1"/>
  <c r="D858" i="1"/>
  <c r="E858" i="1" s="1"/>
  <c r="F858" i="1" s="1"/>
  <c r="D859" i="1"/>
  <c r="E859" i="1" s="1"/>
  <c r="F859" i="1" s="1"/>
  <c r="D860" i="1"/>
  <c r="E860" i="1" s="1"/>
  <c r="F860" i="1" s="1"/>
  <c r="D861" i="1"/>
  <c r="E861" i="1" s="1"/>
  <c r="F861" i="1" s="1"/>
  <c r="D862" i="1"/>
  <c r="E862" i="1" s="1"/>
  <c r="F862" i="1" s="1"/>
  <c r="D863" i="1"/>
  <c r="E863" i="1" s="1"/>
  <c r="F863" i="1" s="1"/>
  <c r="D864" i="1"/>
  <c r="E864" i="1" s="1"/>
  <c r="F864" i="1" s="1"/>
  <c r="D865" i="1"/>
  <c r="E865" i="1" s="1"/>
  <c r="F865" i="1" s="1"/>
  <c r="D866" i="1"/>
  <c r="E866" i="1" s="1"/>
  <c r="F866" i="1" s="1"/>
  <c r="D867" i="1"/>
  <c r="E867" i="1" s="1"/>
  <c r="F867" i="1" s="1"/>
  <c r="D868" i="1"/>
  <c r="E868" i="1" s="1"/>
  <c r="F868" i="1" s="1"/>
  <c r="D869" i="1"/>
  <c r="E869" i="1" s="1"/>
  <c r="F869" i="1" s="1"/>
  <c r="D870" i="1"/>
  <c r="E870" i="1" s="1"/>
  <c r="F870" i="1" s="1"/>
  <c r="D871" i="1"/>
  <c r="E871" i="1" s="1"/>
  <c r="F871" i="1" s="1"/>
  <c r="D872" i="1"/>
  <c r="E872" i="1" s="1"/>
  <c r="F872" i="1" s="1"/>
  <c r="D873" i="1"/>
  <c r="E873" i="1" s="1"/>
  <c r="F873" i="1" s="1"/>
  <c r="D874" i="1"/>
  <c r="E874" i="1" s="1"/>
  <c r="F874" i="1" s="1"/>
  <c r="D875" i="1"/>
  <c r="E875" i="1" s="1"/>
  <c r="F875" i="1" s="1"/>
  <c r="D876" i="1"/>
  <c r="E876" i="1" s="1"/>
  <c r="F876" i="1" s="1"/>
  <c r="D877" i="1"/>
  <c r="E877" i="1" s="1"/>
  <c r="F877" i="1" s="1"/>
  <c r="D878" i="1"/>
  <c r="E878" i="1" s="1"/>
  <c r="F878" i="1" s="1"/>
  <c r="D879" i="1"/>
  <c r="E879" i="1" s="1"/>
  <c r="F879" i="1" s="1"/>
  <c r="D880" i="1"/>
  <c r="E880" i="1" s="1"/>
  <c r="F880" i="1" s="1"/>
  <c r="D881" i="1"/>
  <c r="E881" i="1" s="1"/>
  <c r="F881" i="1" s="1"/>
  <c r="D882" i="1"/>
  <c r="E882" i="1" s="1"/>
  <c r="F882" i="1" s="1"/>
  <c r="D883" i="1"/>
  <c r="E883" i="1" s="1"/>
  <c r="F883" i="1" s="1"/>
  <c r="D884" i="1"/>
  <c r="E884" i="1" s="1"/>
  <c r="F884" i="1" s="1"/>
  <c r="D885" i="1"/>
  <c r="E885" i="1" s="1"/>
  <c r="F885" i="1" s="1"/>
  <c r="D886" i="1"/>
  <c r="E886" i="1" s="1"/>
  <c r="F886" i="1" s="1"/>
  <c r="D887" i="1"/>
  <c r="E887" i="1" s="1"/>
  <c r="F887" i="1" s="1"/>
  <c r="D888" i="1"/>
  <c r="E888" i="1" s="1"/>
  <c r="F888" i="1" s="1"/>
  <c r="D889" i="1"/>
  <c r="E889" i="1" s="1"/>
  <c r="F889" i="1" s="1"/>
  <c r="D890" i="1"/>
  <c r="E890" i="1" s="1"/>
  <c r="F890" i="1" s="1"/>
  <c r="D891" i="1"/>
  <c r="E891" i="1" s="1"/>
  <c r="F891" i="1" s="1"/>
  <c r="D892" i="1"/>
  <c r="E892" i="1" s="1"/>
  <c r="F892" i="1" s="1"/>
  <c r="D893" i="1"/>
  <c r="E893" i="1" s="1"/>
  <c r="F893" i="1" s="1"/>
  <c r="D894" i="1"/>
  <c r="E894" i="1" s="1"/>
  <c r="F894" i="1" s="1"/>
  <c r="D895" i="1"/>
  <c r="E895" i="1" s="1"/>
  <c r="F895" i="1" s="1"/>
  <c r="D896" i="1"/>
  <c r="E896" i="1" s="1"/>
  <c r="F896" i="1" s="1"/>
  <c r="D897" i="1"/>
  <c r="E897" i="1" s="1"/>
  <c r="F897" i="1" s="1"/>
  <c r="D898" i="1"/>
  <c r="E898" i="1" s="1"/>
  <c r="F898" i="1" s="1"/>
  <c r="D899" i="1"/>
  <c r="E899" i="1" s="1"/>
  <c r="F899" i="1" s="1"/>
  <c r="D900" i="1"/>
  <c r="E900" i="1" s="1"/>
  <c r="F900" i="1" s="1"/>
  <c r="D901" i="1"/>
  <c r="E901" i="1" s="1"/>
  <c r="F901" i="1" s="1"/>
  <c r="D902" i="1"/>
  <c r="E902" i="1" s="1"/>
  <c r="F902" i="1" s="1"/>
  <c r="D903" i="1"/>
  <c r="E903" i="1" s="1"/>
  <c r="F903" i="1" s="1"/>
  <c r="D904" i="1"/>
  <c r="E904" i="1" s="1"/>
  <c r="F904" i="1" s="1"/>
  <c r="D905" i="1"/>
  <c r="E905" i="1" s="1"/>
  <c r="F905" i="1" s="1"/>
  <c r="D906" i="1"/>
  <c r="E906" i="1" s="1"/>
  <c r="F906" i="1" s="1"/>
  <c r="D907" i="1"/>
  <c r="E907" i="1" s="1"/>
  <c r="F907" i="1" s="1"/>
  <c r="D908" i="1"/>
  <c r="E908" i="1" s="1"/>
  <c r="F908" i="1" s="1"/>
  <c r="D909" i="1"/>
  <c r="E909" i="1" s="1"/>
  <c r="F909" i="1" s="1"/>
  <c r="D910" i="1"/>
  <c r="E910" i="1" s="1"/>
  <c r="F910" i="1" s="1"/>
  <c r="D911" i="1"/>
  <c r="E911" i="1" s="1"/>
  <c r="F911" i="1" s="1"/>
  <c r="D912" i="1"/>
  <c r="E912" i="1" s="1"/>
  <c r="F912" i="1" s="1"/>
  <c r="D913" i="1"/>
  <c r="E913" i="1" s="1"/>
  <c r="F913" i="1" s="1"/>
  <c r="D914" i="1"/>
  <c r="E914" i="1" s="1"/>
  <c r="F914" i="1" s="1"/>
  <c r="D915" i="1"/>
  <c r="E915" i="1" s="1"/>
  <c r="F915" i="1" s="1"/>
  <c r="D916" i="1"/>
  <c r="E916" i="1" s="1"/>
  <c r="F916" i="1" s="1"/>
  <c r="D917" i="1"/>
  <c r="E917" i="1" s="1"/>
  <c r="F917" i="1" s="1"/>
  <c r="D918" i="1"/>
  <c r="E918" i="1" s="1"/>
  <c r="F918" i="1" s="1"/>
  <c r="D919" i="1"/>
  <c r="E919" i="1" s="1"/>
  <c r="F919" i="1" s="1"/>
  <c r="D920" i="1"/>
  <c r="E920" i="1" s="1"/>
  <c r="F920" i="1" s="1"/>
  <c r="D921" i="1"/>
  <c r="E921" i="1" s="1"/>
  <c r="F921" i="1" s="1"/>
  <c r="D922" i="1"/>
  <c r="E922" i="1" s="1"/>
  <c r="F922" i="1" s="1"/>
  <c r="D923" i="1"/>
  <c r="E923" i="1" s="1"/>
  <c r="F923" i="1" s="1"/>
  <c r="D924" i="1"/>
  <c r="E924" i="1" s="1"/>
  <c r="F924" i="1" s="1"/>
  <c r="D925" i="1"/>
  <c r="E925" i="1" s="1"/>
  <c r="F925" i="1" s="1"/>
  <c r="D926" i="1"/>
  <c r="E926" i="1" s="1"/>
  <c r="F926" i="1" s="1"/>
  <c r="D927" i="1"/>
  <c r="E927" i="1" s="1"/>
  <c r="F927" i="1" s="1"/>
  <c r="D928" i="1"/>
  <c r="E928" i="1" s="1"/>
  <c r="F928" i="1" s="1"/>
  <c r="D929" i="1"/>
  <c r="E929" i="1" s="1"/>
  <c r="F929" i="1" s="1"/>
  <c r="D930" i="1"/>
  <c r="E930" i="1" s="1"/>
  <c r="F930" i="1" s="1"/>
  <c r="D931" i="1"/>
  <c r="E931" i="1" s="1"/>
  <c r="F931" i="1" s="1"/>
  <c r="D932" i="1"/>
  <c r="E932" i="1" s="1"/>
  <c r="F932" i="1" s="1"/>
  <c r="D933" i="1"/>
  <c r="E933" i="1" s="1"/>
  <c r="F933" i="1" s="1"/>
  <c r="D934" i="1"/>
  <c r="E934" i="1" s="1"/>
  <c r="F934" i="1" s="1"/>
  <c r="D935" i="1"/>
  <c r="E935" i="1" s="1"/>
  <c r="F935" i="1" s="1"/>
  <c r="D936" i="1"/>
  <c r="E936" i="1" s="1"/>
  <c r="F936" i="1" s="1"/>
  <c r="D937" i="1"/>
  <c r="E937" i="1" s="1"/>
  <c r="F937" i="1" s="1"/>
  <c r="D938" i="1"/>
  <c r="E938" i="1" s="1"/>
  <c r="F938" i="1" s="1"/>
  <c r="D939" i="1"/>
  <c r="E939" i="1" s="1"/>
  <c r="F939" i="1" s="1"/>
  <c r="D940" i="1"/>
  <c r="E940" i="1" s="1"/>
  <c r="F940" i="1" s="1"/>
  <c r="D941" i="1"/>
  <c r="E941" i="1" s="1"/>
  <c r="F941" i="1" s="1"/>
  <c r="D942" i="1"/>
  <c r="E942" i="1" s="1"/>
  <c r="F942" i="1" s="1"/>
  <c r="D943" i="1"/>
  <c r="E943" i="1" s="1"/>
  <c r="F943" i="1" s="1"/>
  <c r="D944" i="1"/>
  <c r="E944" i="1" s="1"/>
  <c r="F944" i="1" s="1"/>
  <c r="D945" i="1"/>
  <c r="E945" i="1" s="1"/>
  <c r="F945" i="1" s="1"/>
  <c r="D946" i="1"/>
  <c r="E946" i="1" s="1"/>
  <c r="F946" i="1" s="1"/>
  <c r="D947" i="1"/>
  <c r="E947" i="1" s="1"/>
  <c r="F947" i="1" s="1"/>
  <c r="D948" i="1"/>
  <c r="E948" i="1" s="1"/>
  <c r="F948" i="1" s="1"/>
  <c r="D949" i="1"/>
  <c r="E949" i="1" s="1"/>
  <c r="F949" i="1" s="1"/>
  <c r="D950" i="1"/>
  <c r="E950" i="1" s="1"/>
  <c r="F950" i="1" s="1"/>
  <c r="D951" i="1"/>
  <c r="E951" i="1" s="1"/>
  <c r="F951" i="1" s="1"/>
  <c r="D952" i="1"/>
  <c r="E952" i="1" s="1"/>
  <c r="F952" i="1" s="1"/>
  <c r="D953" i="1"/>
  <c r="E953" i="1" s="1"/>
  <c r="F953" i="1" s="1"/>
  <c r="D954" i="1"/>
  <c r="E954" i="1" s="1"/>
  <c r="F954" i="1" s="1"/>
  <c r="D955" i="1"/>
  <c r="E955" i="1" s="1"/>
  <c r="F955" i="1" s="1"/>
  <c r="D956" i="1"/>
  <c r="E956" i="1" s="1"/>
  <c r="F956" i="1" s="1"/>
  <c r="D957" i="1"/>
  <c r="E957" i="1" s="1"/>
  <c r="F957" i="1" s="1"/>
  <c r="D958" i="1"/>
  <c r="E958" i="1" s="1"/>
  <c r="F958" i="1" s="1"/>
  <c r="D959" i="1"/>
  <c r="E959" i="1" s="1"/>
  <c r="F959" i="1" s="1"/>
  <c r="D960" i="1"/>
  <c r="E960" i="1" s="1"/>
  <c r="F960" i="1" s="1"/>
  <c r="D961" i="1"/>
  <c r="E961" i="1" s="1"/>
  <c r="F961" i="1" s="1"/>
  <c r="D962" i="1"/>
  <c r="E962" i="1" s="1"/>
  <c r="F962" i="1" s="1"/>
  <c r="D963" i="1"/>
  <c r="E963" i="1" s="1"/>
  <c r="F963" i="1" s="1"/>
  <c r="D964" i="1"/>
  <c r="E964" i="1" s="1"/>
  <c r="F964" i="1" s="1"/>
  <c r="D965" i="1"/>
  <c r="E965" i="1" s="1"/>
  <c r="F965" i="1" s="1"/>
  <c r="D966" i="1"/>
  <c r="E966" i="1" s="1"/>
  <c r="F966" i="1" s="1"/>
  <c r="D967" i="1"/>
  <c r="E967" i="1" s="1"/>
  <c r="F967" i="1" s="1"/>
  <c r="D968" i="1"/>
  <c r="E968" i="1" s="1"/>
  <c r="F968" i="1" s="1"/>
  <c r="D969" i="1"/>
  <c r="E969" i="1" s="1"/>
  <c r="F969" i="1" s="1"/>
  <c r="D970" i="1"/>
  <c r="E970" i="1" s="1"/>
  <c r="F970" i="1" s="1"/>
  <c r="D971" i="1"/>
  <c r="E971" i="1" s="1"/>
  <c r="F971" i="1" s="1"/>
  <c r="D972" i="1"/>
  <c r="E972" i="1" s="1"/>
  <c r="F972" i="1" s="1"/>
  <c r="D973" i="1"/>
  <c r="E973" i="1" s="1"/>
  <c r="F973" i="1" s="1"/>
  <c r="D974" i="1"/>
  <c r="E974" i="1" s="1"/>
  <c r="F974" i="1" s="1"/>
  <c r="D975" i="1"/>
  <c r="E975" i="1" s="1"/>
  <c r="F975" i="1" s="1"/>
  <c r="D976" i="1"/>
  <c r="E976" i="1" s="1"/>
  <c r="F976" i="1" s="1"/>
  <c r="D977" i="1"/>
  <c r="E977" i="1" s="1"/>
  <c r="F977" i="1" s="1"/>
  <c r="D978" i="1"/>
  <c r="E978" i="1" s="1"/>
  <c r="F978" i="1" s="1"/>
  <c r="D979" i="1"/>
  <c r="E979" i="1" s="1"/>
  <c r="F979" i="1" s="1"/>
  <c r="D980" i="1"/>
  <c r="E980" i="1" s="1"/>
  <c r="F980" i="1" s="1"/>
  <c r="D981" i="1"/>
  <c r="E981" i="1" s="1"/>
  <c r="F981" i="1" s="1"/>
  <c r="D982" i="1"/>
  <c r="E982" i="1" s="1"/>
  <c r="F982" i="1" s="1"/>
  <c r="D983" i="1"/>
  <c r="E983" i="1" s="1"/>
  <c r="F983" i="1" s="1"/>
  <c r="D984" i="1"/>
  <c r="E984" i="1" s="1"/>
  <c r="F984" i="1" s="1"/>
  <c r="D985" i="1"/>
  <c r="E985" i="1" s="1"/>
  <c r="F985" i="1" s="1"/>
  <c r="D986" i="1"/>
  <c r="E986" i="1" s="1"/>
  <c r="F986" i="1" s="1"/>
  <c r="D987" i="1"/>
  <c r="E987" i="1" s="1"/>
  <c r="F987" i="1" s="1"/>
  <c r="D988" i="1"/>
  <c r="E988" i="1" s="1"/>
  <c r="F988" i="1" s="1"/>
  <c r="D989" i="1"/>
  <c r="E989" i="1" s="1"/>
  <c r="F989" i="1" s="1"/>
  <c r="D990" i="1"/>
  <c r="E990" i="1" s="1"/>
  <c r="F990" i="1" s="1"/>
  <c r="D991" i="1"/>
  <c r="E991" i="1" s="1"/>
  <c r="F991" i="1" s="1"/>
  <c r="D992" i="1"/>
  <c r="E992" i="1" s="1"/>
  <c r="F992" i="1" s="1"/>
  <c r="D993" i="1"/>
  <c r="E993" i="1" s="1"/>
  <c r="F993" i="1" s="1"/>
  <c r="D994" i="1"/>
  <c r="E994" i="1" s="1"/>
  <c r="F994" i="1" s="1"/>
  <c r="D995" i="1"/>
  <c r="E995" i="1" s="1"/>
  <c r="F995" i="1" s="1"/>
  <c r="D996" i="1"/>
  <c r="E996" i="1" s="1"/>
  <c r="F996" i="1" s="1"/>
  <c r="D997" i="1"/>
  <c r="E997" i="1" s="1"/>
  <c r="F997" i="1" s="1"/>
  <c r="D998" i="1"/>
  <c r="E998" i="1" s="1"/>
  <c r="F998" i="1" s="1"/>
  <c r="D999" i="1"/>
  <c r="E999" i="1" s="1"/>
  <c r="F999" i="1" s="1"/>
  <c r="D1000" i="1"/>
  <c r="E1000" i="1" s="1"/>
  <c r="F1000" i="1" s="1"/>
  <c r="D1001" i="1"/>
  <c r="E1001" i="1" s="1"/>
  <c r="F1001" i="1" s="1"/>
  <c r="D1002" i="1"/>
  <c r="E1002" i="1" s="1"/>
  <c r="F1002" i="1" s="1"/>
  <c r="D1003" i="1"/>
  <c r="E1003" i="1" s="1"/>
  <c r="F1003" i="1" s="1"/>
  <c r="D1004" i="1"/>
  <c r="E1004" i="1" s="1"/>
  <c r="F1004" i="1" s="1"/>
  <c r="D1005" i="1"/>
  <c r="E1005" i="1" s="1"/>
  <c r="F1005" i="1" s="1"/>
  <c r="D1006" i="1"/>
  <c r="E1006" i="1" s="1"/>
  <c r="F1006" i="1" s="1"/>
  <c r="D1007" i="1"/>
  <c r="E1007" i="1" s="1"/>
  <c r="F1007" i="1" s="1"/>
  <c r="D1008" i="1"/>
  <c r="E1008" i="1" s="1"/>
  <c r="F1008" i="1" s="1"/>
  <c r="D1009" i="1"/>
  <c r="E1009" i="1" s="1"/>
  <c r="F1009" i="1" s="1"/>
  <c r="D1010" i="1"/>
  <c r="E1010" i="1" s="1"/>
  <c r="F1010" i="1" s="1"/>
  <c r="D1011" i="1"/>
  <c r="E1011" i="1" s="1"/>
  <c r="F1011" i="1" s="1"/>
  <c r="D1012" i="1"/>
  <c r="E1012" i="1" s="1"/>
  <c r="F1012" i="1" s="1"/>
  <c r="D1013" i="1"/>
  <c r="E1013" i="1" s="1"/>
  <c r="F1013" i="1" s="1"/>
  <c r="D1014" i="1"/>
  <c r="E1014" i="1" s="1"/>
  <c r="F1014" i="1" s="1"/>
  <c r="D1015" i="1"/>
  <c r="E1015" i="1" s="1"/>
  <c r="F1015" i="1" s="1"/>
  <c r="D1016" i="1"/>
  <c r="E1016" i="1" s="1"/>
  <c r="F1016" i="1" s="1"/>
  <c r="D1017" i="1"/>
  <c r="E1017" i="1" s="1"/>
  <c r="F1017" i="1" s="1"/>
  <c r="D1018" i="1"/>
  <c r="E1018" i="1" s="1"/>
  <c r="F1018" i="1" s="1"/>
  <c r="D1019" i="1"/>
  <c r="E1019" i="1" s="1"/>
  <c r="F1019" i="1" s="1"/>
  <c r="D1020" i="1"/>
  <c r="E1020" i="1" s="1"/>
  <c r="F1020" i="1" s="1"/>
  <c r="D1021" i="1"/>
  <c r="E1021" i="1" s="1"/>
  <c r="F1021" i="1" s="1"/>
  <c r="D1022" i="1"/>
  <c r="E1022" i="1" s="1"/>
  <c r="F1022" i="1" s="1"/>
  <c r="D1023" i="1"/>
  <c r="E1023" i="1" s="1"/>
  <c r="F1023" i="1" s="1"/>
  <c r="D1024" i="1"/>
  <c r="E1024" i="1" s="1"/>
  <c r="F1024" i="1" s="1"/>
  <c r="D1025" i="1"/>
  <c r="E1025" i="1" s="1"/>
  <c r="F1025" i="1" s="1"/>
  <c r="D1026" i="1"/>
  <c r="E1026" i="1" s="1"/>
  <c r="F1026" i="1" s="1"/>
  <c r="D1027" i="1"/>
  <c r="E1027" i="1" s="1"/>
  <c r="F1027" i="1" s="1"/>
  <c r="D1028" i="1"/>
  <c r="E1028" i="1" s="1"/>
  <c r="F1028" i="1" s="1"/>
  <c r="D1029" i="1"/>
  <c r="E1029" i="1" s="1"/>
  <c r="F1029" i="1" s="1"/>
  <c r="D1030" i="1"/>
  <c r="E1030" i="1" s="1"/>
  <c r="F1030" i="1" s="1"/>
  <c r="D1031" i="1"/>
  <c r="E1031" i="1" s="1"/>
  <c r="F1031" i="1" s="1"/>
  <c r="D1032" i="1"/>
  <c r="E1032" i="1" s="1"/>
  <c r="F1032" i="1" s="1"/>
  <c r="D1033" i="1"/>
  <c r="E1033" i="1" s="1"/>
  <c r="F1033" i="1" s="1"/>
  <c r="D1034" i="1"/>
  <c r="E1034" i="1" s="1"/>
  <c r="F1034" i="1" s="1"/>
  <c r="D1035" i="1"/>
  <c r="E1035" i="1" s="1"/>
  <c r="F1035" i="1" s="1"/>
  <c r="D1036" i="1"/>
  <c r="E1036" i="1" s="1"/>
  <c r="F1036" i="1" s="1"/>
  <c r="D1037" i="1"/>
  <c r="E1037" i="1" s="1"/>
  <c r="F1037" i="1" s="1"/>
  <c r="D1038" i="1"/>
  <c r="E1038" i="1" s="1"/>
  <c r="F1038" i="1" s="1"/>
  <c r="D1039" i="1"/>
  <c r="E1039" i="1" s="1"/>
  <c r="F1039" i="1" s="1"/>
  <c r="D1040" i="1"/>
  <c r="E1040" i="1" s="1"/>
  <c r="F1040" i="1" s="1"/>
  <c r="D1041" i="1"/>
  <c r="E1041" i="1" s="1"/>
  <c r="F1041" i="1" s="1"/>
  <c r="D1042" i="1"/>
  <c r="E1042" i="1" s="1"/>
  <c r="F1042" i="1" s="1"/>
  <c r="D1043" i="1"/>
  <c r="E1043" i="1" s="1"/>
  <c r="F1043" i="1" s="1"/>
  <c r="D1044" i="1"/>
  <c r="E1044" i="1" s="1"/>
  <c r="F1044" i="1" s="1"/>
  <c r="D1045" i="1"/>
  <c r="E1045" i="1" s="1"/>
  <c r="F1045" i="1" s="1"/>
  <c r="D1046" i="1"/>
  <c r="E1046" i="1" s="1"/>
  <c r="F1046" i="1" s="1"/>
  <c r="D1047" i="1"/>
  <c r="E1047" i="1" s="1"/>
  <c r="F1047" i="1" s="1"/>
  <c r="D1048" i="1"/>
  <c r="E1048" i="1" s="1"/>
  <c r="F1048" i="1" s="1"/>
  <c r="D1049" i="1"/>
  <c r="E1049" i="1" s="1"/>
  <c r="F1049" i="1" s="1"/>
  <c r="D1050" i="1"/>
  <c r="E1050" i="1" s="1"/>
  <c r="F1050" i="1" s="1"/>
  <c r="D1051" i="1"/>
  <c r="E1051" i="1" s="1"/>
  <c r="F1051" i="1" s="1"/>
  <c r="D1052" i="1"/>
  <c r="E1052" i="1" s="1"/>
  <c r="F1052" i="1" s="1"/>
  <c r="D1053" i="1"/>
  <c r="E1053" i="1" s="1"/>
  <c r="F1053" i="1" s="1"/>
  <c r="D1054" i="1"/>
  <c r="E1054" i="1" s="1"/>
  <c r="F1054" i="1" s="1"/>
  <c r="D1055" i="1"/>
  <c r="E1055" i="1" s="1"/>
  <c r="F1055" i="1" s="1"/>
  <c r="D1056" i="1"/>
  <c r="E1056" i="1" s="1"/>
  <c r="F1056" i="1" s="1"/>
  <c r="D1057" i="1"/>
  <c r="E1057" i="1" s="1"/>
  <c r="F1057" i="1" s="1"/>
  <c r="D1058" i="1"/>
  <c r="E1058" i="1" s="1"/>
  <c r="F1058" i="1" s="1"/>
  <c r="D1059" i="1"/>
  <c r="E1059" i="1" s="1"/>
  <c r="F1059" i="1" s="1"/>
  <c r="D1060" i="1"/>
  <c r="E1060" i="1" s="1"/>
  <c r="F1060" i="1" s="1"/>
  <c r="D1061" i="1"/>
  <c r="E1061" i="1" s="1"/>
  <c r="F1061" i="1" s="1"/>
  <c r="D1062" i="1"/>
  <c r="E1062" i="1" s="1"/>
  <c r="F1062" i="1" s="1"/>
  <c r="D1063" i="1"/>
  <c r="E1063" i="1" s="1"/>
  <c r="F1063" i="1" s="1"/>
  <c r="D1064" i="1"/>
  <c r="E1064" i="1" s="1"/>
  <c r="F1064" i="1" s="1"/>
  <c r="D1065" i="1"/>
  <c r="E1065" i="1" s="1"/>
  <c r="F1065" i="1" s="1"/>
  <c r="D1066" i="1"/>
  <c r="E1066" i="1" s="1"/>
  <c r="F1066" i="1" s="1"/>
  <c r="D1067" i="1"/>
  <c r="E1067" i="1" s="1"/>
  <c r="F1067" i="1" s="1"/>
  <c r="D1068" i="1"/>
  <c r="E1068" i="1" s="1"/>
  <c r="F1068" i="1" s="1"/>
  <c r="D1069" i="1"/>
  <c r="E1069" i="1" s="1"/>
  <c r="F1069" i="1" s="1"/>
  <c r="D1070" i="1"/>
  <c r="E1070" i="1" s="1"/>
  <c r="F1070" i="1" s="1"/>
  <c r="D1071" i="1"/>
  <c r="E1071" i="1" s="1"/>
  <c r="F1071" i="1" s="1"/>
  <c r="D1072" i="1"/>
  <c r="E1072" i="1" s="1"/>
  <c r="F1072" i="1" s="1"/>
  <c r="D1073" i="1"/>
  <c r="E1073" i="1" s="1"/>
  <c r="F1073" i="1" s="1"/>
  <c r="D1074" i="1"/>
  <c r="E1074" i="1" s="1"/>
  <c r="F1074" i="1" s="1"/>
  <c r="D1075" i="1"/>
  <c r="E1075" i="1" s="1"/>
  <c r="F1075" i="1" s="1"/>
  <c r="D1076" i="1"/>
  <c r="E1076" i="1" s="1"/>
  <c r="F1076" i="1" s="1"/>
  <c r="D1077" i="1"/>
  <c r="E1077" i="1" s="1"/>
  <c r="F1077" i="1" s="1"/>
  <c r="D1078" i="1"/>
  <c r="E1078" i="1" s="1"/>
  <c r="F1078" i="1" s="1"/>
  <c r="D1079" i="1"/>
  <c r="E1079" i="1" s="1"/>
  <c r="F1079" i="1" s="1"/>
  <c r="D1080" i="1"/>
  <c r="E1080" i="1" s="1"/>
  <c r="F1080" i="1" s="1"/>
  <c r="D1081" i="1"/>
  <c r="E1081" i="1" s="1"/>
  <c r="F1081" i="1" s="1"/>
  <c r="D1082" i="1"/>
  <c r="E1082" i="1" s="1"/>
  <c r="F1082" i="1" s="1"/>
  <c r="D1083" i="1"/>
  <c r="E1083" i="1" s="1"/>
  <c r="F1083" i="1" s="1"/>
  <c r="D1084" i="1"/>
  <c r="E1084" i="1" s="1"/>
  <c r="F1084" i="1" s="1"/>
  <c r="D1085" i="1"/>
  <c r="E1085" i="1" s="1"/>
  <c r="F1085" i="1" s="1"/>
  <c r="D1086" i="1"/>
  <c r="E1086" i="1" s="1"/>
  <c r="F1086" i="1" s="1"/>
  <c r="D1087" i="1"/>
  <c r="E1087" i="1" s="1"/>
  <c r="F1087" i="1" s="1"/>
  <c r="D1088" i="1"/>
  <c r="E1088" i="1" s="1"/>
  <c r="F1088" i="1" s="1"/>
  <c r="D1089" i="1"/>
  <c r="E1089" i="1" s="1"/>
  <c r="F1089" i="1" s="1"/>
  <c r="D1090" i="1"/>
  <c r="E1090" i="1" s="1"/>
  <c r="F1090" i="1" s="1"/>
  <c r="D1091" i="1"/>
  <c r="E1091" i="1" s="1"/>
  <c r="F1091" i="1" s="1"/>
  <c r="D1092" i="1"/>
  <c r="E1092" i="1" s="1"/>
  <c r="F1092" i="1" s="1"/>
  <c r="D1093" i="1"/>
  <c r="E1093" i="1" s="1"/>
  <c r="F1093" i="1" s="1"/>
  <c r="D1094" i="1"/>
  <c r="E1094" i="1" s="1"/>
  <c r="F1094" i="1" s="1"/>
  <c r="D1095" i="1"/>
  <c r="E1095" i="1" s="1"/>
  <c r="F1095" i="1" s="1"/>
  <c r="D1096" i="1"/>
  <c r="E1096" i="1" s="1"/>
  <c r="F1096" i="1" s="1"/>
  <c r="D1097" i="1"/>
  <c r="E1097" i="1" s="1"/>
  <c r="F1097" i="1" s="1"/>
  <c r="D1098" i="1"/>
  <c r="E1098" i="1" s="1"/>
  <c r="F1098" i="1" s="1"/>
  <c r="D1099" i="1"/>
  <c r="E1099" i="1" s="1"/>
  <c r="F1099" i="1" s="1"/>
  <c r="D1100" i="1"/>
  <c r="E1100" i="1" s="1"/>
  <c r="F1100" i="1" s="1"/>
  <c r="D1101" i="1"/>
  <c r="E1101" i="1" s="1"/>
  <c r="F1101" i="1" s="1"/>
  <c r="D1102" i="1"/>
  <c r="E1102" i="1" s="1"/>
  <c r="F1102" i="1" s="1"/>
  <c r="D1103" i="1"/>
  <c r="E1103" i="1" s="1"/>
  <c r="F1103" i="1" s="1"/>
  <c r="D1104" i="1"/>
  <c r="E1104" i="1" s="1"/>
  <c r="F1104" i="1" s="1"/>
  <c r="D1105" i="1"/>
  <c r="E1105" i="1" s="1"/>
  <c r="F1105" i="1" s="1"/>
  <c r="D1106" i="1"/>
  <c r="E1106" i="1" s="1"/>
  <c r="F1106" i="1" s="1"/>
  <c r="D1107" i="1"/>
  <c r="E1107" i="1" s="1"/>
  <c r="F1107" i="1" s="1"/>
  <c r="D1108" i="1"/>
  <c r="E1108" i="1" s="1"/>
  <c r="F1108" i="1" s="1"/>
  <c r="D1109" i="1"/>
  <c r="E1109" i="1" s="1"/>
  <c r="F1109" i="1" s="1"/>
  <c r="D1110" i="1"/>
  <c r="E1110" i="1" s="1"/>
  <c r="F1110" i="1" s="1"/>
  <c r="D1111" i="1"/>
  <c r="E1111" i="1" s="1"/>
  <c r="F1111" i="1" s="1"/>
  <c r="D1112" i="1"/>
  <c r="E1112" i="1" s="1"/>
  <c r="F1112" i="1" s="1"/>
  <c r="D1113" i="1"/>
  <c r="E1113" i="1" s="1"/>
  <c r="F1113" i="1" s="1"/>
  <c r="D1114" i="1"/>
  <c r="E1114" i="1" s="1"/>
  <c r="F1114" i="1" s="1"/>
  <c r="D1115" i="1"/>
  <c r="E1115" i="1" s="1"/>
  <c r="F1115" i="1" s="1"/>
  <c r="D1116" i="1"/>
  <c r="E1116" i="1" s="1"/>
  <c r="F1116" i="1" s="1"/>
  <c r="D1117" i="1"/>
  <c r="E1117" i="1" s="1"/>
  <c r="F1117" i="1" s="1"/>
  <c r="D1118" i="1"/>
  <c r="E1118" i="1" s="1"/>
  <c r="F1118" i="1" s="1"/>
  <c r="D1119" i="1"/>
  <c r="E1119" i="1" s="1"/>
  <c r="F1119" i="1" s="1"/>
  <c r="D1120" i="1"/>
  <c r="E1120" i="1" s="1"/>
  <c r="F1120" i="1" s="1"/>
  <c r="D1121" i="1"/>
  <c r="E1121" i="1" s="1"/>
  <c r="F1121" i="1" s="1"/>
  <c r="D1122" i="1"/>
  <c r="E1122" i="1" s="1"/>
  <c r="F1122" i="1" s="1"/>
  <c r="D1123" i="1"/>
  <c r="E1123" i="1" s="1"/>
  <c r="F1123" i="1" s="1"/>
  <c r="D1124" i="1"/>
  <c r="E1124" i="1" s="1"/>
  <c r="F1124" i="1" s="1"/>
  <c r="D1125" i="1"/>
  <c r="E1125" i="1" s="1"/>
  <c r="F1125" i="1" s="1"/>
  <c r="D1126" i="1"/>
  <c r="E1126" i="1" s="1"/>
  <c r="F1126" i="1" s="1"/>
  <c r="D1127" i="1"/>
  <c r="E1127" i="1" s="1"/>
  <c r="F1127" i="1" s="1"/>
  <c r="D1128" i="1"/>
  <c r="E1128" i="1" s="1"/>
  <c r="F1128" i="1" s="1"/>
  <c r="D1129" i="1"/>
  <c r="E1129" i="1" s="1"/>
  <c r="F1129" i="1" s="1"/>
  <c r="D1130" i="1"/>
  <c r="E1130" i="1" s="1"/>
  <c r="F1130" i="1" s="1"/>
  <c r="D1131" i="1"/>
  <c r="E1131" i="1" s="1"/>
  <c r="F1131" i="1" s="1"/>
  <c r="D1132" i="1"/>
  <c r="E1132" i="1" s="1"/>
  <c r="F1132" i="1" s="1"/>
  <c r="D1133" i="1"/>
  <c r="E1133" i="1" s="1"/>
  <c r="F1133" i="1" s="1"/>
  <c r="D1134" i="1"/>
  <c r="E1134" i="1" s="1"/>
  <c r="F1134" i="1" s="1"/>
  <c r="D1135" i="1"/>
  <c r="E1135" i="1" s="1"/>
  <c r="F1135" i="1" s="1"/>
  <c r="D1136" i="1"/>
  <c r="E1136" i="1" s="1"/>
  <c r="F1136" i="1" s="1"/>
  <c r="D1137" i="1"/>
  <c r="E1137" i="1" s="1"/>
  <c r="F1137" i="1" s="1"/>
  <c r="D1138" i="1"/>
  <c r="E1138" i="1" s="1"/>
  <c r="F1138" i="1" s="1"/>
  <c r="D1139" i="1"/>
  <c r="E1139" i="1" s="1"/>
  <c r="F1139" i="1" s="1"/>
  <c r="D1140" i="1"/>
  <c r="E1140" i="1" s="1"/>
  <c r="F1140" i="1" s="1"/>
  <c r="D1141" i="1"/>
  <c r="E1141" i="1" s="1"/>
  <c r="F1141" i="1" s="1"/>
  <c r="D1142" i="1"/>
  <c r="E1142" i="1" s="1"/>
  <c r="F1142" i="1" s="1"/>
  <c r="D1143" i="1"/>
  <c r="E1143" i="1" s="1"/>
  <c r="F1143" i="1" s="1"/>
  <c r="D1144" i="1"/>
  <c r="E1144" i="1" s="1"/>
  <c r="F1144" i="1" s="1"/>
  <c r="D1145" i="1"/>
  <c r="E1145" i="1" s="1"/>
  <c r="F1145" i="1" s="1"/>
  <c r="D1146" i="1"/>
  <c r="E1146" i="1" s="1"/>
  <c r="F1146" i="1" s="1"/>
  <c r="D1147" i="1"/>
  <c r="E1147" i="1" s="1"/>
  <c r="F1147" i="1" s="1"/>
  <c r="D1148" i="1"/>
  <c r="E1148" i="1" s="1"/>
  <c r="F1148" i="1" s="1"/>
  <c r="D1149" i="1"/>
  <c r="E1149" i="1" s="1"/>
  <c r="F1149" i="1" s="1"/>
  <c r="D1150" i="1"/>
  <c r="E1150" i="1" s="1"/>
  <c r="F1150" i="1" s="1"/>
  <c r="D1151" i="1"/>
  <c r="E1151" i="1" s="1"/>
  <c r="F1151" i="1" s="1"/>
  <c r="D1152" i="1"/>
  <c r="E1152" i="1" s="1"/>
  <c r="F1152" i="1" s="1"/>
  <c r="D1153" i="1"/>
  <c r="E1153" i="1" s="1"/>
  <c r="F1153" i="1" s="1"/>
  <c r="D1154" i="1"/>
  <c r="E1154" i="1" s="1"/>
  <c r="F1154" i="1" s="1"/>
  <c r="D1155" i="1"/>
  <c r="E1155" i="1" s="1"/>
  <c r="F1155" i="1" s="1"/>
  <c r="D1156" i="1"/>
  <c r="E1156" i="1" s="1"/>
  <c r="F1156" i="1" s="1"/>
  <c r="D1157" i="1"/>
  <c r="E1157" i="1" s="1"/>
  <c r="F1157" i="1" s="1"/>
  <c r="D1158" i="1"/>
  <c r="E1158" i="1" s="1"/>
  <c r="F1158" i="1" s="1"/>
  <c r="D1159" i="1"/>
  <c r="E1159" i="1" s="1"/>
  <c r="F1159" i="1" s="1"/>
  <c r="D1160" i="1"/>
  <c r="E1160" i="1" s="1"/>
  <c r="F1160" i="1" s="1"/>
  <c r="D1161" i="1"/>
  <c r="E1161" i="1" s="1"/>
  <c r="F1161" i="1" s="1"/>
  <c r="D1162" i="1"/>
  <c r="E1162" i="1" s="1"/>
  <c r="F1162" i="1" s="1"/>
  <c r="D1163" i="1"/>
  <c r="E1163" i="1" s="1"/>
  <c r="F1163" i="1" s="1"/>
  <c r="D1164" i="1"/>
  <c r="E1164" i="1" s="1"/>
  <c r="F1164" i="1" s="1"/>
  <c r="D1165" i="1"/>
  <c r="E1165" i="1" s="1"/>
  <c r="F1165" i="1" s="1"/>
  <c r="D1166" i="1"/>
  <c r="E1166" i="1" s="1"/>
  <c r="F1166" i="1" s="1"/>
  <c r="D1167" i="1"/>
  <c r="E1167" i="1" s="1"/>
  <c r="F1167" i="1" s="1"/>
  <c r="D1168" i="1"/>
  <c r="E1168" i="1" s="1"/>
  <c r="F1168" i="1" s="1"/>
  <c r="D1169" i="1"/>
  <c r="E1169" i="1" s="1"/>
  <c r="F1169" i="1" s="1"/>
  <c r="D1170" i="1"/>
  <c r="E1170" i="1" s="1"/>
  <c r="F1170" i="1" s="1"/>
  <c r="D1171" i="1"/>
  <c r="E1171" i="1" s="1"/>
  <c r="F1171" i="1" s="1"/>
  <c r="D1172" i="1"/>
  <c r="E1172" i="1" s="1"/>
  <c r="F1172" i="1" s="1"/>
  <c r="D1173" i="1"/>
  <c r="E1173" i="1" s="1"/>
  <c r="F1173" i="1" s="1"/>
  <c r="D1174" i="1"/>
  <c r="E1174" i="1" s="1"/>
  <c r="F1174" i="1" s="1"/>
  <c r="D1175" i="1"/>
  <c r="E1175" i="1" s="1"/>
  <c r="F1175" i="1" s="1"/>
  <c r="D1176" i="1"/>
  <c r="E1176" i="1" s="1"/>
  <c r="F1176" i="1" s="1"/>
  <c r="D1177" i="1"/>
  <c r="E1177" i="1" s="1"/>
  <c r="F1177" i="1" s="1"/>
  <c r="D1178" i="1"/>
  <c r="E1178" i="1" s="1"/>
  <c r="F1178" i="1" s="1"/>
  <c r="D1179" i="1"/>
  <c r="E1179" i="1" s="1"/>
  <c r="F1179" i="1" s="1"/>
  <c r="D1180" i="1"/>
  <c r="E1180" i="1" s="1"/>
  <c r="F1180" i="1" s="1"/>
  <c r="D1181" i="1"/>
  <c r="E1181" i="1" s="1"/>
  <c r="F1181" i="1" s="1"/>
  <c r="D1182" i="1"/>
  <c r="E1182" i="1" s="1"/>
  <c r="F1182" i="1" s="1"/>
  <c r="D1183" i="1"/>
  <c r="E1183" i="1" s="1"/>
  <c r="F1183" i="1" s="1"/>
  <c r="D1184" i="1"/>
  <c r="E1184" i="1" s="1"/>
  <c r="F1184" i="1" s="1"/>
  <c r="D1185" i="1"/>
  <c r="E1185" i="1" s="1"/>
  <c r="F1185" i="1" s="1"/>
  <c r="D1186" i="1"/>
  <c r="E1186" i="1" s="1"/>
  <c r="F1186" i="1" s="1"/>
  <c r="D1187" i="1"/>
  <c r="E1187" i="1" s="1"/>
  <c r="F1187" i="1" s="1"/>
  <c r="D1188" i="1"/>
  <c r="E1188" i="1" s="1"/>
  <c r="F1188" i="1" s="1"/>
  <c r="D1189" i="1"/>
  <c r="E1189" i="1" s="1"/>
  <c r="F1189" i="1" s="1"/>
  <c r="D1190" i="1"/>
  <c r="E1190" i="1" s="1"/>
  <c r="F1190" i="1" s="1"/>
  <c r="D1191" i="1"/>
  <c r="E1191" i="1" s="1"/>
  <c r="F1191" i="1" s="1"/>
  <c r="D1192" i="1"/>
  <c r="E1192" i="1" s="1"/>
  <c r="F1192" i="1" s="1"/>
  <c r="D1193" i="1"/>
  <c r="E1193" i="1" s="1"/>
  <c r="F1193" i="1" s="1"/>
  <c r="D1194" i="1"/>
  <c r="E1194" i="1" s="1"/>
  <c r="F1194" i="1" s="1"/>
  <c r="D1195" i="1"/>
  <c r="E1195" i="1" s="1"/>
  <c r="F1195" i="1" s="1"/>
  <c r="D1196" i="1"/>
  <c r="E1196" i="1" s="1"/>
  <c r="F1196" i="1" s="1"/>
  <c r="D1197" i="1"/>
  <c r="E1197" i="1" s="1"/>
  <c r="F1197" i="1" s="1"/>
  <c r="D1198" i="1"/>
  <c r="E1198" i="1" s="1"/>
  <c r="F1198" i="1" s="1"/>
  <c r="D1199" i="1"/>
  <c r="E1199" i="1" s="1"/>
  <c r="F1199" i="1" s="1"/>
  <c r="D1200" i="1"/>
  <c r="E1200" i="1" s="1"/>
  <c r="F1200" i="1" s="1"/>
  <c r="D1201" i="1"/>
  <c r="E1201" i="1" s="1"/>
  <c r="F1201" i="1" s="1"/>
  <c r="D1202" i="1"/>
  <c r="E1202" i="1" s="1"/>
  <c r="F1202" i="1" s="1"/>
  <c r="D1203" i="1"/>
  <c r="E1203" i="1" s="1"/>
  <c r="F1203" i="1" s="1"/>
  <c r="D1204" i="1"/>
  <c r="E1204" i="1" s="1"/>
  <c r="F1204" i="1" s="1"/>
  <c r="D1205" i="1"/>
  <c r="E1205" i="1" s="1"/>
  <c r="F1205" i="1" s="1"/>
  <c r="D1206" i="1"/>
  <c r="E1206" i="1" s="1"/>
  <c r="F1206" i="1" s="1"/>
  <c r="D1207" i="1"/>
  <c r="E1207" i="1" s="1"/>
  <c r="F1207" i="1" s="1"/>
  <c r="D1208" i="1"/>
  <c r="E1208" i="1" s="1"/>
  <c r="F1208" i="1" s="1"/>
  <c r="D1209" i="1"/>
  <c r="E1209" i="1" s="1"/>
  <c r="F1209" i="1" s="1"/>
  <c r="D1210" i="1"/>
  <c r="E1210" i="1" s="1"/>
  <c r="F1210" i="1" s="1"/>
  <c r="D1211" i="1"/>
  <c r="E1211" i="1" s="1"/>
  <c r="F1211" i="1" s="1"/>
  <c r="D1212" i="1"/>
  <c r="E1212" i="1" s="1"/>
  <c r="F1212" i="1" s="1"/>
  <c r="D1213" i="1"/>
  <c r="E1213" i="1" s="1"/>
  <c r="F1213" i="1" s="1"/>
  <c r="D1214" i="1"/>
  <c r="E1214" i="1" s="1"/>
  <c r="F1214" i="1" s="1"/>
  <c r="D1215" i="1"/>
  <c r="E1215" i="1" s="1"/>
  <c r="F1215" i="1" s="1"/>
  <c r="D1216" i="1"/>
  <c r="E1216" i="1" s="1"/>
  <c r="F1216" i="1" s="1"/>
  <c r="D1217" i="1"/>
  <c r="E1217" i="1" s="1"/>
  <c r="F1217" i="1" s="1"/>
  <c r="D1218" i="1"/>
  <c r="E1218" i="1" s="1"/>
  <c r="F1218" i="1" s="1"/>
  <c r="D1219" i="1"/>
  <c r="E1219" i="1" s="1"/>
  <c r="F1219" i="1" s="1"/>
  <c r="D1220" i="1"/>
  <c r="E1220" i="1" s="1"/>
  <c r="F1220" i="1" s="1"/>
  <c r="D1221" i="1"/>
  <c r="E1221" i="1" s="1"/>
  <c r="F1221" i="1" s="1"/>
  <c r="D1222" i="1"/>
  <c r="E1222" i="1" s="1"/>
  <c r="F1222" i="1" s="1"/>
  <c r="D1223" i="1"/>
  <c r="E1223" i="1" s="1"/>
  <c r="F1223" i="1" s="1"/>
  <c r="D1224" i="1"/>
  <c r="E1224" i="1" s="1"/>
  <c r="F1224" i="1" s="1"/>
  <c r="D1225" i="1"/>
  <c r="E1225" i="1" s="1"/>
  <c r="F1225" i="1" s="1"/>
  <c r="D1226" i="1"/>
  <c r="E1226" i="1" s="1"/>
  <c r="F1226" i="1" s="1"/>
  <c r="D1227" i="1"/>
  <c r="E1227" i="1" s="1"/>
  <c r="F1227" i="1" s="1"/>
  <c r="D1228" i="1"/>
  <c r="E1228" i="1" s="1"/>
  <c r="F1228" i="1" s="1"/>
  <c r="D1229" i="1"/>
  <c r="E1229" i="1" s="1"/>
  <c r="F1229" i="1" s="1"/>
  <c r="D1230" i="1"/>
  <c r="E1230" i="1" s="1"/>
  <c r="F1230" i="1" s="1"/>
  <c r="D1231" i="1"/>
  <c r="E1231" i="1" s="1"/>
  <c r="F1231" i="1" s="1"/>
  <c r="D1232" i="1"/>
  <c r="E1232" i="1" s="1"/>
  <c r="F1232" i="1" s="1"/>
  <c r="D1233" i="1"/>
  <c r="E1233" i="1" s="1"/>
  <c r="F1233" i="1" s="1"/>
  <c r="D1234" i="1"/>
  <c r="E1234" i="1" s="1"/>
  <c r="F1234" i="1" s="1"/>
  <c r="D1235" i="1"/>
  <c r="E1235" i="1" s="1"/>
  <c r="F1235" i="1" s="1"/>
  <c r="D1236" i="1"/>
  <c r="E1236" i="1" s="1"/>
  <c r="F1236" i="1" s="1"/>
  <c r="D1237" i="1"/>
  <c r="E1237" i="1" s="1"/>
  <c r="F1237" i="1" s="1"/>
  <c r="D1238" i="1"/>
  <c r="E1238" i="1" s="1"/>
  <c r="F1238" i="1" s="1"/>
  <c r="D1239" i="1"/>
  <c r="E1239" i="1" s="1"/>
  <c r="F1239" i="1" s="1"/>
  <c r="D1240" i="1"/>
  <c r="E1240" i="1" s="1"/>
  <c r="F1240" i="1" s="1"/>
  <c r="D1241" i="1"/>
  <c r="E1241" i="1" s="1"/>
  <c r="F1241" i="1" s="1"/>
  <c r="D1242" i="1"/>
  <c r="E1242" i="1" s="1"/>
  <c r="F1242" i="1" s="1"/>
  <c r="D1243" i="1"/>
  <c r="E1243" i="1" s="1"/>
  <c r="F1243" i="1" s="1"/>
  <c r="D1244" i="1"/>
  <c r="E1244" i="1" s="1"/>
  <c r="F1244" i="1" s="1"/>
  <c r="D1245" i="1"/>
  <c r="E1245" i="1" s="1"/>
  <c r="F1245" i="1" s="1"/>
  <c r="D1246" i="1"/>
  <c r="E1246" i="1" s="1"/>
  <c r="F1246" i="1" s="1"/>
  <c r="D1247" i="1"/>
  <c r="E1247" i="1" s="1"/>
  <c r="F1247" i="1" s="1"/>
  <c r="D1248" i="1"/>
  <c r="E1248" i="1" s="1"/>
  <c r="F1248" i="1" s="1"/>
  <c r="D1249" i="1"/>
  <c r="E1249" i="1" s="1"/>
  <c r="F1249" i="1" s="1"/>
  <c r="D1250" i="1"/>
  <c r="E1250" i="1" s="1"/>
  <c r="F1250" i="1" s="1"/>
  <c r="D1251" i="1"/>
  <c r="E1251" i="1" s="1"/>
  <c r="F1251" i="1" s="1"/>
  <c r="D1252" i="1"/>
  <c r="E1252" i="1" s="1"/>
  <c r="F1252" i="1" s="1"/>
  <c r="D1253" i="1"/>
  <c r="E1253" i="1" s="1"/>
  <c r="F1253" i="1" s="1"/>
  <c r="D1254" i="1"/>
  <c r="E1254" i="1" s="1"/>
  <c r="F1254" i="1" s="1"/>
  <c r="D1255" i="1"/>
  <c r="E1255" i="1" s="1"/>
  <c r="F1255" i="1" s="1"/>
  <c r="D1256" i="1"/>
  <c r="E1256" i="1" s="1"/>
  <c r="F1256" i="1" s="1"/>
  <c r="D1257" i="1"/>
  <c r="E1257" i="1" s="1"/>
  <c r="F1257" i="1" s="1"/>
  <c r="D1258" i="1"/>
  <c r="E1258" i="1" s="1"/>
  <c r="F1258" i="1" s="1"/>
  <c r="D1259" i="1"/>
  <c r="E1259" i="1" s="1"/>
  <c r="F1259" i="1" s="1"/>
  <c r="D1260" i="1"/>
  <c r="E1260" i="1" s="1"/>
  <c r="F1260" i="1" s="1"/>
  <c r="D1261" i="1"/>
  <c r="E1261" i="1" s="1"/>
  <c r="F1261" i="1" s="1"/>
  <c r="D1262" i="1"/>
  <c r="E1262" i="1" s="1"/>
  <c r="F1262" i="1" s="1"/>
  <c r="D1263" i="1"/>
  <c r="E1263" i="1" s="1"/>
  <c r="F1263" i="1" s="1"/>
  <c r="D1264" i="1"/>
  <c r="E1264" i="1" s="1"/>
  <c r="F1264" i="1" s="1"/>
  <c r="D1265" i="1"/>
  <c r="E1265" i="1" s="1"/>
  <c r="F1265" i="1" s="1"/>
  <c r="D1266" i="1"/>
  <c r="E1266" i="1" s="1"/>
  <c r="F1266" i="1" s="1"/>
  <c r="D1267" i="1"/>
  <c r="E1267" i="1" s="1"/>
  <c r="F1267" i="1" s="1"/>
  <c r="D1268" i="1"/>
  <c r="E1268" i="1" s="1"/>
  <c r="F1268" i="1" s="1"/>
  <c r="D1269" i="1"/>
  <c r="E1269" i="1" s="1"/>
  <c r="F1269" i="1" s="1"/>
  <c r="D1270" i="1"/>
  <c r="E1270" i="1" s="1"/>
  <c r="F1270" i="1" s="1"/>
  <c r="D1271" i="1"/>
  <c r="E1271" i="1" s="1"/>
  <c r="F1271" i="1" s="1"/>
  <c r="D1272" i="1"/>
  <c r="E1272" i="1" s="1"/>
  <c r="F1272" i="1" s="1"/>
  <c r="D1273" i="1"/>
  <c r="E1273" i="1" s="1"/>
  <c r="F1273" i="1" s="1"/>
  <c r="D1274" i="1"/>
  <c r="E1274" i="1" s="1"/>
  <c r="F1274" i="1" s="1"/>
  <c r="D1275" i="1"/>
  <c r="E1275" i="1" s="1"/>
  <c r="F1275" i="1" s="1"/>
  <c r="D1276" i="1"/>
  <c r="E1276" i="1" s="1"/>
  <c r="F1276" i="1" s="1"/>
  <c r="D1277" i="1"/>
  <c r="E1277" i="1" s="1"/>
  <c r="F1277" i="1" s="1"/>
  <c r="D1278" i="1"/>
  <c r="E1278" i="1" s="1"/>
  <c r="F1278" i="1" s="1"/>
  <c r="D1279" i="1"/>
  <c r="E1279" i="1" s="1"/>
  <c r="F1279" i="1" s="1"/>
  <c r="D1280" i="1"/>
  <c r="E1280" i="1" s="1"/>
  <c r="F1280" i="1" s="1"/>
  <c r="D1281" i="1"/>
  <c r="E1281" i="1" s="1"/>
  <c r="F1281" i="1" s="1"/>
  <c r="D1282" i="1"/>
  <c r="E1282" i="1" s="1"/>
  <c r="F1282" i="1" s="1"/>
  <c r="D1283" i="1"/>
  <c r="E1283" i="1" s="1"/>
  <c r="F1283" i="1" s="1"/>
  <c r="D1284" i="1"/>
  <c r="E1284" i="1" s="1"/>
  <c r="F1284" i="1" s="1"/>
  <c r="D1285" i="1"/>
  <c r="E1285" i="1" s="1"/>
  <c r="F1285" i="1" s="1"/>
  <c r="D1286" i="1"/>
  <c r="E1286" i="1" s="1"/>
  <c r="F1286" i="1" s="1"/>
  <c r="D1287" i="1"/>
  <c r="E1287" i="1" s="1"/>
  <c r="F1287" i="1" s="1"/>
  <c r="D1288" i="1"/>
  <c r="E1288" i="1" s="1"/>
  <c r="F1288" i="1" s="1"/>
  <c r="D1289" i="1"/>
  <c r="E1289" i="1" s="1"/>
  <c r="F1289" i="1" s="1"/>
  <c r="D1290" i="1"/>
  <c r="E1290" i="1" s="1"/>
  <c r="F1290" i="1" s="1"/>
  <c r="D1291" i="1"/>
  <c r="E1291" i="1" s="1"/>
  <c r="F1291" i="1" s="1"/>
  <c r="D1292" i="1"/>
  <c r="E1292" i="1" s="1"/>
  <c r="F1292" i="1" s="1"/>
  <c r="D1293" i="1"/>
  <c r="E1293" i="1" s="1"/>
  <c r="F1293" i="1" s="1"/>
  <c r="D1294" i="1"/>
  <c r="E1294" i="1" s="1"/>
  <c r="F1294" i="1" s="1"/>
  <c r="D1295" i="1"/>
  <c r="E1295" i="1" s="1"/>
  <c r="F1295" i="1" s="1"/>
  <c r="D1296" i="1"/>
  <c r="E1296" i="1" s="1"/>
  <c r="F1296" i="1" s="1"/>
  <c r="D1297" i="1"/>
  <c r="E1297" i="1" s="1"/>
  <c r="F1297" i="1" s="1"/>
  <c r="D1298" i="1"/>
  <c r="E1298" i="1" s="1"/>
  <c r="F1298" i="1" s="1"/>
  <c r="D1299" i="1"/>
  <c r="E1299" i="1" s="1"/>
  <c r="F1299" i="1" s="1"/>
  <c r="D1300" i="1"/>
  <c r="E1300" i="1" s="1"/>
  <c r="F1300" i="1" s="1"/>
  <c r="D1301" i="1"/>
  <c r="E1301" i="1" s="1"/>
  <c r="F1301" i="1" s="1"/>
  <c r="D1302" i="1"/>
  <c r="E1302" i="1" s="1"/>
  <c r="F1302" i="1" s="1"/>
  <c r="D1303" i="1"/>
  <c r="E1303" i="1" s="1"/>
  <c r="F1303" i="1" s="1"/>
  <c r="D1304" i="1"/>
  <c r="E1304" i="1" s="1"/>
  <c r="F1304" i="1" s="1"/>
  <c r="D1305" i="1"/>
  <c r="E1305" i="1" s="1"/>
  <c r="F1305" i="1" s="1"/>
  <c r="D1306" i="1"/>
  <c r="E1306" i="1" s="1"/>
  <c r="F1306" i="1" s="1"/>
  <c r="D1307" i="1"/>
  <c r="E1307" i="1" s="1"/>
  <c r="F1307" i="1" s="1"/>
  <c r="D1308" i="1"/>
  <c r="E1308" i="1" s="1"/>
  <c r="F1308" i="1" s="1"/>
  <c r="D1309" i="1"/>
  <c r="E1309" i="1" s="1"/>
  <c r="F1309" i="1" s="1"/>
  <c r="D1310" i="1"/>
  <c r="E1310" i="1" s="1"/>
  <c r="F1310" i="1" s="1"/>
  <c r="D1311" i="1"/>
  <c r="E1311" i="1" s="1"/>
  <c r="F1311" i="1" s="1"/>
  <c r="D1312" i="1"/>
  <c r="E1312" i="1" s="1"/>
  <c r="F1312" i="1" s="1"/>
  <c r="D1313" i="1"/>
  <c r="E1313" i="1" s="1"/>
  <c r="F1313" i="1" s="1"/>
  <c r="D1314" i="1"/>
  <c r="E1314" i="1" s="1"/>
  <c r="F1314" i="1" s="1"/>
  <c r="D1315" i="1"/>
  <c r="E1315" i="1" s="1"/>
  <c r="F1315" i="1" s="1"/>
  <c r="D1316" i="1"/>
  <c r="E1316" i="1" s="1"/>
  <c r="F1316" i="1" s="1"/>
  <c r="D1317" i="1"/>
  <c r="E1317" i="1" s="1"/>
  <c r="F1317" i="1" s="1"/>
  <c r="D1318" i="1"/>
  <c r="E1318" i="1" s="1"/>
  <c r="F1318" i="1" s="1"/>
  <c r="D1319" i="1"/>
  <c r="E1319" i="1" s="1"/>
  <c r="F1319" i="1" s="1"/>
  <c r="D1320" i="1"/>
  <c r="E1320" i="1" s="1"/>
  <c r="F1320" i="1" s="1"/>
  <c r="D1321" i="1"/>
  <c r="E1321" i="1" s="1"/>
  <c r="F1321" i="1" s="1"/>
  <c r="D1322" i="1"/>
  <c r="E1322" i="1" s="1"/>
  <c r="F1322" i="1" s="1"/>
  <c r="D1323" i="1"/>
  <c r="E1323" i="1" s="1"/>
  <c r="F1323" i="1" s="1"/>
  <c r="D1324" i="1"/>
  <c r="E1324" i="1" s="1"/>
  <c r="F1324" i="1" s="1"/>
  <c r="D1325" i="1"/>
  <c r="E1325" i="1" s="1"/>
  <c r="F1325" i="1" s="1"/>
  <c r="D1326" i="1"/>
  <c r="E1326" i="1" s="1"/>
  <c r="F1326" i="1" s="1"/>
  <c r="D1327" i="1"/>
  <c r="E1327" i="1" s="1"/>
  <c r="F1327" i="1" s="1"/>
  <c r="D1328" i="1"/>
  <c r="E1328" i="1" s="1"/>
  <c r="F1328" i="1" s="1"/>
  <c r="D1329" i="1"/>
  <c r="E1329" i="1" s="1"/>
  <c r="F1329" i="1" s="1"/>
  <c r="D1330" i="1"/>
  <c r="E1330" i="1" s="1"/>
  <c r="F1330" i="1" s="1"/>
  <c r="D1331" i="1"/>
  <c r="E1331" i="1" s="1"/>
  <c r="F1331" i="1" s="1"/>
  <c r="D1332" i="1"/>
  <c r="E1332" i="1" s="1"/>
  <c r="F1332" i="1" s="1"/>
  <c r="D1333" i="1"/>
  <c r="E1333" i="1" s="1"/>
  <c r="F1333" i="1" s="1"/>
  <c r="D1334" i="1"/>
  <c r="E1334" i="1" s="1"/>
  <c r="F1334" i="1" s="1"/>
  <c r="D1335" i="1"/>
  <c r="E1335" i="1" s="1"/>
  <c r="F1335" i="1" s="1"/>
  <c r="D1336" i="1"/>
  <c r="E1336" i="1" s="1"/>
  <c r="F1336" i="1" s="1"/>
  <c r="D1337" i="1"/>
  <c r="E1337" i="1" s="1"/>
  <c r="F1337" i="1" s="1"/>
  <c r="D1338" i="1"/>
  <c r="E1338" i="1" s="1"/>
  <c r="F1338" i="1" s="1"/>
  <c r="D1339" i="1"/>
  <c r="E1339" i="1" s="1"/>
  <c r="F1339" i="1" s="1"/>
  <c r="D1340" i="1"/>
  <c r="E1340" i="1" s="1"/>
  <c r="F1340" i="1" s="1"/>
  <c r="D1341" i="1"/>
  <c r="E1341" i="1" s="1"/>
  <c r="F1341" i="1" s="1"/>
  <c r="D1342" i="1"/>
  <c r="E1342" i="1" s="1"/>
  <c r="F1342" i="1" s="1"/>
  <c r="D1343" i="1"/>
  <c r="E1343" i="1" s="1"/>
  <c r="F1343" i="1" s="1"/>
  <c r="D1344" i="1"/>
  <c r="E1344" i="1" s="1"/>
  <c r="F1344" i="1" s="1"/>
  <c r="D1345" i="1"/>
  <c r="E1345" i="1" s="1"/>
  <c r="F1345" i="1" s="1"/>
  <c r="D1346" i="1"/>
  <c r="E1346" i="1" s="1"/>
  <c r="F1346" i="1" s="1"/>
  <c r="D1347" i="1"/>
  <c r="E1347" i="1" s="1"/>
  <c r="F1347" i="1" s="1"/>
  <c r="D1348" i="1"/>
  <c r="E1348" i="1" s="1"/>
  <c r="F1348" i="1" s="1"/>
  <c r="D1349" i="1"/>
  <c r="E1349" i="1" s="1"/>
  <c r="F1349" i="1" s="1"/>
  <c r="D1350" i="1"/>
  <c r="E1350" i="1" s="1"/>
  <c r="F1350" i="1" s="1"/>
  <c r="D1351" i="1"/>
  <c r="E1351" i="1" s="1"/>
  <c r="F1351" i="1" s="1"/>
  <c r="D1352" i="1"/>
  <c r="E1352" i="1" s="1"/>
  <c r="F1352" i="1" s="1"/>
  <c r="D1353" i="1"/>
  <c r="E1353" i="1" s="1"/>
  <c r="F1353" i="1" s="1"/>
  <c r="D1354" i="1"/>
  <c r="E1354" i="1" s="1"/>
  <c r="F1354" i="1" s="1"/>
  <c r="D1355" i="1"/>
  <c r="E1355" i="1" s="1"/>
  <c r="F1355" i="1" s="1"/>
  <c r="D1356" i="1"/>
  <c r="E1356" i="1" s="1"/>
  <c r="F1356" i="1" s="1"/>
  <c r="D1357" i="1"/>
  <c r="E1357" i="1" s="1"/>
  <c r="F1357" i="1" s="1"/>
  <c r="D1358" i="1"/>
  <c r="E1358" i="1" s="1"/>
  <c r="F1358" i="1" s="1"/>
  <c r="D1359" i="1"/>
  <c r="E1359" i="1" s="1"/>
  <c r="F1359" i="1" s="1"/>
  <c r="D1360" i="1"/>
  <c r="E1360" i="1" s="1"/>
  <c r="F1360" i="1" s="1"/>
  <c r="D1361" i="1"/>
  <c r="E1361" i="1" s="1"/>
  <c r="F1361" i="1" s="1"/>
  <c r="D1362" i="1"/>
  <c r="E1362" i="1" s="1"/>
  <c r="F1362" i="1" s="1"/>
  <c r="D1363" i="1"/>
  <c r="E1363" i="1" s="1"/>
  <c r="F1363" i="1" s="1"/>
  <c r="D1364" i="1"/>
  <c r="E1364" i="1" s="1"/>
  <c r="F1364" i="1" s="1"/>
  <c r="D1365" i="1"/>
  <c r="E1365" i="1" s="1"/>
  <c r="F1365" i="1" s="1"/>
  <c r="D1366" i="1"/>
  <c r="E1366" i="1" s="1"/>
  <c r="F1366" i="1" s="1"/>
  <c r="D1367" i="1"/>
  <c r="E1367" i="1" s="1"/>
  <c r="F1367" i="1" s="1"/>
  <c r="D1368" i="1"/>
  <c r="E1368" i="1" s="1"/>
  <c r="F1368" i="1" s="1"/>
  <c r="D1369" i="1"/>
  <c r="E1369" i="1" s="1"/>
  <c r="F1369" i="1" s="1"/>
  <c r="D1370" i="1"/>
  <c r="E1370" i="1" s="1"/>
  <c r="F1370" i="1" s="1"/>
  <c r="D1371" i="1"/>
  <c r="E1371" i="1" s="1"/>
  <c r="F1371" i="1" s="1"/>
  <c r="D1372" i="1"/>
  <c r="E1372" i="1" s="1"/>
  <c r="F1372" i="1" s="1"/>
  <c r="D1373" i="1"/>
  <c r="E1373" i="1" s="1"/>
  <c r="F1373" i="1" s="1"/>
  <c r="D1374" i="1"/>
  <c r="E1374" i="1" s="1"/>
  <c r="F1374" i="1" s="1"/>
  <c r="D1375" i="1"/>
  <c r="E1375" i="1" s="1"/>
  <c r="F1375" i="1" s="1"/>
  <c r="D1376" i="1"/>
  <c r="E1376" i="1" s="1"/>
  <c r="F1376" i="1" s="1"/>
  <c r="D1377" i="1"/>
  <c r="E1377" i="1" s="1"/>
  <c r="F1377" i="1" s="1"/>
  <c r="D1378" i="1"/>
  <c r="E1378" i="1" s="1"/>
  <c r="F1378" i="1" s="1"/>
  <c r="D1379" i="1"/>
  <c r="E1379" i="1" s="1"/>
  <c r="F1379" i="1" s="1"/>
  <c r="D1380" i="1"/>
  <c r="E1380" i="1" s="1"/>
  <c r="F1380" i="1" s="1"/>
  <c r="D1381" i="1"/>
  <c r="E1381" i="1" s="1"/>
  <c r="F1381" i="1" s="1"/>
  <c r="D1382" i="1"/>
  <c r="E1382" i="1" s="1"/>
  <c r="F1382" i="1" s="1"/>
  <c r="D1383" i="1"/>
  <c r="E1383" i="1" s="1"/>
  <c r="F1383" i="1" s="1"/>
  <c r="D1384" i="1"/>
  <c r="E1384" i="1" s="1"/>
  <c r="F1384" i="1" s="1"/>
  <c r="D1385" i="1"/>
  <c r="E1385" i="1" s="1"/>
  <c r="F1385" i="1" s="1"/>
  <c r="D1386" i="1"/>
  <c r="E1386" i="1" s="1"/>
  <c r="F1386" i="1" s="1"/>
  <c r="D1387" i="1"/>
  <c r="E1387" i="1" s="1"/>
  <c r="F1387" i="1" s="1"/>
  <c r="D1388" i="1"/>
  <c r="E1388" i="1" s="1"/>
  <c r="F1388" i="1" s="1"/>
  <c r="D1389" i="1"/>
  <c r="E1389" i="1" s="1"/>
  <c r="F1389" i="1" s="1"/>
  <c r="D1390" i="1"/>
  <c r="E1390" i="1" s="1"/>
  <c r="F1390" i="1" s="1"/>
  <c r="D1391" i="1"/>
  <c r="E1391" i="1" s="1"/>
  <c r="F1391" i="1" s="1"/>
  <c r="D1392" i="1"/>
  <c r="E1392" i="1" s="1"/>
  <c r="F1392" i="1" s="1"/>
  <c r="D1393" i="1"/>
  <c r="E1393" i="1" s="1"/>
  <c r="F1393" i="1" s="1"/>
  <c r="D1394" i="1"/>
  <c r="E1394" i="1" s="1"/>
  <c r="F1394" i="1" s="1"/>
  <c r="D1395" i="1"/>
  <c r="E1395" i="1" s="1"/>
  <c r="F1395" i="1" s="1"/>
  <c r="D1396" i="1"/>
  <c r="E1396" i="1" s="1"/>
  <c r="F1396" i="1" s="1"/>
  <c r="D1397" i="1"/>
  <c r="E1397" i="1" s="1"/>
  <c r="F1397" i="1" s="1"/>
  <c r="D1398" i="1"/>
  <c r="E1398" i="1" s="1"/>
  <c r="F1398" i="1" s="1"/>
  <c r="D1399" i="1"/>
  <c r="E1399" i="1" s="1"/>
  <c r="F1399" i="1" s="1"/>
  <c r="D1400" i="1"/>
  <c r="E1400" i="1" s="1"/>
  <c r="F1400" i="1" s="1"/>
  <c r="D1401" i="1"/>
  <c r="E1401" i="1" s="1"/>
  <c r="F1401" i="1" s="1"/>
  <c r="D1402" i="1"/>
  <c r="E1402" i="1" s="1"/>
  <c r="F1402" i="1" s="1"/>
  <c r="D1403" i="1"/>
  <c r="E1403" i="1" s="1"/>
  <c r="F1403" i="1" s="1"/>
  <c r="D1404" i="1"/>
  <c r="E1404" i="1" s="1"/>
  <c r="F1404" i="1" s="1"/>
  <c r="D1405" i="1"/>
  <c r="E1405" i="1" s="1"/>
  <c r="F1405" i="1" s="1"/>
  <c r="D1406" i="1"/>
  <c r="E1406" i="1" s="1"/>
  <c r="F1406" i="1" s="1"/>
  <c r="D1407" i="1"/>
  <c r="E1407" i="1" s="1"/>
  <c r="F1407" i="1" s="1"/>
  <c r="D1408" i="1"/>
  <c r="E1408" i="1" s="1"/>
  <c r="F1408" i="1" s="1"/>
  <c r="D1409" i="1"/>
  <c r="E1409" i="1" s="1"/>
  <c r="F1409" i="1" s="1"/>
  <c r="D1410" i="1"/>
  <c r="E1410" i="1" s="1"/>
  <c r="F1410" i="1" s="1"/>
  <c r="D1411" i="1"/>
  <c r="E1411" i="1" s="1"/>
  <c r="F1411" i="1" s="1"/>
  <c r="D1412" i="1"/>
  <c r="E1412" i="1" s="1"/>
  <c r="F1412" i="1" s="1"/>
  <c r="D1413" i="1"/>
  <c r="E1413" i="1" s="1"/>
  <c r="F1413" i="1" s="1"/>
  <c r="D1414" i="1"/>
  <c r="E1414" i="1" s="1"/>
  <c r="F1414" i="1" s="1"/>
  <c r="D1415" i="1"/>
  <c r="E1415" i="1" s="1"/>
  <c r="F1415" i="1" s="1"/>
  <c r="D1416" i="1"/>
  <c r="E1416" i="1" s="1"/>
  <c r="F1416" i="1" s="1"/>
  <c r="D1417" i="1"/>
  <c r="E1417" i="1" s="1"/>
  <c r="F1417" i="1" s="1"/>
  <c r="D1418" i="1"/>
  <c r="E1418" i="1" s="1"/>
  <c r="F1418" i="1" s="1"/>
  <c r="D1419" i="1"/>
  <c r="E1419" i="1" s="1"/>
  <c r="F1419" i="1" s="1"/>
  <c r="D1420" i="1"/>
  <c r="E1420" i="1" s="1"/>
  <c r="F1420" i="1" s="1"/>
  <c r="D1421" i="1"/>
  <c r="E1421" i="1" s="1"/>
  <c r="F1421" i="1" s="1"/>
  <c r="D1422" i="1"/>
  <c r="E1422" i="1" s="1"/>
  <c r="F1422" i="1" s="1"/>
  <c r="D1423" i="1"/>
  <c r="E1423" i="1" s="1"/>
  <c r="F1423" i="1" s="1"/>
  <c r="D1424" i="1"/>
  <c r="E1424" i="1" s="1"/>
  <c r="F1424" i="1" s="1"/>
  <c r="D1425" i="1"/>
  <c r="E1425" i="1" s="1"/>
  <c r="F1425" i="1" s="1"/>
  <c r="D1426" i="1"/>
  <c r="E1426" i="1" s="1"/>
  <c r="F1426" i="1" s="1"/>
  <c r="D1427" i="1"/>
  <c r="E1427" i="1" s="1"/>
  <c r="F1427" i="1" s="1"/>
  <c r="D1428" i="1"/>
  <c r="E1428" i="1" s="1"/>
  <c r="F1428" i="1" s="1"/>
  <c r="D1429" i="1"/>
  <c r="E1429" i="1" s="1"/>
  <c r="F1429" i="1" s="1"/>
  <c r="D1430" i="1"/>
  <c r="E1430" i="1" s="1"/>
  <c r="F1430" i="1" s="1"/>
  <c r="D1431" i="1"/>
  <c r="E1431" i="1" s="1"/>
  <c r="F1431" i="1" s="1"/>
  <c r="D1432" i="1"/>
  <c r="E1432" i="1" s="1"/>
  <c r="F1432" i="1" s="1"/>
  <c r="D1433" i="1"/>
  <c r="E1433" i="1" s="1"/>
  <c r="F1433" i="1" s="1"/>
  <c r="D1434" i="1"/>
  <c r="E1434" i="1" s="1"/>
  <c r="F1434" i="1" s="1"/>
  <c r="D1435" i="1"/>
  <c r="E1435" i="1" s="1"/>
  <c r="F1435" i="1" s="1"/>
  <c r="D1436" i="1"/>
  <c r="E1436" i="1" s="1"/>
  <c r="F1436" i="1" s="1"/>
  <c r="D1437" i="1"/>
  <c r="E1437" i="1" s="1"/>
  <c r="F1437" i="1" s="1"/>
  <c r="D1438" i="1"/>
  <c r="E1438" i="1" s="1"/>
  <c r="F1438" i="1" s="1"/>
  <c r="D1439" i="1"/>
  <c r="E1439" i="1" s="1"/>
  <c r="F1439" i="1" s="1"/>
  <c r="D1440" i="1"/>
  <c r="E1440" i="1" s="1"/>
  <c r="F1440" i="1" s="1"/>
  <c r="D1441" i="1"/>
  <c r="E1441" i="1" s="1"/>
  <c r="F1441" i="1" s="1"/>
  <c r="D1442" i="1"/>
  <c r="E1442" i="1" s="1"/>
  <c r="F1442" i="1" s="1"/>
  <c r="D1443" i="1"/>
  <c r="E1443" i="1" s="1"/>
  <c r="F1443" i="1" s="1"/>
  <c r="D1444" i="1"/>
  <c r="E1444" i="1" s="1"/>
  <c r="F1444" i="1" s="1"/>
  <c r="D1445" i="1"/>
  <c r="E1445" i="1" s="1"/>
  <c r="F1445" i="1" s="1"/>
  <c r="D1446" i="1"/>
  <c r="E1446" i="1" s="1"/>
  <c r="F1446" i="1" s="1"/>
  <c r="D1447" i="1"/>
  <c r="E1447" i="1" s="1"/>
  <c r="F1447" i="1" s="1"/>
  <c r="D1448" i="1"/>
  <c r="E1448" i="1" s="1"/>
  <c r="F1448" i="1" s="1"/>
  <c r="D1449" i="1"/>
  <c r="E1449" i="1" s="1"/>
  <c r="F1449" i="1" s="1"/>
  <c r="D1450" i="1"/>
  <c r="E1450" i="1" s="1"/>
  <c r="F1450" i="1" s="1"/>
  <c r="D1451" i="1"/>
  <c r="E1451" i="1" s="1"/>
  <c r="F1451" i="1" s="1"/>
  <c r="D1452" i="1"/>
  <c r="E1452" i="1" s="1"/>
  <c r="F1452" i="1" s="1"/>
  <c r="D1453" i="1"/>
  <c r="E1453" i="1" s="1"/>
  <c r="F1453" i="1" s="1"/>
  <c r="D1454" i="1"/>
  <c r="E1454" i="1" s="1"/>
  <c r="F1454" i="1" s="1"/>
  <c r="D1455" i="1"/>
  <c r="E1455" i="1" s="1"/>
  <c r="F1455" i="1" s="1"/>
  <c r="D1456" i="1"/>
  <c r="E1456" i="1" s="1"/>
  <c r="F1456" i="1" s="1"/>
  <c r="D1457" i="1"/>
  <c r="E1457" i="1" s="1"/>
  <c r="F1457" i="1" s="1"/>
  <c r="D1458" i="1"/>
  <c r="E1458" i="1" s="1"/>
  <c r="F1458" i="1" s="1"/>
  <c r="D1459" i="1"/>
  <c r="E1459" i="1" s="1"/>
  <c r="F1459" i="1" s="1"/>
  <c r="D1460" i="1"/>
  <c r="E1460" i="1" s="1"/>
  <c r="F1460" i="1" s="1"/>
  <c r="D1461" i="1"/>
  <c r="E1461" i="1" s="1"/>
  <c r="F1461" i="1" s="1"/>
  <c r="D1462" i="1"/>
  <c r="E1462" i="1" s="1"/>
  <c r="F1462" i="1" s="1"/>
  <c r="D1463" i="1"/>
  <c r="E1463" i="1" s="1"/>
  <c r="F1463" i="1" s="1"/>
  <c r="D1464" i="1"/>
  <c r="E1464" i="1" s="1"/>
  <c r="F1464" i="1" s="1"/>
  <c r="D1465" i="1"/>
  <c r="E1465" i="1" s="1"/>
  <c r="F1465" i="1" s="1"/>
  <c r="D1466" i="1"/>
  <c r="E1466" i="1" s="1"/>
  <c r="F1466" i="1" s="1"/>
  <c r="D1467" i="1"/>
  <c r="E1467" i="1" s="1"/>
  <c r="F1467" i="1" s="1"/>
  <c r="D1468" i="1"/>
  <c r="E1468" i="1" s="1"/>
  <c r="F1468" i="1" s="1"/>
  <c r="D1469" i="1"/>
  <c r="E1469" i="1" s="1"/>
  <c r="F1469" i="1" s="1"/>
  <c r="D1470" i="1"/>
  <c r="E1470" i="1" s="1"/>
  <c r="F1470" i="1" s="1"/>
  <c r="D1471" i="1"/>
  <c r="E1471" i="1" s="1"/>
  <c r="F1471" i="1" s="1"/>
  <c r="D1472" i="1"/>
  <c r="E1472" i="1" s="1"/>
  <c r="F1472" i="1" s="1"/>
  <c r="D1473" i="1"/>
  <c r="E1473" i="1" s="1"/>
  <c r="F1473" i="1" s="1"/>
  <c r="D1474" i="1"/>
  <c r="E1474" i="1" s="1"/>
  <c r="F1474" i="1" s="1"/>
  <c r="D1475" i="1"/>
  <c r="E1475" i="1" s="1"/>
  <c r="F1475" i="1" s="1"/>
  <c r="D1476" i="1"/>
  <c r="E1476" i="1" s="1"/>
  <c r="F1476" i="1" s="1"/>
  <c r="D1477" i="1"/>
  <c r="E1477" i="1" s="1"/>
  <c r="F1477" i="1" s="1"/>
  <c r="D1478" i="1"/>
  <c r="E1478" i="1" s="1"/>
  <c r="F1478" i="1" s="1"/>
  <c r="D1479" i="1"/>
  <c r="E1479" i="1" s="1"/>
  <c r="F1479" i="1" s="1"/>
  <c r="D1480" i="1"/>
  <c r="E1480" i="1" s="1"/>
  <c r="F1480" i="1" s="1"/>
  <c r="D1481" i="1"/>
  <c r="E1481" i="1" s="1"/>
  <c r="F1481" i="1" s="1"/>
  <c r="D1482" i="1"/>
  <c r="E1482" i="1" s="1"/>
  <c r="F1482" i="1" s="1"/>
  <c r="D1483" i="1"/>
  <c r="E1483" i="1" s="1"/>
  <c r="F1483" i="1" s="1"/>
  <c r="D1484" i="1"/>
  <c r="E1484" i="1" s="1"/>
  <c r="F1484" i="1" s="1"/>
  <c r="D1485" i="1"/>
  <c r="E1485" i="1" s="1"/>
  <c r="F1485" i="1" s="1"/>
  <c r="D1486" i="1"/>
  <c r="E1486" i="1" s="1"/>
  <c r="F1486" i="1" s="1"/>
  <c r="D1487" i="1"/>
  <c r="E1487" i="1" s="1"/>
  <c r="F1487" i="1" s="1"/>
  <c r="D1488" i="1"/>
  <c r="E1488" i="1" s="1"/>
  <c r="F1488" i="1" s="1"/>
  <c r="D1489" i="1"/>
  <c r="E1489" i="1" s="1"/>
  <c r="F1489" i="1" s="1"/>
  <c r="D1490" i="1"/>
  <c r="E1490" i="1" s="1"/>
  <c r="F1490" i="1" s="1"/>
  <c r="D1491" i="1"/>
  <c r="E1491" i="1" s="1"/>
  <c r="F1491" i="1" s="1"/>
  <c r="D1492" i="1"/>
  <c r="E1492" i="1" s="1"/>
  <c r="F1492" i="1" s="1"/>
  <c r="D1493" i="1"/>
  <c r="E1493" i="1" s="1"/>
  <c r="F1493" i="1" s="1"/>
  <c r="D1494" i="1"/>
  <c r="E1494" i="1" s="1"/>
  <c r="F1494" i="1" s="1"/>
  <c r="D1495" i="1"/>
  <c r="E1495" i="1" s="1"/>
  <c r="F1495" i="1" s="1"/>
  <c r="D1496" i="1"/>
  <c r="E1496" i="1" s="1"/>
  <c r="F1496" i="1" s="1"/>
  <c r="D1497" i="1"/>
  <c r="E1497" i="1" s="1"/>
  <c r="F1497" i="1" s="1"/>
  <c r="D1498" i="1"/>
  <c r="E1498" i="1" s="1"/>
  <c r="F1498" i="1" s="1"/>
  <c r="D1499" i="1"/>
  <c r="E1499" i="1" s="1"/>
  <c r="F1499" i="1" s="1"/>
  <c r="D1500" i="1"/>
  <c r="E1500" i="1" s="1"/>
  <c r="F1500" i="1" s="1"/>
  <c r="D1501" i="1"/>
  <c r="E1501" i="1" s="1"/>
  <c r="F1501" i="1" s="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2" i="1"/>
  <c r="W5" i="1"/>
  <c r="W2" i="1"/>
  <c r="W3" i="1"/>
  <c r="W4"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Y1501" i="1" l="1"/>
  <c r="Y1500" i="1"/>
  <c r="Y1499" i="1"/>
  <c r="Y1498" i="1"/>
  <c r="Y1497" i="1"/>
  <c r="Y1496" i="1"/>
  <c r="Y1495" i="1"/>
  <c r="Y1494" i="1"/>
  <c r="Y1493" i="1"/>
  <c r="Y1492" i="1"/>
  <c r="Y1491" i="1"/>
  <c r="Y1490" i="1"/>
  <c r="Y1489" i="1"/>
  <c r="Y1488" i="1"/>
  <c r="Y1487" i="1"/>
  <c r="Y1486" i="1"/>
  <c r="Y1485" i="1"/>
  <c r="Y1484" i="1"/>
  <c r="Y1483" i="1"/>
  <c r="Y1482" i="1"/>
  <c r="Y1481" i="1"/>
  <c r="Y1480" i="1"/>
  <c r="Y1479" i="1"/>
  <c r="Y1478" i="1"/>
  <c r="Y1477" i="1"/>
  <c r="Y1476" i="1"/>
  <c r="Y1475" i="1"/>
  <c r="Y1474" i="1"/>
  <c r="Y1473" i="1"/>
  <c r="Y1472" i="1"/>
  <c r="Y1471" i="1"/>
  <c r="Y1470" i="1"/>
  <c r="Y1469" i="1"/>
  <c r="Y1468" i="1"/>
  <c r="Y1467" i="1"/>
  <c r="Y1466" i="1"/>
  <c r="Y1465" i="1"/>
  <c r="Y1464" i="1"/>
  <c r="Y1463" i="1"/>
  <c r="Y1462" i="1"/>
  <c r="Y1461" i="1"/>
  <c r="Y1460" i="1"/>
  <c r="Y1459" i="1"/>
  <c r="Y1458" i="1"/>
  <c r="Y1457" i="1"/>
  <c r="Y1456" i="1"/>
  <c r="Y1455" i="1"/>
  <c r="Y1454" i="1"/>
  <c r="Y1453" i="1"/>
  <c r="Y1452" i="1"/>
  <c r="Y1451" i="1"/>
  <c r="Y1450" i="1"/>
  <c r="Y1449" i="1"/>
  <c r="Y1448" i="1"/>
  <c r="Y1447" i="1"/>
  <c r="Y1446" i="1"/>
  <c r="Y1445" i="1"/>
  <c r="Y1444" i="1"/>
  <c r="Y1443" i="1"/>
  <c r="Y1442" i="1"/>
  <c r="Y1441" i="1"/>
  <c r="Y1440" i="1"/>
  <c r="Y1439" i="1"/>
  <c r="Y1438" i="1"/>
  <c r="Y1437" i="1"/>
  <c r="Y1436" i="1"/>
  <c r="Y1435" i="1"/>
  <c r="Y1434" i="1"/>
  <c r="Y1433" i="1"/>
  <c r="Y1432" i="1"/>
  <c r="Y1431" i="1"/>
  <c r="Y1430" i="1"/>
  <c r="Y1429" i="1"/>
  <c r="Y1428" i="1"/>
  <c r="Y1427" i="1"/>
  <c r="Y1426" i="1"/>
  <c r="Y1425" i="1"/>
  <c r="Y1424" i="1"/>
  <c r="Y1423" i="1"/>
  <c r="Y1422" i="1"/>
  <c r="Y1421" i="1"/>
  <c r="Y1420" i="1"/>
  <c r="Y1419" i="1"/>
  <c r="Y1418" i="1"/>
  <c r="Y1417" i="1"/>
  <c r="Y1416" i="1"/>
  <c r="Y1415" i="1"/>
  <c r="Y1414" i="1"/>
  <c r="Y1413" i="1"/>
  <c r="Y1412" i="1"/>
  <c r="Y1411" i="1"/>
  <c r="Y1410" i="1"/>
  <c r="Y1409" i="1"/>
  <c r="Y1408" i="1"/>
  <c r="Y1407" i="1"/>
  <c r="Y1406" i="1"/>
  <c r="Y1405" i="1"/>
  <c r="Y1404" i="1"/>
  <c r="Y1403" i="1"/>
  <c r="Y1402" i="1"/>
  <c r="Y1401" i="1"/>
  <c r="Y1400" i="1"/>
  <c r="Y1399" i="1"/>
  <c r="Y1398" i="1"/>
  <c r="Y1397" i="1"/>
  <c r="Y1396" i="1"/>
  <c r="Y1395" i="1"/>
  <c r="Y1394" i="1"/>
  <c r="Y1393" i="1"/>
  <c r="Y1392" i="1"/>
  <c r="Y1391" i="1"/>
  <c r="Y1390" i="1"/>
  <c r="Y1389" i="1"/>
  <c r="Y1388" i="1"/>
  <c r="Y1387" i="1"/>
  <c r="Y1386" i="1"/>
  <c r="Y1385" i="1"/>
  <c r="Y1384" i="1"/>
  <c r="Y1383" i="1"/>
  <c r="Y1382" i="1"/>
  <c r="Y1381" i="1"/>
  <c r="Y1380" i="1"/>
  <c r="Y1379" i="1"/>
  <c r="Y1378" i="1"/>
  <c r="Y1377" i="1"/>
  <c r="Y1376" i="1"/>
  <c r="Y1375" i="1"/>
  <c r="Y1374" i="1"/>
  <c r="Y1373" i="1"/>
  <c r="Y1372" i="1"/>
  <c r="Y1371" i="1"/>
  <c r="Y1370" i="1"/>
  <c r="Y1369" i="1"/>
  <c r="Y1368" i="1"/>
  <c r="Y1367" i="1"/>
  <c r="Y1366" i="1"/>
  <c r="Y1365" i="1"/>
  <c r="Y1364" i="1"/>
  <c r="Y1363" i="1"/>
  <c r="Y1362" i="1"/>
  <c r="Y1361" i="1"/>
  <c r="Y1360" i="1"/>
  <c r="Y1359" i="1"/>
  <c r="Y1358" i="1"/>
  <c r="Y1357" i="1"/>
  <c r="Y1356" i="1"/>
  <c r="Y1355" i="1"/>
  <c r="Y1354" i="1"/>
  <c r="Y1353" i="1"/>
  <c r="Y1352" i="1"/>
  <c r="Y1351" i="1"/>
  <c r="Y1350" i="1"/>
  <c r="Y1349" i="1"/>
  <c r="Y1348" i="1"/>
  <c r="Y1347" i="1"/>
  <c r="Y1346" i="1"/>
  <c r="Y1345" i="1"/>
  <c r="Y1344" i="1"/>
  <c r="Y1343" i="1"/>
  <c r="Y1342" i="1"/>
  <c r="Y1341" i="1"/>
  <c r="Y1340" i="1"/>
  <c r="Y1339" i="1"/>
  <c r="Y1338" i="1"/>
  <c r="Y1337" i="1"/>
  <c r="Y1336" i="1"/>
  <c r="Y1335" i="1"/>
  <c r="Y1334" i="1"/>
  <c r="Y1333" i="1"/>
  <c r="Y1332" i="1"/>
  <c r="Y1331" i="1"/>
  <c r="Y1330" i="1"/>
  <c r="Y1329" i="1"/>
  <c r="Y1328" i="1"/>
  <c r="Y1327" i="1"/>
  <c r="Y1326" i="1"/>
  <c r="Y1325" i="1"/>
  <c r="Y1324" i="1"/>
  <c r="Y1323" i="1"/>
  <c r="Y1322" i="1"/>
  <c r="Y1321" i="1"/>
  <c r="Y1320" i="1"/>
  <c r="Y1319" i="1"/>
  <c r="Y1318" i="1"/>
  <c r="Y1317" i="1"/>
  <c r="Y1316" i="1"/>
  <c r="Y1315" i="1"/>
  <c r="Y1314" i="1"/>
  <c r="Y1313" i="1"/>
  <c r="Y1312" i="1"/>
  <c r="Y1311" i="1"/>
  <c r="Y1310" i="1"/>
  <c r="Y1309" i="1"/>
  <c r="Y1308" i="1"/>
  <c r="Y1307" i="1"/>
  <c r="Y1306" i="1"/>
  <c r="Y1305" i="1"/>
  <c r="Y1304" i="1"/>
  <c r="Y1303" i="1"/>
  <c r="Y1302" i="1"/>
  <c r="Y1301" i="1"/>
  <c r="Y1300" i="1"/>
  <c r="Y1299" i="1"/>
  <c r="Y1298" i="1"/>
  <c r="Y1297" i="1"/>
  <c r="Y1296" i="1"/>
  <c r="Y1295" i="1"/>
  <c r="Y1294" i="1"/>
  <c r="Y1293" i="1"/>
  <c r="Y1292" i="1"/>
  <c r="Y1291" i="1"/>
  <c r="Y1290" i="1"/>
  <c r="Y1289" i="1"/>
  <c r="Y1288" i="1"/>
  <c r="Y1287" i="1"/>
  <c r="Y1286" i="1"/>
  <c r="Y1285" i="1"/>
  <c r="Y1284" i="1"/>
  <c r="Y1283" i="1"/>
  <c r="Y1282" i="1"/>
  <c r="Y1281" i="1"/>
  <c r="Y1280" i="1"/>
  <c r="Y1279" i="1"/>
  <c r="Y1278" i="1"/>
  <c r="Y1277" i="1"/>
  <c r="Y1276" i="1"/>
  <c r="Y1275" i="1"/>
  <c r="Y1274" i="1"/>
  <c r="Y1273" i="1"/>
  <c r="Y1272" i="1"/>
  <c r="Y1271" i="1"/>
  <c r="Y1270" i="1"/>
  <c r="Y1269" i="1"/>
  <c r="Y1268" i="1"/>
  <c r="Y1267" i="1"/>
  <c r="Y1266" i="1"/>
  <c r="Y1265" i="1"/>
  <c r="Y1264" i="1"/>
  <c r="Y1263" i="1"/>
  <c r="Y1262" i="1"/>
  <c r="Y1261" i="1"/>
  <c r="Y1260" i="1"/>
  <c r="Y1259" i="1"/>
  <c r="Y1258" i="1"/>
  <c r="Y1257" i="1"/>
  <c r="Y1256" i="1"/>
  <c r="Y1255" i="1"/>
  <c r="Y1254" i="1"/>
  <c r="Y1253" i="1"/>
  <c r="Y1252" i="1"/>
  <c r="Y1251" i="1"/>
  <c r="Y1250" i="1"/>
  <c r="Y1249" i="1"/>
  <c r="Y1248" i="1"/>
  <c r="Y1247" i="1"/>
  <c r="Y1246" i="1"/>
  <c r="Y1245" i="1"/>
  <c r="Y1244" i="1"/>
  <c r="Y1243" i="1"/>
  <c r="Y1242" i="1"/>
  <c r="Y1241" i="1"/>
  <c r="Y1240" i="1"/>
  <c r="Y1239" i="1"/>
  <c r="Y1238" i="1"/>
  <c r="Y1237" i="1"/>
  <c r="Y1236" i="1"/>
  <c r="Y1235" i="1"/>
  <c r="Y1234" i="1"/>
  <c r="Y1233" i="1"/>
  <c r="Y1232" i="1"/>
  <c r="Y1231" i="1"/>
  <c r="Y1230" i="1"/>
  <c r="Y1229" i="1"/>
  <c r="Y1228" i="1"/>
  <c r="Y1227" i="1"/>
  <c r="Y1226" i="1"/>
  <c r="Y1225" i="1"/>
  <c r="Y1224" i="1"/>
  <c r="Y1223" i="1"/>
  <c r="Y1222" i="1"/>
  <c r="Y1221" i="1"/>
  <c r="Y1220" i="1"/>
  <c r="Y1219" i="1"/>
  <c r="Y1218" i="1"/>
  <c r="Y1217" i="1"/>
  <c r="Y1216" i="1"/>
  <c r="Y1215" i="1"/>
  <c r="Y1214" i="1"/>
  <c r="Y1213" i="1"/>
  <c r="Y1212" i="1"/>
  <c r="Y1211" i="1"/>
  <c r="Y1210" i="1"/>
  <c r="Y1209" i="1"/>
  <c r="Y1208" i="1"/>
  <c r="Y1207" i="1"/>
  <c r="Y1206" i="1"/>
  <c r="Y1205" i="1"/>
  <c r="Y1204" i="1"/>
  <c r="Y1203" i="1"/>
  <c r="Y1202" i="1"/>
  <c r="Y1201" i="1"/>
  <c r="Y1200" i="1"/>
  <c r="Y1199" i="1"/>
  <c r="Y1198" i="1"/>
  <c r="Y1197" i="1"/>
  <c r="Y1196" i="1"/>
  <c r="Y1195" i="1"/>
  <c r="Y1194" i="1"/>
  <c r="Y1193" i="1"/>
  <c r="Y1192" i="1"/>
  <c r="Y1191" i="1"/>
  <c r="Y1190" i="1"/>
  <c r="Y1189" i="1"/>
  <c r="Y1188" i="1"/>
  <c r="Y1187" i="1"/>
  <c r="Y1186" i="1"/>
  <c r="Y1185" i="1"/>
  <c r="Y1184" i="1"/>
  <c r="Y1183" i="1"/>
  <c r="Y1182" i="1"/>
  <c r="Y1181" i="1"/>
  <c r="Y1180" i="1"/>
  <c r="Y1179" i="1"/>
  <c r="Y1178" i="1"/>
  <c r="Y1177" i="1"/>
  <c r="Y1176" i="1"/>
  <c r="Y1175" i="1"/>
  <c r="Y1174" i="1"/>
  <c r="Y1173" i="1"/>
  <c r="Y1172" i="1"/>
  <c r="Y1171" i="1"/>
  <c r="Y1170" i="1"/>
  <c r="Y1169" i="1"/>
  <c r="Y1168" i="1"/>
  <c r="Y1167" i="1"/>
  <c r="Y1166" i="1"/>
  <c r="Y1165" i="1"/>
  <c r="Y1164" i="1"/>
  <c r="Y1163" i="1"/>
  <c r="Y1162" i="1"/>
  <c r="Y1161" i="1"/>
  <c r="Y1160" i="1"/>
  <c r="Y1159" i="1"/>
  <c r="Y1158" i="1"/>
  <c r="Y1157" i="1"/>
  <c r="Y1156" i="1"/>
  <c r="Y1155" i="1"/>
  <c r="Y1154" i="1"/>
  <c r="Y1153" i="1"/>
  <c r="Y1152" i="1"/>
  <c r="Y1151" i="1"/>
  <c r="Y1150" i="1"/>
  <c r="Y1149" i="1"/>
  <c r="Y1148" i="1"/>
  <c r="Y1147" i="1"/>
  <c r="Y1146" i="1"/>
  <c r="Y1145" i="1"/>
  <c r="Y1144" i="1"/>
  <c r="Y1143" i="1"/>
  <c r="Y1142" i="1"/>
  <c r="Y1141" i="1"/>
  <c r="Y1140" i="1"/>
  <c r="Y1139" i="1"/>
  <c r="Y1138" i="1"/>
  <c r="Y1137" i="1"/>
  <c r="Y1136" i="1"/>
  <c r="Y1135" i="1"/>
  <c r="Y1134" i="1"/>
  <c r="Y1133" i="1"/>
  <c r="Y1132" i="1"/>
  <c r="Y1131" i="1"/>
  <c r="Y1130" i="1"/>
  <c r="Y1129" i="1"/>
  <c r="Y1128" i="1"/>
  <c r="Y1127" i="1"/>
  <c r="Y1126" i="1"/>
  <c r="Y1125" i="1"/>
  <c r="Y1124" i="1"/>
  <c r="Y1123" i="1"/>
  <c r="Y1122" i="1"/>
  <c r="Y1121" i="1"/>
  <c r="Y1120" i="1"/>
  <c r="Y1119" i="1"/>
  <c r="Y1118" i="1"/>
  <c r="Y1117" i="1"/>
  <c r="Y1116" i="1"/>
  <c r="Y1115" i="1"/>
  <c r="Y1114" i="1"/>
  <c r="Y1113" i="1"/>
  <c r="Y1112" i="1"/>
  <c r="Y1111" i="1"/>
  <c r="Y1110" i="1"/>
  <c r="Y1109" i="1"/>
  <c r="Y1108" i="1"/>
  <c r="Y1107" i="1"/>
  <c r="Y1106" i="1"/>
  <c r="Y1105" i="1"/>
  <c r="Y1104" i="1"/>
  <c r="Y1103" i="1"/>
  <c r="Y1102" i="1"/>
  <c r="Y1101" i="1"/>
  <c r="Y1100" i="1"/>
  <c r="Y1099" i="1"/>
  <c r="Y1098" i="1"/>
  <c r="Y1097" i="1"/>
  <c r="Y1096" i="1"/>
  <c r="Y1095" i="1"/>
  <c r="Y1094" i="1"/>
  <c r="Y1093" i="1"/>
  <c r="Y1092" i="1"/>
  <c r="Y1091" i="1"/>
  <c r="Y1090" i="1"/>
  <c r="Y1089" i="1"/>
  <c r="Y1088" i="1"/>
  <c r="Y1087" i="1"/>
  <c r="Y1086" i="1"/>
  <c r="Y1085" i="1"/>
  <c r="Y1084" i="1"/>
  <c r="Y1083" i="1"/>
  <c r="Y1082" i="1"/>
  <c r="Y1081" i="1"/>
  <c r="Y1080" i="1"/>
  <c r="Y1079" i="1"/>
  <c r="Y1078" i="1"/>
  <c r="Y1077" i="1"/>
  <c r="Y1076" i="1"/>
  <c r="Y1075" i="1"/>
  <c r="Y1074" i="1"/>
  <c r="Y1073" i="1"/>
  <c r="Y1072" i="1"/>
  <c r="Y1071" i="1"/>
  <c r="Y1070" i="1"/>
  <c r="Y1069" i="1"/>
  <c r="Y1068" i="1"/>
  <c r="Y1067" i="1"/>
  <c r="Y1066" i="1"/>
  <c r="Y1065" i="1"/>
  <c r="Y1064" i="1"/>
  <c r="Y1063" i="1"/>
  <c r="Y1062" i="1"/>
  <c r="Y1061" i="1"/>
  <c r="Y1060" i="1"/>
  <c r="Y1059" i="1"/>
  <c r="Y1058" i="1"/>
  <c r="Y1057" i="1"/>
  <c r="Y1056" i="1"/>
  <c r="Y1055" i="1"/>
  <c r="Y1054" i="1"/>
  <c r="Y1053" i="1"/>
  <c r="Y1052" i="1"/>
  <c r="Y1051" i="1"/>
  <c r="Y1050" i="1"/>
  <c r="Y1049" i="1"/>
  <c r="Y1048" i="1"/>
  <c r="Y1047" i="1"/>
  <c r="Y1046" i="1"/>
  <c r="Y1045" i="1"/>
  <c r="Y1044" i="1"/>
  <c r="Y1043" i="1"/>
  <c r="Y1042" i="1"/>
  <c r="Y1041" i="1"/>
  <c r="Y1040" i="1"/>
  <c r="Y1039" i="1"/>
  <c r="Y1038" i="1"/>
  <c r="Y1037" i="1"/>
  <c r="Y1036" i="1"/>
  <c r="Y1035" i="1"/>
  <c r="Y1034" i="1"/>
  <c r="Y1033" i="1"/>
  <c r="Y1032" i="1"/>
  <c r="Y1031" i="1"/>
  <c r="Y1030" i="1"/>
  <c r="Y1029" i="1"/>
  <c r="Y1028" i="1"/>
  <c r="Y1027" i="1"/>
  <c r="Y1026" i="1"/>
  <c r="Y1025" i="1"/>
  <c r="Y1024" i="1"/>
  <c r="Y1023" i="1"/>
  <c r="Y1022" i="1"/>
  <c r="Y1021" i="1"/>
  <c r="Y1020" i="1"/>
  <c r="Y1019" i="1"/>
  <c r="Y1018" i="1"/>
  <c r="Y1017" i="1"/>
  <c r="Y1016" i="1"/>
  <c r="Y1015" i="1"/>
  <c r="Y1014" i="1"/>
  <c r="Y1013" i="1"/>
  <c r="Y1012" i="1"/>
  <c r="Y1011" i="1"/>
  <c r="Y1010" i="1"/>
  <c r="Y1009" i="1"/>
  <c r="Y1008" i="1"/>
  <c r="Y1007" i="1"/>
  <c r="Y1006" i="1"/>
  <c r="Y1005" i="1"/>
  <c r="Y1004" i="1"/>
  <c r="Y1003" i="1"/>
  <c r="Y1002" i="1"/>
  <c r="Y1001" i="1"/>
  <c r="Y1000" i="1"/>
  <c r="Y999" i="1"/>
  <c r="Y998" i="1"/>
  <c r="Y997" i="1"/>
  <c r="Y996" i="1"/>
  <c r="Y995" i="1"/>
  <c r="Y994" i="1"/>
  <c r="Y993" i="1"/>
  <c r="Y992" i="1"/>
  <c r="Y991" i="1"/>
  <c r="Y990" i="1"/>
  <c r="Y989" i="1"/>
  <c r="Y988" i="1"/>
  <c r="Y987" i="1"/>
  <c r="Y986" i="1"/>
  <c r="Y985" i="1"/>
  <c r="Y984" i="1"/>
  <c r="Y983" i="1"/>
  <c r="Y982" i="1"/>
  <c r="Y981" i="1"/>
  <c r="Y980" i="1"/>
  <c r="Y979" i="1"/>
  <c r="Y978" i="1"/>
  <c r="Y977" i="1"/>
  <c r="Y976" i="1"/>
  <c r="Y975" i="1"/>
  <c r="Y974" i="1"/>
  <c r="Y973" i="1"/>
  <c r="Y972" i="1"/>
  <c r="Y971" i="1"/>
  <c r="Y970" i="1"/>
  <c r="Y969" i="1"/>
  <c r="Y968" i="1"/>
  <c r="Y967" i="1"/>
  <c r="Y966" i="1"/>
  <c r="Y965" i="1"/>
  <c r="Y964" i="1"/>
  <c r="Y963" i="1"/>
  <c r="Y962" i="1"/>
  <c r="Y961" i="1"/>
  <c r="Y960" i="1"/>
  <c r="Y959" i="1"/>
  <c r="Y958" i="1"/>
  <c r="Y957" i="1"/>
  <c r="Y956" i="1"/>
  <c r="Y955" i="1"/>
  <c r="Y954" i="1"/>
  <c r="Y953" i="1"/>
  <c r="Y952" i="1"/>
  <c r="Y951" i="1"/>
  <c r="Y950" i="1"/>
  <c r="Y949" i="1"/>
  <c r="Y948" i="1"/>
  <c r="Y947" i="1"/>
  <c r="Y946" i="1"/>
  <c r="Y945" i="1"/>
  <c r="Y944" i="1"/>
  <c r="Y943" i="1"/>
  <c r="Y942" i="1"/>
  <c r="Y941" i="1"/>
  <c r="Y940" i="1"/>
  <c r="Y939" i="1"/>
  <c r="Y938" i="1"/>
  <c r="Y937" i="1"/>
  <c r="Y936" i="1"/>
  <c r="Y935" i="1"/>
  <c r="Y934" i="1"/>
  <c r="Y933" i="1"/>
  <c r="Y932" i="1"/>
  <c r="Y931" i="1"/>
  <c r="Y930" i="1"/>
  <c r="Y929" i="1"/>
  <c r="Y928" i="1"/>
  <c r="Y927" i="1"/>
  <c r="Y926" i="1"/>
  <c r="Y925" i="1"/>
  <c r="Y924" i="1"/>
  <c r="Y923" i="1"/>
  <c r="Y922" i="1"/>
  <c r="Y921" i="1"/>
  <c r="Y920" i="1"/>
  <c r="Y919" i="1"/>
  <c r="Y918" i="1"/>
  <c r="Y917" i="1"/>
  <c r="Y916" i="1"/>
  <c r="Y915" i="1"/>
  <c r="Y914" i="1"/>
  <c r="Y913" i="1"/>
  <c r="Y912" i="1"/>
  <c r="Y911" i="1"/>
  <c r="Y910" i="1"/>
  <c r="Y909" i="1"/>
  <c r="Y908" i="1"/>
  <c r="Y907" i="1"/>
  <c r="Y906" i="1"/>
  <c r="Y905" i="1"/>
  <c r="Y904" i="1"/>
  <c r="Y903" i="1"/>
  <c r="Y902" i="1"/>
  <c r="Y901" i="1"/>
  <c r="Y900" i="1"/>
  <c r="Y899" i="1"/>
  <c r="Y898" i="1"/>
  <c r="Y897" i="1"/>
  <c r="Y896" i="1"/>
  <c r="Y895" i="1"/>
  <c r="Y894" i="1"/>
  <c r="Y893" i="1"/>
  <c r="Y892" i="1"/>
  <c r="Y891" i="1"/>
  <c r="Y890" i="1"/>
  <c r="Y889" i="1"/>
  <c r="Y888" i="1"/>
  <c r="Y887" i="1"/>
  <c r="Y886" i="1"/>
  <c r="Y885" i="1"/>
  <c r="Y884" i="1"/>
  <c r="Y883" i="1"/>
  <c r="Y882" i="1"/>
  <c r="Y881" i="1"/>
  <c r="Y880" i="1"/>
  <c r="Y879" i="1"/>
  <c r="Y878" i="1"/>
  <c r="Y877" i="1"/>
  <c r="Y876" i="1"/>
  <c r="Y875" i="1"/>
  <c r="Y874" i="1"/>
  <c r="Y873" i="1"/>
  <c r="Y872" i="1"/>
  <c r="Y871" i="1"/>
  <c r="Y870" i="1"/>
  <c r="Y869" i="1"/>
  <c r="Y868" i="1"/>
  <c r="Y867" i="1"/>
  <c r="Y866" i="1"/>
  <c r="Y865" i="1"/>
  <c r="Y864" i="1"/>
  <c r="Y863" i="1"/>
  <c r="Y862" i="1"/>
  <c r="Y861" i="1"/>
  <c r="Y860" i="1"/>
  <c r="Y859" i="1"/>
  <c r="Y858" i="1"/>
  <c r="Y857" i="1"/>
  <c r="Y856" i="1"/>
  <c r="Y855" i="1"/>
  <c r="Y854" i="1"/>
  <c r="Y853" i="1"/>
  <c r="Y852" i="1"/>
  <c r="Y851" i="1"/>
  <c r="Y850" i="1"/>
  <c r="Y849" i="1"/>
  <c r="Y848" i="1"/>
  <c r="Y847" i="1"/>
  <c r="Y846" i="1"/>
  <c r="Y845" i="1"/>
  <c r="Y844" i="1"/>
  <c r="Y843" i="1"/>
  <c r="Y842" i="1"/>
  <c r="Y841" i="1"/>
  <c r="Y840" i="1"/>
  <c r="Y839" i="1"/>
  <c r="Y838" i="1"/>
  <c r="Y837" i="1"/>
  <c r="Y836" i="1"/>
  <c r="Y835" i="1"/>
  <c r="Y834" i="1"/>
  <c r="Y833" i="1"/>
  <c r="Y832" i="1"/>
  <c r="Y831" i="1"/>
  <c r="Y830" i="1"/>
  <c r="Y829" i="1"/>
  <c r="Y828" i="1"/>
  <c r="Y827" i="1"/>
  <c r="Y826" i="1"/>
  <c r="Y825" i="1"/>
  <c r="Y824" i="1"/>
  <c r="Y823" i="1"/>
  <c r="Y822" i="1"/>
  <c r="Y821" i="1"/>
  <c r="Y820" i="1"/>
  <c r="Y819" i="1"/>
  <c r="Y818" i="1"/>
  <c r="Y817" i="1"/>
  <c r="Y816" i="1"/>
  <c r="Y815" i="1"/>
  <c r="Y814" i="1"/>
  <c r="Y813" i="1"/>
  <c r="Y812" i="1"/>
  <c r="Y811" i="1"/>
  <c r="Y810" i="1"/>
  <c r="Y809" i="1"/>
  <c r="Y808" i="1"/>
  <c r="Y807" i="1"/>
  <c r="Y806" i="1"/>
  <c r="Y805" i="1"/>
  <c r="Y804" i="1"/>
  <c r="Y803" i="1"/>
  <c r="Y802" i="1"/>
  <c r="Y801" i="1"/>
  <c r="Y800" i="1"/>
  <c r="Y799" i="1"/>
  <c r="Y798" i="1"/>
  <c r="Y797" i="1"/>
  <c r="Y796" i="1"/>
  <c r="Y795" i="1"/>
  <c r="Y794" i="1"/>
  <c r="Y793" i="1"/>
  <c r="Y792" i="1"/>
  <c r="Y791" i="1"/>
  <c r="Y790" i="1"/>
  <c r="Y789" i="1"/>
  <c r="Y788" i="1"/>
  <c r="Y787" i="1"/>
  <c r="Y786" i="1"/>
  <c r="Y785" i="1"/>
  <c r="Y784" i="1"/>
  <c r="Y783" i="1"/>
  <c r="Y782" i="1"/>
  <c r="Y781" i="1"/>
  <c r="Y780" i="1"/>
  <c r="Y779" i="1"/>
  <c r="Y778" i="1"/>
  <c r="Y777" i="1"/>
  <c r="Y776" i="1"/>
  <c r="Y775" i="1"/>
  <c r="Y774" i="1"/>
  <c r="Y773" i="1"/>
  <c r="Y772" i="1"/>
  <c r="Y771" i="1"/>
  <c r="Y770" i="1"/>
  <c r="Y769" i="1"/>
  <c r="Y768" i="1"/>
  <c r="Y767" i="1"/>
  <c r="Y766" i="1"/>
  <c r="Y765" i="1"/>
  <c r="Y764" i="1"/>
  <c r="Y763" i="1"/>
  <c r="Y762" i="1"/>
  <c r="Y761" i="1"/>
  <c r="Y760" i="1"/>
  <c r="Y759" i="1"/>
  <c r="Y758" i="1"/>
  <c r="Y757" i="1"/>
  <c r="Y756" i="1"/>
  <c r="Y755" i="1"/>
  <c r="Y754" i="1"/>
  <c r="Y753" i="1"/>
  <c r="Y752" i="1"/>
  <c r="Y751" i="1"/>
  <c r="Y750" i="1"/>
  <c r="Y749" i="1"/>
  <c r="Y748" i="1"/>
  <c r="Y747" i="1"/>
  <c r="Y746" i="1"/>
  <c r="Y745" i="1"/>
  <c r="Y744" i="1"/>
  <c r="Y743" i="1"/>
  <c r="Y742" i="1"/>
  <c r="Y741" i="1"/>
  <c r="Y740" i="1"/>
  <c r="Y739" i="1"/>
  <c r="Y738" i="1"/>
  <c r="Y737" i="1"/>
  <c r="Y736" i="1"/>
  <c r="Y735" i="1"/>
  <c r="Y734" i="1"/>
  <c r="Y733" i="1"/>
  <c r="Y732" i="1"/>
  <c r="Y731" i="1"/>
  <c r="Y730" i="1"/>
  <c r="Y729" i="1"/>
  <c r="Y728" i="1"/>
  <c r="Y727" i="1"/>
  <c r="Y726" i="1"/>
  <c r="Y725" i="1"/>
  <c r="Y724" i="1"/>
  <c r="Y723" i="1"/>
  <c r="Y722" i="1"/>
  <c r="Y721" i="1"/>
  <c r="Y720" i="1"/>
  <c r="Y719" i="1"/>
  <c r="Y718" i="1"/>
  <c r="Y717" i="1"/>
  <c r="Y716" i="1"/>
  <c r="Y715" i="1"/>
  <c r="Y714" i="1"/>
  <c r="Y713" i="1"/>
  <c r="Y712" i="1"/>
  <c r="Y711" i="1"/>
  <c r="Y710" i="1"/>
  <c r="Y709" i="1"/>
  <c r="Y708" i="1"/>
  <c r="Y707" i="1"/>
  <c r="Y706" i="1"/>
  <c r="Y705" i="1"/>
  <c r="Y704" i="1"/>
  <c r="Y703" i="1"/>
  <c r="Y702" i="1"/>
  <c r="Y701" i="1"/>
  <c r="Y700" i="1"/>
  <c r="Y699" i="1"/>
  <c r="Y698" i="1"/>
  <c r="Y697" i="1"/>
  <c r="Y696" i="1"/>
  <c r="Y695" i="1"/>
  <c r="Y694" i="1"/>
  <c r="Y693" i="1"/>
  <c r="Y692" i="1"/>
  <c r="Y691" i="1"/>
  <c r="Y690" i="1"/>
  <c r="Y689" i="1"/>
  <c r="Y688" i="1"/>
  <c r="Y687" i="1"/>
  <c r="Y686" i="1"/>
  <c r="Y685" i="1"/>
  <c r="Y684" i="1"/>
  <c r="Y683" i="1"/>
  <c r="Y682" i="1"/>
  <c r="Y681" i="1"/>
  <c r="Y680" i="1"/>
  <c r="Y679" i="1"/>
  <c r="Y678" i="1"/>
  <c r="Y677" i="1"/>
  <c r="Y676" i="1"/>
  <c r="Y675" i="1"/>
  <c r="Y674" i="1"/>
  <c r="Y673" i="1"/>
  <c r="Y672" i="1"/>
  <c r="Y671" i="1"/>
  <c r="Y670" i="1"/>
  <c r="Y669" i="1"/>
  <c r="Y668" i="1"/>
  <c r="Y667" i="1"/>
  <c r="Y666" i="1"/>
  <c r="Y665" i="1"/>
  <c r="Y664" i="1"/>
  <c r="Y663" i="1"/>
  <c r="Y662" i="1"/>
  <c r="Y661" i="1"/>
  <c r="Y660" i="1"/>
  <c r="Y659" i="1"/>
  <c r="Y658" i="1"/>
  <c r="Y657" i="1"/>
  <c r="Y656" i="1"/>
  <c r="Y655" i="1"/>
  <c r="Y654" i="1"/>
  <c r="Y653" i="1"/>
  <c r="Y652" i="1"/>
  <c r="Y651" i="1"/>
  <c r="Y650" i="1"/>
  <c r="Y649" i="1"/>
  <c r="Y648" i="1"/>
  <c r="Y647" i="1"/>
  <c r="Y646" i="1"/>
  <c r="Y645" i="1"/>
  <c r="Y644" i="1"/>
  <c r="Y643" i="1"/>
  <c r="Y642" i="1"/>
  <c r="Y641" i="1"/>
  <c r="Y640" i="1"/>
  <c r="Y639" i="1"/>
  <c r="Y638" i="1"/>
  <c r="Y637" i="1"/>
  <c r="Y636" i="1"/>
  <c r="Y635" i="1"/>
  <c r="Y634" i="1"/>
  <c r="Y633" i="1"/>
  <c r="Y632" i="1"/>
  <c r="Y631" i="1"/>
  <c r="Y630" i="1"/>
  <c r="Y629" i="1"/>
  <c r="Y628" i="1"/>
  <c r="Y627" i="1"/>
  <c r="Y626" i="1"/>
  <c r="Y625" i="1"/>
  <c r="Y624" i="1"/>
  <c r="Y623" i="1"/>
  <c r="Y622" i="1"/>
  <c r="Y621" i="1"/>
  <c r="Y620" i="1"/>
  <c r="Y619" i="1"/>
  <c r="Y618" i="1"/>
  <c r="Y617" i="1"/>
  <c r="Y616" i="1"/>
  <c r="Y615" i="1"/>
  <c r="Y614" i="1"/>
  <c r="Y613" i="1"/>
  <c r="Y612" i="1"/>
  <c r="Y611" i="1"/>
  <c r="Y610" i="1"/>
  <c r="Y609" i="1"/>
  <c r="Y608" i="1"/>
  <c r="Y607" i="1"/>
  <c r="Y606" i="1"/>
  <c r="Y605" i="1"/>
  <c r="Y604" i="1"/>
  <c r="Y603" i="1"/>
  <c r="Y602" i="1"/>
  <c r="Y601" i="1"/>
  <c r="Y600" i="1"/>
  <c r="Y599" i="1"/>
  <c r="Y598" i="1"/>
  <c r="Y597" i="1"/>
  <c r="Y596" i="1"/>
  <c r="Y595" i="1"/>
  <c r="Y594" i="1"/>
  <c r="Y593" i="1"/>
  <c r="Y592" i="1"/>
  <c r="Y591" i="1"/>
  <c r="Y590" i="1"/>
  <c r="Y589" i="1"/>
  <c r="Y588" i="1"/>
  <c r="Y587" i="1"/>
  <c r="Y586" i="1"/>
  <c r="Y585" i="1"/>
  <c r="Y584" i="1"/>
  <c r="Y583" i="1"/>
  <c r="Y582" i="1"/>
  <c r="Y581" i="1"/>
  <c r="Y580" i="1"/>
  <c r="Y579" i="1"/>
  <c r="Y578" i="1"/>
  <c r="Y577" i="1"/>
  <c r="Y576" i="1"/>
  <c r="Y575" i="1"/>
  <c r="Y574" i="1"/>
  <c r="Y573" i="1"/>
  <c r="Y572" i="1"/>
  <c r="Y571" i="1"/>
  <c r="Y570" i="1"/>
  <c r="Y569" i="1"/>
  <c r="Y568" i="1"/>
  <c r="Y567" i="1"/>
  <c r="Y566" i="1"/>
  <c r="Y565" i="1"/>
  <c r="Y564" i="1"/>
  <c r="Y563" i="1"/>
  <c r="Y562" i="1"/>
  <c r="Y561" i="1"/>
  <c r="Y560" i="1"/>
  <c r="Y559" i="1"/>
  <c r="Y558" i="1"/>
  <c r="Y557" i="1"/>
  <c r="Y556" i="1"/>
  <c r="Y555" i="1"/>
  <c r="Y554" i="1"/>
  <c r="Y553" i="1"/>
  <c r="Y552" i="1"/>
  <c r="Y551" i="1"/>
  <c r="Y550" i="1"/>
  <c r="Y549" i="1"/>
  <c r="Y548" i="1"/>
  <c r="Y547" i="1"/>
  <c r="Y546" i="1"/>
  <c r="Y545" i="1"/>
  <c r="Y544" i="1"/>
  <c r="Y543" i="1"/>
  <c r="Y542" i="1"/>
  <c r="Y541" i="1"/>
  <c r="Y540" i="1"/>
  <c r="Y539" i="1"/>
  <c r="Y538" i="1"/>
  <c r="Y537" i="1"/>
  <c r="Y536" i="1"/>
  <c r="Y535" i="1"/>
  <c r="Y534" i="1"/>
  <c r="Y533" i="1"/>
  <c r="Y532" i="1"/>
  <c r="Y531" i="1"/>
  <c r="Y530" i="1"/>
  <c r="Y529" i="1"/>
  <c r="Y528" i="1"/>
  <c r="Y527" i="1"/>
  <c r="Y526" i="1"/>
  <c r="Y525" i="1"/>
  <c r="Y524" i="1"/>
  <c r="Y523" i="1"/>
  <c r="Y522" i="1"/>
  <c r="Y521" i="1"/>
  <c r="Y520" i="1"/>
  <c r="Y519" i="1"/>
  <c r="Y518" i="1"/>
  <c r="Y517" i="1"/>
  <c r="Y516" i="1"/>
  <c r="Y515" i="1"/>
  <c r="Y514" i="1"/>
  <c r="Y513" i="1"/>
  <c r="Y512" i="1"/>
  <c r="Y511" i="1"/>
  <c r="Y510" i="1"/>
  <c r="Y509" i="1"/>
  <c r="Y508" i="1"/>
  <c r="Y507" i="1"/>
  <c r="Y506" i="1"/>
  <c r="Y505" i="1"/>
  <c r="Y504" i="1"/>
  <c r="Y503" i="1"/>
  <c r="Y502" i="1"/>
  <c r="Y501" i="1"/>
  <c r="Y500" i="1"/>
  <c r="Y499" i="1"/>
  <c r="Y498" i="1"/>
  <c r="Y497" i="1"/>
  <c r="Y496" i="1"/>
  <c r="Y495" i="1"/>
  <c r="Y494" i="1"/>
  <c r="Y493" i="1"/>
  <c r="Y492" i="1"/>
  <c r="Y491" i="1"/>
  <c r="Y490" i="1"/>
  <c r="Y489" i="1"/>
  <c r="Y488" i="1"/>
  <c r="Y487" i="1"/>
  <c r="Y486" i="1"/>
  <c r="Y485" i="1"/>
  <c r="Y484" i="1"/>
  <c r="Y483" i="1"/>
  <c r="Y482" i="1"/>
  <c r="Y481" i="1"/>
  <c r="Y480" i="1"/>
  <c r="Y479" i="1"/>
  <c r="Y478" i="1"/>
  <c r="Y477" i="1"/>
  <c r="Y476" i="1"/>
  <c r="Y475" i="1"/>
  <c r="Y474" i="1"/>
  <c r="Y473" i="1"/>
  <c r="Y472" i="1"/>
  <c r="Y471" i="1"/>
  <c r="Y470" i="1"/>
  <c r="Y469" i="1"/>
  <c r="Y468" i="1"/>
  <c r="Y467" i="1"/>
  <c r="Y466" i="1"/>
  <c r="Y465" i="1"/>
  <c r="Y464" i="1"/>
  <c r="Y463" i="1"/>
  <c r="Y462" i="1"/>
  <c r="Y461" i="1"/>
  <c r="Y460" i="1"/>
  <c r="Y459" i="1"/>
  <c r="Y458" i="1"/>
  <c r="Y457" i="1"/>
  <c r="Y456" i="1"/>
  <c r="Y455" i="1"/>
  <c r="Y454" i="1"/>
  <c r="Y453" i="1"/>
  <c r="Y452" i="1"/>
  <c r="Y451" i="1"/>
  <c r="Y450" i="1"/>
  <c r="Y449" i="1"/>
  <c r="Y448" i="1"/>
  <c r="Y447" i="1"/>
  <c r="Y446" i="1"/>
  <c r="Y445" i="1"/>
  <c r="Y444" i="1"/>
  <c r="Y443" i="1"/>
  <c r="Y442" i="1"/>
  <c r="Y441" i="1"/>
  <c r="Y440" i="1"/>
  <c r="Y439" i="1"/>
  <c r="Y438" i="1"/>
  <c r="Y437" i="1"/>
  <c r="Y436" i="1"/>
  <c r="Y435" i="1"/>
  <c r="Y434" i="1"/>
  <c r="Y433" i="1"/>
  <c r="Y432" i="1"/>
  <c r="Y431" i="1"/>
  <c r="Y430" i="1"/>
  <c r="Y429" i="1"/>
  <c r="Y428" i="1"/>
  <c r="Y427" i="1"/>
  <c r="Y426" i="1"/>
  <c r="Y425" i="1"/>
  <c r="Y424" i="1"/>
  <c r="Y423" i="1"/>
  <c r="Y422" i="1"/>
  <c r="Y421" i="1"/>
  <c r="Y420" i="1"/>
  <c r="Y419" i="1"/>
  <c r="Y418" i="1"/>
  <c r="Y417" i="1"/>
  <c r="Y416" i="1"/>
  <c r="Y415" i="1"/>
  <c r="Y414" i="1"/>
  <c r="Y413" i="1"/>
  <c r="Y412" i="1"/>
  <c r="Y411" i="1"/>
  <c r="Y410" i="1"/>
  <c r="Y409" i="1"/>
  <c r="Y408" i="1"/>
  <c r="Y407" i="1"/>
  <c r="Y406" i="1"/>
  <c r="Y405" i="1"/>
  <c r="Y404" i="1"/>
  <c r="Y403" i="1"/>
  <c r="Y402" i="1"/>
  <c r="Y401" i="1"/>
  <c r="Y400" i="1"/>
  <c r="Y399" i="1"/>
  <c r="Y398" i="1"/>
  <c r="Y397" i="1"/>
  <c r="Y396" i="1"/>
  <c r="Y395" i="1"/>
  <c r="Y394" i="1"/>
  <c r="Y393" i="1"/>
  <c r="Y392" i="1"/>
  <c r="Y391" i="1"/>
  <c r="Y390" i="1"/>
  <c r="Y389" i="1"/>
  <c r="Y388" i="1"/>
  <c r="Y387" i="1"/>
  <c r="Y386" i="1"/>
  <c r="Y385" i="1"/>
  <c r="Y384" i="1"/>
  <c r="Y383" i="1"/>
  <c r="Y382" i="1"/>
  <c r="Y381" i="1"/>
  <c r="Y380" i="1"/>
  <c r="Y379" i="1"/>
  <c r="Y378" i="1"/>
  <c r="Y377" i="1"/>
  <c r="Y376" i="1"/>
  <c r="Y375" i="1"/>
  <c r="Y374" i="1"/>
  <c r="Y373" i="1"/>
  <c r="Y372" i="1"/>
  <c r="Y371" i="1"/>
  <c r="Y370" i="1"/>
  <c r="Y369" i="1"/>
  <c r="Y368" i="1"/>
  <c r="Y367" i="1"/>
  <c r="Y366" i="1"/>
  <c r="Y365" i="1"/>
  <c r="Y364" i="1"/>
  <c r="Y363" i="1"/>
  <c r="Y362" i="1"/>
  <c r="Y361" i="1"/>
  <c r="Y360" i="1"/>
  <c r="Y359" i="1"/>
  <c r="Y358" i="1"/>
  <c r="Y357" i="1"/>
  <c r="Y356" i="1"/>
  <c r="Y355" i="1"/>
  <c r="Y354" i="1"/>
  <c r="Y353" i="1"/>
  <c r="Y352" i="1"/>
  <c r="Y351" i="1"/>
  <c r="Y350" i="1"/>
  <c r="Y349" i="1"/>
  <c r="Y348" i="1"/>
  <c r="Y347" i="1"/>
  <c r="Y346" i="1"/>
  <c r="Y345" i="1"/>
  <c r="Y344" i="1"/>
  <c r="Y343" i="1"/>
  <c r="Y342" i="1"/>
  <c r="Y341" i="1"/>
  <c r="Y340" i="1"/>
  <c r="Y339" i="1"/>
  <c r="Y338" i="1"/>
  <c r="Y337" i="1"/>
  <c r="Y336" i="1"/>
  <c r="Y335" i="1"/>
  <c r="Y334" i="1"/>
  <c r="Y333" i="1"/>
  <c r="Y332" i="1"/>
  <c r="Y331" i="1"/>
  <c r="Y330" i="1"/>
  <c r="Y329" i="1"/>
  <c r="Y328" i="1"/>
  <c r="Y327" i="1"/>
  <c r="Y326" i="1"/>
  <c r="Y325" i="1"/>
  <c r="Y324" i="1"/>
  <c r="Y323" i="1"/>
  <c r="Y322" i="1"/>
  <c r="Y321" i="1"/>
  <c r="Y320" i="1"/>
  <c r="Y319" i="1"/>
  <c r="Y318" i="1"/>
  <c r="Y317" i="1"/>
  <c r="Y316" i="1"/>
  <c r="Y315" i="1"/>
  <c r="Y314" i="1"/>
  <c r="Y313" i="1"/>
  <c r="Y312" i="1"/>
  <c r="Y311" i="1"/>
  <c r="Y310" i="1"/>
  <c r="Y309" i="1"/>
  <c r="Y308" i="1"/>
  <c r="Y307" i="1"/>
  <c r="Y306" i="1"/>
  <c r="Y305" i="1"/>
  <c r="Y304" i="1"/>
  <c r="Y303" i="1"/>
  <c r="Y302" i="1"/>
  <c r="Y301" i="1"/>
  <c r="Y300" i="1"/>
  <c r="Y299" i="1"/>
  <c r="Y298" i="1"/>
  <c r="Y297" i="1"/>
  <c r="Y296" i="1"/>
  <c r="Y295" i="1"/>
  <c r="Y294" i="1"/>
  <c r="Y293" i="1"/>
  <c r="Y292" i="1"/>
  <c r="Y291" i="1"/>
  <c r="Y290" i="1"/>
  <c r="Y289" i="1"/>
  <c r="Y288" i="1"/>
  <c r="Y287" i="1"/>
  <c r="Y286" i="1"/>
  <c r="Y285" i="1"/>
  <c r="Y284" i="1"/>
  <c r="Y283" i="1"/>
  <c r="Y282" i="1"/>
  <c r="Y281" i="1"/>
  <c r="Y280" i="1"/>
  <c r="Y279" i="1"/>
  <c r="Y278" i="1"/>
  <c r="Y277" i="1"/>
  <c r="Y276" i="1"/>
  <c r="Y275" i="1"/>
  <c r="Y274" i="1"/>
  <c r="Y273" i="1"/>
  <c r="Y272" i="1"/>
  <c r="Y271" i="1"/>
  <c r="Y270" i="1"/>
  <c r="Y269" i="1"/>
  <c r="Y268" i="1"/>
  <c r="Y267" i="1"/>
  <c r="Y266" i="1"/>
  <c r="Y265" i="1"/>
  <c r="Y264" i="1"/>
  <c r="Y263" i="1"/>
  <c r="Y262" i="1"/>
  <c r="Y261" i="1"/>
  <c r="Y260" i="1"/>
  <c r="Y259" i="1"/>
  <c r="Y258" i="1"/>
  <c r="Y257" i="1"/>
  <c r="Y256" i="1"/>
  <c r="Y255" i="1"/>
  <c r="Y254" i="1"/>
  <c r="Y253" i="1"/>
  <c r="Y252" i="1"/>
  <c r="Y251" i="1"/>
  <c r="Y250" i="1"/>
  <c r="Y249" i="1"/>
  <c r="Y248" i="1"/>
  <c r="Y247" i="1"/>
  <c r="Y246" i="1"/>
  <c r="Y245" i="1"/>
  <c r="Y244" i="1"/>
  <c r="Y243" i="1"/>
  <c r="Y242" i="1"/>
  <c r="Y241" i="1"/>
  <c r="Y240" i="1"/>
  <c r="Y239" i="1"/>
  <c r="Y238" i="1"/>
  <c r="Y237" i="1"/>
  <c r="Y236" i="1"/>
  <c r="Y235" i="1"/>
  <c r="Y234" i="1"/>
  <c r="Y233" i="1"/>
  <c r="Y232" i="1"/>
  <c r="Y231" i="1"/>
  <c r="Y230" i="1"/>
  <c r="Y229" i="1"/>
  <c r="Y228" i="1"/>
  <c r="Y227" i="1"/>
  <c r="Y226" i="1"/>
  <c r="Y225" i="1"/>
  <c r="Y224" i="1"/>
  <c r="Y223" i="1"/>
  <c r="Y222" i="1"/>
  <c r="Y221" i="1"/>
  <c r="Y220" i="1"/>
  <c r="Y219" i="1"/>
  <c r="Y218" i="1"/>
  <c r="Y217" i="1"/>
  <c r="Y216" i="1"/>
  <c r="Y215" i="1"/>
  <c r="Y214" i="1"/>
  <c r="Y213" i="1"/>
  <c r="Y212" i="1"/>
  <c r="Y211" i="1"/>
  <c r="Y210" i="1"/>
  <c r="Y209" i="1"/>
  <c r="Y208" i="1"/>
  <c r="Y207" i="1"/>
  <c r="Y206" i="1"/>
  <c r="Y205" i="1"/>
  <c r="Y204" i="1"/>
  <c r="Y203" i="1"/>
  <c r="Y202" i="1"/>
  <c r="Y201" i="1"/>
  <c r="Y200" i="1"/>
  <c r="Y199" i="1"/>
  <c r="Y198" i="1"/>
  <c r="Y197" i="1"/>
  <c r="Y196" i="1"/>
  <c r="Y195" i="1"/>
  <c r="Y194" i="1"/>
  <c r="Y193" i="1"/>
  <c r="Y192" i="1"/>
  <c r="Y191" i="1"/>
  <c r="Y190" i="1"/>
  <c r="Y189" i="1"/>
  <c r="Y188" i="1"/>
  <c r="Y187" i="1"/>
  <c r="Y186" i="1"/>
  <c r="Y185" i="1"/>
  <c r="Y184" i="1"/>
  <c r="Y183" i="1"/>
  <c r="Y182" i="1"/>
  <c r="Y181" i="1"/>
  <c r="Y180" i="1"/>
  <c r="Y179" i="1"/>
  <c r="Y178" i="1"/>
  <c r="Y177" i="1"/>
  <c r="Y176" i="1"/>
  <c r="Y175" i="1"/>
  <c r="Y174" i="1"/>
  <c r="Y173" i="1"/>
  <c r="Y172" i="1"/>
  <c r="Y171" i="1"/>
  <c r="Y170" i="1"/>
  <c r="Y169" i="1"/>
  <c r="Y168" i="1"/>
  <c r="Y167" i="1"/>
  <c r="Y166" i="1"/>
  <c r="Y165" i="1"/>
  <c r="Y164" i="1"/>
  <c r="Y163" i="1"/>
  <c r="Y162" i="1"/>
  <c r="Y161" i="1"/>
  <c r="Y160" i="1"/>
  <c r="Y159" i="1"/>
  <c r="Y158" i="1"/>
  <c r="Y157" i="1"/>
  <c r="Y156" i="1"/>
  <c r="Y155" i="1"/>
  <c r="Y154" i="1"/>
  <c r="Y153" i="1"/>
  <c r="Y152" i="1"/>
  <c r="Y151" i="1"/>
  <c r="Y150" i="1"/>
  <c r="Y149" i="1"/>
  <c r="Y148" i="1"/>
  <c r="Y147" i="1"/>
  <c r="Y146" i="1"/>
  <c r="Y145" i="1"/>
  <c r="Y144" i="1"/>
  <c r="Y143" i="1"/>
  <c r="Y142" i="1"/>
  <c r="Y141" i="1"/>
  <c r="Y140" i="1"/>
  <c r="Y139" i="1"/>
  <c r="Y138" i="1"/>
  <c r="Y137" i="1"/>
  <c r="Y136" i="1"/>
  <c r="Y135" i="1"/>
  <c r="Y134" i="1"/>
  <c r="Y133" i="1"/>
  <c r="Y132" i="1"/>
  <c r="Y131" i="1"/>
  <c r="Y130" i="1"/>
  <c r="Y129" i="1"/>
  <c r="Y128" i="1"/>
  <c r="Y127" i="1"/>
  <c r="Y126" i="1"/>
  <c r="Y125" i="1"/>
  <c r="Y124" i="1"/>
  <c r="Y123" i="1"/>
  <c r="Y122" i="1"/>
  <c r="Y121" i="1"/>
  <c r="Y120" i="1"/>
  <c r="Y119" i="1"/>
  <c r="Y118" i="1"/>
  <c r="Y117" i="1"/>
  <c r="Y116" i="1"/>
  <c r="Y115" i="1"/>
  <c r="Y114" i="1"/>
  <c r="Y113" i="1"/>
  <c r="Y112" i="1"/>
  <c r="Y111" i="1"/>
  <c r="Y110" i="1"/>
  <c r="Y109" i="1"/>
  <c r="Y108" i="1"/>
  <c r="Y107" i="1"/>
  <c r="Y106" i="1"/>
  <c r="Y105" i="1"/>
  <c r="Y104" i="1"/>
  <c r="Y103" i="1"/>
  <c r="Y102" i="1"/>
  <c r="Y101" i="1"/>
  <c r="Y100" i="1"/>
  <c r="Y99" i="1"/>
  <c r="Y98" i="1"/>
  <c r="Y97" i="1"/>
  <c r="Y96" i="1"/>
  <c r="Y95" i="1"/>
  <c r="Y94" i="1"/>
  <c r="Y93" i="1"/>
  <c r="Y92" i="1"/>
  <c r="Y91" i="1"/>
  <c r="Y90" i="1"/>
  <c r="Y89" i="1"/>
  <c r="Y88" i="1"/>
  <c r="Y87" i="1"/>
  <c r="Y86" i="1"/>
  <c r="Y85" i="1"/>
  <c r="Y84" i="1"/>
  <c r="Y83" i="1"/>
  <c r="Y82" i="1"/>
  <c r="Y81" i="1"/>
  <c r="Y80" i="1"/>
  <c r="Y79" i="1"/>
  <c r="Y78" i="1"/>
  <c r="Y77" i="1"/>
  <c r="Y76" i="1"/>
  <c r="Y75" i="1"/>
  <c r="Y74" i="1"/>
  <c r="Y73" i="1"/>
  <c r="Y72" i="1"/>
  <c r="Y71" i="1"/>
  <c r="Y70" i="1"/>
  <c r="Y69" i="1"/>
  <c r="Y68" i="1"/>
  <c r="Y67" i="1"/>
  <c r="Y66" i="1"/>
  <c r="Y65" i="1"/>
  <c r="Y64" i="1"/>
  <c r="Y63" i="1"/>
  <c r="Y62" i="1"/>
  <c r="Y61" i="1"/>
  <c r="Y60" i="1"/>
  <c r="Y59" i="1"/>
  <c r="Y58" i="1"/>
  <c r="Y57" i="1"/>
  <c r="Y56" i="1"/>
  <c r="Y55" i="1"/>
  <c r="Y54" i="1"/>
  <c r="Y53" i="1"/>
  <c r="Y52" i="1"/>
  <c r="Y51" i="1"/>
  <c r="Y50" i="1"/>
  <c r="Y49" i="1"/>
  <c r="Y48" i="1"/>
  <c r="Y47" i="1"/>
  <c r="Y46" i="1"/>
  <c r="Y45" i="1"/>
  <c r="Y44" i="1"/>
  <c r="Y43" i="1"/>
  <c r="Y42" i="1"/>
  <c r="Y41" i="1"/>
  <c r="Y40" i="1"/>
  <c r="Y39" i="1"/>
  <c r="Y38" i="1"/>
  <c r="Y37" i="1"/>
  <c r="Y36" i="1"/>
  <c r="Y35" i="1"/>
  <c r="Y34" i="1"/>
  <c r="Y33" i="1"/>
  <c r="Y32" i="1"/>
  <c r="Y31" i="1"/>
  <c r="Y30" i="1"/>
  <c r="Y29" i="1"/>
  <c r="Y28" i="1"/>
  <c r="Y27" i="1"/>
  <c r="Y26" i="1"/>
  <c r="Y25" i="1"/>
  <c r="Y24" i="1"/>
  <c r="Y23" i="1"/>
  <c r="Y22" i="1"/>
  <c r="Y21" i="1"/>
  <c r="Y20" i="1"/>
  <c r="Y19" i="1"/>
  <c r="Y18" i="1"/>
  <c r="Y17" i="1"/>
  <c r="Y16" i="1"/>
  <c r="Y15" i="1"/>
  <c r="Y14" i="1"/>
  <c r="Y13" i="1"/>
  <c r="Y12" i="1"/>
  <c r="Y11" i="1"/>
  <c r="Y10" i="1"/>
  <c r="Y9" i="1"/>
  <c r="Y8" i="1"/>
  <c r="Y7" i="1"/>
  <c r="Y6" i="1"/>
  <c r="Y5" i="1"/>
  <c r="Y4" i="1"/>
  <c r="Y3"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<sst xmlns="http://schemas.openxmlformats.org/spreadsheetml/2006/main" count="14741" uniqueCount="2968">
  <si>
    <t>Total Sales</t>
  </si>
  <si>
    <t>Total Profit</t>
  </si>
  <si>
    <t>Total Orders</t>
  </si>
  <si>
    <t>Region</t>
  </si>
  <si>
    <t>Sum of Net Sales</t>
  </si>
  <si>
    <t>Sum of Profit</t>
  </si>
  <si>
    <t>Discount Category</t>
  </si>
  <si>
    <t>Central</t>
  </si>
  <si>
    <t>No Discount</t>
  </si>
  <si>
    <t>East</t>
  </si>
  <si>
    <t>High</t>
  </si>
  <si>
    <t>North</t>
  </si>
  <si>
    <t>Medium</t>
  </si>
  <si>
    <t>South</t>
  </si>
  <si>
    <t>Grand Total</t>
  </si>
  <si>
    <t>Year-Month</t>
  </si>
  <si>
    <t>West</t>
  </si>
  <si>
    <t>Salesperson</t>
  </si>
  <si>
    <t>Alice</t>
  </si>
  <si>
    <t>Bob</t>
  </si>
  <si>
    <t>Category</t>
  </si>
  <si>
    <t>Carlos</t>
  </si>
  <si>
    <t>Furniture</t>
  </si>
  <si>
    <t>Diana</t>
  </si>
  <si>
    <t>Office Supplies</t>
  </si>
  <si>
    <t>Eva</t>
  </si>
  <si>
    <t>Technology</t>
  </si>
  <si>
    <t>Frank</t>
  </si>
  <si>
    <t>Product</t>
  </si>
  <si>
    <t>Chair</t>
  </si>
  <si>
    <t>Desk</t>
  </si>
  <si>
    <t>Laptop</t>
  </si>
  <si>
    <t>Monitor</t>
  </si>
  <si>
    <t>Phone</t>
  </si>
  <si>
    <t>Printer</t>
  </si>
  <si>
    <t>Tablet</t>
  </si>
  <si>
    <t>Date</t>
  </si>
  <si>
    <t>Column1</t>
  </si>
  <si>
    <t>Column2</t>
  </si>
  <si>
    <t>Quantity</t>
  </si>
  <si>
    <t>UnitPrice</t>
  </si>
  <si>
    <t>StoreLocation</t>
  </si>
  <si>
    <t>CustomerType</t>
  </si>
  <si>
    <t>Discount</t>
  </si>
  <si>
    <t>TotalPrice</t>
  </si>
  <si>
    <t>PaymentMethod</t>
  </si>
  <si>
    <t>Promotion</t>
  </si>
  <si>
    <t>Returned</t>
  </si>
  <si>
    <t>OrderID</t>
  </si>
  <si>
    <t>CustomerName</t>
  </si>
  <si>
    <t>ShippingCost</t>
  </si>
  <si>
    <t>OrderDate</t>
  </si>
  <si>
    <t>DeliveryDate</t>
  </si>
  <si>
    <t>RegionManager</t>
  </si>
  <si>
    <t>Net Sales</t>
  </si>
  <si>
    <t>Sales</t>
  </si>
  <si>
    <t>Profit</t>
  </si>
  <si>
    <t>Store B</t>
  </si>
  <si>
    <t>Wholesale</t>
  </si>
  <si>
    <t>Online</t>
  </si>
  <si>
    <t>FREESHIP</t>
  </si>
  <si>
    <t>REG100000</t>
  </si>
  <si>
    <t>Cust 6583</t>
  </si>
  <si>
    <t>Eric</t>
  </si>
  <si>
    <t>Store A</t>
  </si>
  <si>
    <t>Retail</t>
  </si>
  <si>
    <t>Gift Card</t>
  </si>
  <si>
    <t>SAVE10</t>
  </si>
  <si>
    <t>REG100001</t>
  </si>
  <si>
    <t>Cust 2144</t>
  </si>
  <si>
    <t>Sophie</t>
  </si>
  <si>
    <t>WINTER15</t>
  </si>
  <si>
    <t>REG100002</t>
  </si>
  <si>
    <t>Cust 5998</t>
  </si>
  <si>
    <t>Ryan</t>
  </si>
  <si>
    <t>REG100003</t>
  </si>
  <si>
    <t>Cust 7136</t>
  </si>
  <si>
    <t>Cameron</t>
  </si>
  <si>
    <t>Store C</t>
  </si>
  <si>
    <t>REG100004</t>
  </si>
  <si>
    <t>Cust 6506</t>
  </si>
  <si>
    <t>Store D</t>
  </si>
  <si>
    <t>Credit Card</t>
  </si>
  <si>
    <t>REG100005</t>
  </si>
  <si>
    <t>Cust 3909</t>
  </si>
  <si>
    <t>Debit Card</t>
  </si>
  <si>
    <t>REG100006</t>
  </si>
  <si>
    <t>Cust 7887</t>
  </si>
  <si>
    <t>Cash</t>
  </si>
  <si>
    <t>REG100007</t>
  </si>
  <si>
    <t>Cust 5301</t>
  </si>
  <si>
    <t>REG100008</t>
  </si>
  <si>
    <t>Cust 2284</t>
  </si>
  <si>
    <t>REG100009</t>
  </si>
  <si>
    <t>Cust 3732</t>
  </si>
  <si>
    <t>Wendy</t>
  </si>
  <si>
    <t>REG100010</t>
  </si>
  <si>
    <t>Cust 1462</t>
  </si>
  <si>
    <t>REG100011</t>
  </si>
  <si>
    <t>Cust 4330</t>
  </si>
  <si>
    <t>REG100012</t>
  </si>
  <si>
    <t>Cust 2372</t>
  </si>
  <si>
    <t>REG100013</t>
  </si>
  <si>
    <t>Cust 4672</t>
  </si>
  <si>
    <t>REG100014</t>
  </si>
  <si>
    <t>Cust 4548</t>
  </si>
  <si>
    <t>REG100015</t>
  </si>
  <si>
    <t>Cust 7037</t>
  </si>
  <si>
    <t>REG100016</t>
  </si>
  <si>
    <t>Cust 4975</t>
  </si>
  <si>
    <t>REG100017</t>
  </si>
  <si>
    <t>Cust 8014</t>
  </si>
  <si>
    <t>REG100018</t>
  </si>
  <si>
    <t>Cust 1228</t>
  </si>
  <si>
    <t>REG100019</t>
  </si>
  <si>
    <t>Cust 4247</t>
  </si>
  <si>
    <t>REG100020</t>
  </si>
  <si>
    <t>Cust 4199</t>
  </si>
  <si>
    <t>REG100021</t>
  </si>
  <si>
    <t>Cust 4186</t>
  </si>
  <si>
    <t>REG100022</t>
  </si>
  <si>
    <t>Cust 8137</t>
  </si>
  <si>
    <t>REG100023</t>
  </si>
  <si>
    <t>Cust 4638</t>
  </si>
  <si>
    <t>REG100024</t>
  </si>
  <si>
    <t>Cust 8538</t>
  </si>
  <si>
    <t>REG100025</t>
  </si>
  <si>
    <t>Cust 6322</t>
  </si>
  <si>
    <t>REG100026</t>
  </si>
  <si>
    <t>Cust 2609</t>
  </si>
  <si>
    <t>REG100027</t>
  </si>
  <si>
    <t>Cust 6880</t>
  </si>
  <si>
    <t>REG100028</t>
  </si>
  <si>
    <t>Cust 1997</t>
  </si>
  <si>
    <t>REG100029</t>
  </si>
  <si>
    <t>Cust 7072</t>
  </si>
  <si>
    <t>REG100030</t>
  </si>
  <si>
    <t>Cust 7201</t>
  </si>
  <si>
    <t>REG100031</t>
  </si>
  <si>
    <t>Cust 9923</t>
  </si>
  <si>
    <t>REG100032</t>
  </si>
  <si>
    <t>Cust 2205</t>
  </si>
  <si>
    <t>REG100033</t>
  </si>
  <si>
    <t>Cust 6403</t>
  </si>
  <si>
    <t>REG100034</t>
  </si>
  <si>
    <t>Cust 3953</t>
  </si>
  <si>
    <t>REG100035</t>
  </si>
  <si>
    <t>Cust 7902</t>
  </si>
  <si>
    <t>REG100036</t>
  </si>
  <si>
    <t>Cust 9968</t>
  </si>
  <si>
    <t>REG100037</t>
  </si>
  <si>
    <t>Cust 3787</t>
  </si>
  <si>
    <t>REG100038</t>
  </si>
  <si>
    <t>Cust 2469</t>
  </si>
  <si>
    <t>REG100039</t>
  </si>
  <si>
    <t>Cust 6468</t>
  </si>
  <si>
    <t>REG100040</t>
  </si>
  <si>
    <t>Cust 5312</t>
  </si>
  <si>
    <t>REG100041</t>
  </si>
  <si>
    <t>Cust 1482</t>
  </si>
  <si>
    <t>REG100042</t>
  </si>
  <si>
    <t>Cust 7903</t>
  </si>
  <si>
    <t>REG100043</t>
  </si>
  <si>
    <t>Cust 9605</t>
  </si>
  <si>
    <t>REG100044</t>
  </si>
  <si>
    <t>Cust 3298</t>
  </si>
  <si>
    <t>REG100045</t>
  </si>
  <si>
    <t>Cust 5533</t>
  </si>
  <si>
    <t>REG100046</t>
  </si>
  <si>
    <t>Cust 6362</t>
  </si>
  <si>
    <t>REG100047</t>
  </si>
  <si>
    <t>Cust 4826</t>
  </si>
  <si>
    <t>REG100048</t>
  </si>
  <si>
    <t>Cust 2171</t>
  </si>
  <si>
    <t>REG100049</t>
  </si>
  <si>
    <t>Cust 4005</t>
  </si>
  <si>
    <t>REG100050</t>
  </si>
  <si>
    <t>Cust 7032</t>
  </si>
  <si>
    <t>REG100051</t>
  </si>
  <si>
    <t>Cust 7167</t>
  </si>
  <si>
    <t>REG100052</t>
  </si>
  <si>
    <t>Cust 5702</t>
  </si>
  <si>
    <t>REG100053</t>
  </si>
  <si>
    <t>Cust 4944</t>
  </si>
  <si>
    <t>REG100054</t>
  </si>
  <si>
    <t>Cust 8149</t>
  </si>
  <si>
    <t>REG100055</t>
  </si>
  <si>
    <t>Cust 3638</t>
  </si>
  <si>
    <t>REG100056</t>
  </si>
  <si>
    <t>Cust 9973</t>
  </si>
  <si>
    <t>REG100057</t>
  </si>
  <si>
    <t>Cust 4214</t>
  </si>
  <si>
    <t>REG100058</t>
  </si>
  <si>
    <t>Cust 2647</t>
  </si>
  <si>
    <t>REG100059</t>
  </si>
  <si>
    <t>Cust 3552</t>
  </si>
  <si>
    <t>REG100060</t>
  </si>
  <si>
    <t>Cust 3354</t>
  </si>
  <si>
    <t>REG100061</t>
  </si>
  <si>
    <t>Cust 3903</t>
  </si>
  <si>
    <t>REG100062</t>
  </si>
  <si>
    <t>Cust 5358</t>
  </si>
  <si>
    <t>REG100063</t>
  </si>
  <si>
    <t>Cust 8144</t>
  </si>
  <si>
    <t>REG100064</t>
  </si>
  <si>
    <t>Cust 6747</t>
  </si>
  <si>
    <t>REG100065</t>
  </si>
  <si>
    <t>Cust 8330</t>
  </si>
  <si>
    <t>REG100066</t>
  </si>
  <si>
    <t>Cust 7186</t>
  </si>
  <si>
    <t>REG100067</t>
  </si>
  <si>
    <t>Cust 8287</t>
  </si>
  <si>
    <t>REG100068</t>
  </si>
  <si>
    <t>Cust 3986</t>
  </si>
  <si>
    <t>REG100069</t>
  </si>
  <si>
    <t>Cust 3213</t>
  </si>
  <si>
    <t>REG100070</t>
  </si>
  <si>
    <t>Cust 1907</t>
  </si>
  <si>
    <t>REG100071</t>
  </si>
  <si>
    <t>Cust 4639</t>
  </si>
  <si>
    <t>REG100072</t>
  </si>
  <si>
    <t>Cust 4153</t>
  </si>
  <si>
    <t>REG100073</t>
  </si>
  <si>
    <t>Cust 7096</t>
  </si>
  <si>
    <t>REG100074</t>
  </si>
  <si>
    <t>Cust 3806</t>
  </si>
  <si>
    <t>REG100075</t>
  </si>
  <si>
    <t>Cust 9345</t>
  </si>
  <si>
    <t>REG100076</t>
  </si>
  <si>
    <t>Cust 4456</t>
  </si>
  <si>
    <t>REG100077</t>
  </si>
  <si>
    <t>Cust 1089</t>
  </si>
  <si>
    <t>REG100078</t>
  </si>
  <si>
    <t>Cust 7230</t>
  </si>
  <si>
    <t>REG100079</t>
  </si>
  <si>
    <t>Cust 6597</t>
  </si>
  <si>
    <t>REG100080</t>
  </si>
  <si>
    <t>Cust 4108</t>
  </si>
  <si>
    <t>REG100081</t>
  </si>
  <si>
    <t>Cust 2883</t>
  </si>
  <si>
    <t>REG100082</t>
  </si>
  <si>
    <t>Cust 5018</t>
  </si>
  <si>
    <t>REG100083</t>
  </si>
  <si>
    <t>Cust 1231</t>
  </si>
  <si>
    <t>REG100084</t>
  </si>
  <si>
    <t>Cust 2209</t>
  </si>
  <si>
    <t>REG100085</t>
  </si>
  <si>
    <t>Cust 6684</t>
  </si>
  <si>
    <t>REG100086</t>
  </si>
  <si>
    <t>Cust 5289</t>
  </si>
  <si>
    <t>REG100087</t>
  </si>
  <si>
    <t>Cust 9159</t>
  </si>
  <si>
    <t>REG100088</t>
  </si>
  <si>
    <t>Cust 4844</t>
  </si>
  <si>
    <t>REG100089</t>
  </si>
  <si>
    <t>Cust 3273</t>
  </si>
  <si>
    <t>REG100090</t>
  </si>
  <si>
    <t>Cust 8160</t>
  </si>
  <si>
    <t>REG100091</t>
  </si>
  <si>
    <t>Cust 4439</t>
  </si>
  <si>
    <t>REG100092</t>
  </si>
  <si>
    <t>Cust 1127</t>
  </si>
  <si>
    <t>REG100093</t>
  </si>
  <si>
    <t>Cust 4696</t>
  </si>
  <si>
    <t>REG100094</t>
  </si>
  <si>
    <t>Cust 3014</t>
  </si>
  <si>
    <t>REG100095</t>
  </si>
  <si>
    <t>Cust 2539</t>
  </si>
  <si>
    <t>REG100096</t>
  </si>
  <si>
    <t>Cust 3916</t>
  </si>
  <si>
    <t>REG100097</t>
  </si>
  <si>
    <t>Cust 6329</t>
  </si>
  <si>
    <t>REG100098</t>
  </si>
  <si>
    <t>Cust 4384</t>
  </si>
  <si>
    <t>REG100099</t>
  </si>
  <si>
    <t>Cust 7756</t>
  </si>
  <si>
    <t>REG100100</t>
  </si>
  <si>
    <t>Cust 6086</t>
  </si>
  <si>
    <t>REG100101</t>
  </si>
  <si>
    <t>Cust 3845</t>
  </si>
  <si>
    <t>REG100102</t>
  </si>
  <si>
    <t>Cust 9996</t>
  </si>
  <si>
    <t>REG100103</t>
  </si>
  <si>
    <t>Cust 1711</t>
  </si>
  <si>
    <t>REG100104</t>
  </si>
  <si>
    <t>Cust 4522</t>
  </si>
  <si>
    <t>REG100105</t>
  </si>
  <si>
    <t>Cust 4233</t>
  </si>
  <si>
    <t>REG100106</t>
  </si>
  <si>
    <t>Cust 4121</t>
  </si>
  <si>
    <t>REG100107</t>
  </si>
  <si>
    <t>Cust 9092</t>
  </si>
  <si>
    <t>REG100108</t>
  </si>
  <si>
    <t>Cust 9090</t>
  </si>
  <si>
    <t>REG100109</t>
  </si>
  <si>
    <t>Cust 1983</t>
  </si>
  <si>
    <t>REG100110</t>
  </si>
  <si>
    <t>Cust 8834</t>
  </si>
  <si>
    <t>REG100111</t>
  </si>
  <si>
    <t>Cust 9780</t>
  </si>
  <si>
    <t>REG100112</t>
  </si>
  <si>
    <t>Cust 1293</t>
  </si>
  <si>
    <t>REG100113</t>
  </si>
  <si>
    <t>Cust 3173</t>
  </si>
  <si>
    <t>REG100114</t>
  </si>
  <si>
    <t>Cust 8641</t>
  </si>
  <si>
    <t>REG100115</t>
  </si>
  <si>
    <t>Cust 7656</t>
  </si>
  <si>
    <t>REG100116</t>
  </si>
  <si>
    <t>Cust 5523</t>
  </si>
  <si>
    <t>REG100117</t>
  </si>
  <si>
    <t>Cust 2015</t>
  </si>
  <si>
    <t>REG100118</t>
  </si>
  <si>
    <t>Cust 6895</t>
  </si>
  <si>
    <t>REG100119</t>
  </si>
  <si>
    <t>Cust 1797</t>
  </si>
  <si>
    <t>REG100120</t>
  </si>
  <si>
    <t>Cust 9969</t>
  </si>
  <si>
    <t>REG100121</t>
  </si>
  <si>
    <t>Cust 1815</t>
  </si>
  <si>
    <t>REG100122</t>
  </si>
  <si>
    <t>Cust 7773</t>
  </si>
  <si>
    <t>REG100123</t>
  </si>
  <si>
    <t>Cust 1499</t>
  </si>
  <si>
    <t>REG100124</t>
  </si>
  <si>
    <t>Cust 3809</t>
  </si>
  <si>
    <t>REG100125</t>
  </si>
  <si>
    <t>Cust 7824</t>
  </si>
  <si>
    <t>REG100126</t>
  </si>
  <si>
    <t>Cust 7258</t>
  </si>
  <si>
    <t>REG100127</t>
  </si>
  <si>
    <t>Cust 1151</t>
  </si>
  <si>
    <t>REG100128</t>
  </si>
  <si>
    <t>Cust 6486</t>
  </si>
  <si>
    <t>REG100129</t>
  </si>
  <si>
    <t>Cust 4034</t>
  </si>
  <si>
    <t>REG100130</t>
  </si>
  <si>
    <t>Cust 9794</t>
  </si>
  <si>
    <t>REG100131</t>
  </si>
  <si>
    <t>Cust 2414</t>
  </si>
  <si>
    <t>REG100132</t>
  </si>
  <si>
    <t>Cust 9024</t>
  </si>
  <si>
    <t>REG100133</t>
  </si>
  <si>
    <t>Cust 2663</t>
  </si>
  <si>
    <t>REG100134</t>
  </si>
  <si>
    <t>Cust 2293</t>
  </si>
  <si>
    <t>REG100135</t>
  </si>
  <si>
    <t>Cust 8963</t>
  </si>
  <si>
    <t>REG100136</t>
  </si>
  <si>
    <t>Cust 9238</t>
  </si>
  <si>
    <t>REG100137</t>
  </si>
  <si>
    <t>Cust 1390</t>
  </si>
  <si>
    <t>REG100138</t>
  </si>
  <si>
    <t>Cust 8548</t>
  </si>
  <si>
    <t>REG100139</t>
  </si>
  <si>
    <t>Cust 2919</t>
  </si>
  <si>
    <t>REG100140</t>
  </si>
  <si>
    <t>Cust 5847</t>
  </si>
  <si>
    <t>REG100141</t>
  </si>
  <si>
    <t>Cust 5711</t>
  </si>
  <si>
    <t>REG100142</t>
  </si>
  <si>
    <t>Cust 5461</t>
  </si>
  <si>
    <t>REG100143</t>
  </si>
  <si>
    <t>Cust 8905</t>
  </si>
  <si>
    <t>REG100144</t>
  </si>
  <si>
    <t>Cust 9618</t>
  </si>
  <si>
    <t>REG100145</t>
  </si>
  <si>
    <t>Cust 5203</t>
  </si>
  <si>
    <t>REG100146</t>
  </si>
  <si>
    <t>Cust 1732</t>
  </si>
  <si>
    <t>REG100147</t>
  </si>
  <si>
    <t>Cust 4734</t>
  </si>
  <si>
    <t>REG100148</t>
  </si>
  <si>
    <t>Cust 5895</t>
  </si>
  <si>
    <t>REG100149</t>
  </si>
  <si>
    <t>Cust 9691</t>
  </si>
  <si>
    <t>REG100150</t>
  </si>
  <si>
    <t>Cust 5406</t>
  </si>
  <si>
    <t>REG100151</t>
  </si>
  <si>
    <t>Cust 5750</t>
  </si>
  <si>
    <t>REG100152</t>
  </si>
  <si>
    <t>REG100153</t>
  </si>
  <si>
    <t>Cust 8280</t>
  </si>
  <si>
    <t>REG100154</t>
  </si>
  <si>
    <t>Cust 4358</t>
  </si>
  <si>
    <t>REG100155</t>
  </si>
  <si>
    <t>Cust 3588</t>
  </si>
  <si>
    <t>REG100156</t>
  </si>
  <si>
    <t>Cust 4539</t>
  </si>
  <si>
    <t>REG100157</t>
  </si>
  <si>
    <t>Cust 7067</t>
  </si>
  <si>
    <t>REG100158</t>
  </si>
  <si>
    <t>Cust 7720</t>
  </si>
  <si>
    <t>REG100159</t>
  </si>
  <si>
    <t>Cust 5668</t>
  </si>
  <si>
    <t>REG100160</t>
  </si>
  <si>
    <t>Cust 8367</t>
  </si>
  <si>
    <t>REG100161</t>
  </si>
  <si>
    <t>Cust 4438</t>
  </si>
  <si>
    <t>REG100162</t>
  </si>
  <si>
    <t>Cust 3481</t>
  </si>
  <si>
    <t>REG100163</t>
  </si>
  <si>
    <t>Cust 1489</t>
  </si>
  <si>
    <t>REG100164</t>
  </si>
  <si>
    <t>Cust 6649</t>
  </si>
  <si>
    <t>REG100165</t>
  </si>
  <si>
    <t>Cust 6114</t>
  </si>
  <si>
    <t>REG100166</t>
  </si>
  <si>
    <t>Cust 9589</t>
  </si>
  <si>
    <t>REG100167</t>
  </si>
  <si>
    <t>Cust 8184</t>
  </si>
  <si>
    <t>REG100168</t>
  </si>
  <si>
    <t>Cust 2490</t>
  </si>
  <si>
    <t>REG100169</t>
  </si>
  <si>
    <t>Cust 1647</t>
  </si>
  <si>
    <t>REG100170</t>
  </si>
  <si>
    <t>Cust 2017</t>
  </si>
  <si>
    <t>REG100171</t>
  </si>
  <si>
    <t>Cust 3446</t>
  </si>
  <si>
    <t>REG100172</t>
  </si>
  <si>
    <t>Cust 4877</t>
  </si>
  <si>
    <t>REG100173</t>
  </si>
  <si>
    <t>Cust 9112</t>
  </si>
  <si>
    <t>REG100174</t>
  </si>
  <si>
    <t>Cust 8172</t>
  </si>
  <si>
    <t>REG100175</t>
  </si>
  <si>
    <t>Cust 4597</t>
  </si>
  <si>
    <t>REG100176</t>
  </si>
  <si>
    <t>Cust 3690</t>
  </si>
  <si>
    <t>REG100177</t>
  </si>
  <si>
    <t>Cust 2893</t>
  </si>
  <si>
    <t>REG100178</t>
  </si>
  <si>
    <t>Cust 5602</t>
  </si>
  <si>
    <t>REG100179</t>
  </si>
  <si>
    <t>Cust 5616</t>
  </si>
  <si>
    <t>REG100180</t>
  </si>
  <si>
    <t>Cust 1312</t>
  </si>
  <si>
    <t>REG100181</t>
  </si>
  <si>
    <t>Cust 6315</t>
  </si>
  <si>
    <t>REG100182</t>
  </si>
  <si>
    <t>Cust 1224</t>
  </si>
  <si>
    <t>REG100183</t>
  </si>
  <si>
    <t>Cust 7182</t>
  </si>
  <si>
    <t>REG100184</t>
  </si>
  <si>
    <t>Cust 7901</t>
  </si>
  <si>
    <t>REG100185</t>
  </si>
  <si>
    <t>Cust 1736</t>
  </si>
  <si>
    <t>REG100186</t>
  </si>
  <si>
    <t>Cust 7795</t>
  </si>
  <si>
    <t>REG100187</t>
  </si>
  <si>
    <t>Cust 2471</t>
  </si>
  <si>
    <t>REG100188</t>
  </si>
  <si>
    <t>Cust 3068</t>
  </si>
  <si>
    <t>REG100189</t>
  </si>
  <si>
    <t>Cust 3848</t>
  </si>
  <si>
    <t>REG100190</t>
  </si>
  <si>
    <t>Cust 7777</t>
  </si>
  <si>
    <t>REG100191</t>
  </si>
  <si>
    <t>Cust 6613</t>
  </si>
  <si>
    <t>REG100192</t>
  </si>
  <si>
    <t>Cust 2326</t>
  </si>
  <si>
    <t>REG100193</t>
  </si>
  <si>
    <t>Cust 8304</t>
  </si>
  <si>
    <t>REG100194</t>
  </si>
  <si>
    <t>Cust 3630</t>
  </si>
  <si>
    <t>REG100195</t>
  </si>
  <si>
    <t>Cust 8617</t>
  </si>
  <si>
    <t>REG100196</t>
  </si>
  <si>
    <t>Cust 3530</t>
  </si>
  <si>
    <t>REG100197</t>
  </si>
  <si>
    <t>Cust 3884</t>
  </si>
  <si>
    <t>REG100198</t>
  </si>
  <si>
    <t>Cust 5739</t>
  </si>
  <si>
    <t>REG100199</t>
  </si>
  <si>
    <t>Cust 9707</t>
  </si>
  <si>
    <t>REG100200</t>
  </si>
  <si>
    <t>Cust 9288</t>
  </si>
  <si>
    <t>REG100201</t>
  </si>
  <si>
    <t>Cust 1216</t>
  </si>
  <si>
    <t>REG100202</t>
  </si>
  <si>
    <t>Cust 2489</t>
  </si>
  <si>
    <t>REG100203</t>
  </si>
  <si>
    <t>Cust 7171</t>
  </si>
  <si>
    <t>REG100204</t>
  </si>
  <si>
    <t>Cust 9125</t>
  </si>
  <si>
    <t>REG100205</t>
  </si>
  <si>
    <t>Cust 9697</t>
  </si>
  <si>
    <t>REG100206</t>
  </si>
  <si>
    <t>Cust 8171</t>
  </si>
  <si>
    <t>REG100207</t>
  </si>
  <si>
    <t>Cust 2004</t>
  </si>
  <si>
    <t>REG100208</t>
  </si>
  <si>
    <t>REG100209</t>
  </si>
  <si>
    <t>Cust 9837</t>
  </si>
  <si>
    <t>REG100210</t>
  </si>
  <si>
    <t>Cust 2082</t>
  </si>
  <si>
    <t>REG100211</t>
  </si>
  <si>
    <t>Cust 3001</t>
  </si>
  <si>
    <t>REG100212</t>
  </si>
  <si>
    <t>Cust 6161</t>
  </si>
  <si>
    <t>REG100213</t>
  </si>
  <si>
    <t>Cust 5220</t>
  </si>
  <si>
    <t>REG100214</t>
  </si>
  <si>
    <t>Cust 3386</t>
  </si>
  <si>
    <t>REG100215</t>
  </si>
  <si>
    <t>Cust 1591</t>
  </si>
  <si>
    <t>REG100216</t>
  </si>
  <si>
    <t>Cust 3434</t>
  </si>
  <si>
    <t>REG100217</t>
  </si>
  <si>
    <t>Cust 1501</t>
  </si>
  <si>
    <t>REG100218</t>
  </si>
  <si>
    <t>Cust 9683</t>
  </si>
  <si>
    <t>REG100219</t>
  </si>
  <si>
    <t>Cust 5416</t>
  </si>
  <si>
    <t>REG100220</t>
  </si>
  <si>
    <t>Cust 2153</t>
  </si>
  <si>
    <t>REG100221</t>
  </si>
  <si>
    <t>Cust 3572</t>
  </si>
  <si>
    <t>REG100222</t>
  </si>
  <si>
    <t>Cust 6372</t>
  </si>
  <si>
    <t>REG100223</t>
  </si>
  <si>
    <t>Cust 6109</t>
  </si>
  <si>
    <t>REG100224</t>
  </si>
  <si>
    <t>Cust 5234</t>
  </si>
  <si>
    <t>REG100225</t>
  </si>
  <si>
    <t>Cust 5530</t>
  </si>
  <si>
    <t>REG100226</t>
  </si>
  <si>
    <t>Cust 5398</t>
  </si>
  <si>
    <t>REG100227</t>
  </si>
  <si>
    <t>Cust 3247</t>
  </si>
  <si>
    <t>REG100228</t>
  </si>
  <si>
    <t>Cust 7137</t>
  </si>
  <si>
    <t>REG100229</t>
  </si>
  <si>
    <t>Cust 4627</t>
  </si>
  <si>
    <t>REG100230</t>
  </si>
  <si>
    <t>Cust 4878</t>
  </si>
  <si>
    <t>REG100231</t>
  </si>
  <si>
    <t>Cust 2779</t>
  </si>
  <si>
    <t>REG100232</t>
  </si>
  <si>
    <t>Cust 8606</t>
  </si>
  <si>
    <t>REG100233</t>
  </si>
  <si>
    <t>Cust 9599</t>
  </si>
  <si>
    <t>REG100234</t>
  </si>
  <si>
    <t>Cust 4500</t>
  </si>
  <si>
    <t>REG100235</t>
  </si>
  <si>
    <t>Cust 4173</t>
  </si>
  <si>
    <t>REG100236</t>
  </si>
  <si>
    <t>Cust 7607</t>
  </si>
  <si>
    <t>REG100237</t>
  </si>
  <si>
    <t>Cust 4768</t>
  </si>
  <si>
    <t>REG100238</t>
  </si>
  <si>
    <t>Cust 5746</t>
  </si>
  <si>
    <t>REG100239</t>
  </si>
  <si>
    <t>Cust 3002</t>
  </si>
  <si>
    <t>REG100240</t>
  </si>
  <si>
    <t>Cust 3237</t>
  </si>
  <si>
    <t>REG100241</t>
  </si>
  <si>
    <t>Cust 6437</t>
  </si>
  <si>
    <t>REG100242</t>
  </si>
  <si>
    <t>Cust 8806</t>
  </si>
  <si>
    <t>REG100243</t>
  </si>
  <si>
    <t>Cust 8678</t>
  </si>
  <si>
    <t>REG100244</t>
  </si>
  <si>
    <t>Cust 9649</t>
  </si>
  <si>
    <t>REG100245</t>
  </si>
  <si>
    <t>Cust 1960</t>
  </si>
  <si>
    <t>REG100246</t>
  </si>
  <si>
    <t>Cust 3910</t>
  </si>
  <si>
    <t>REG100247</t>
  </si>
  <si>
    <t>REG100248</t>
  </si>
  <si>
    <t>REG100249</t>
  </si>
  <si>
    <t>Cust 2279</t>
  </si>
  <si>
    <t>REG100250</t>
  </si>
  <si>
    <t>Cust 4689</t>
  </si>
  <si>
    <t>REG100251</t>
  </si>
  <si>
    <t>Cust 7381</t>
  </si>
  <si>
    <t>REG100252</t>
  </si>
  <si>
    <t>Cust 2724</t>
  </si>
  <si>
    <t>REG100253</t>
  </si>
  <si>
    <t>Cust 2823</t>
  </si>
  <si>
    <t>REG100254</t>
  </si>
  <si>
    <t>Cust 9402</t>
  </si>
  <si>
    <t>REG100255</t>
  </si>
  <si>
    <t>Cust 6561</t>
  </si>
  <si>
    <t>REG100256</t>
  </si>
  <si>
    <t>Cust 3116</t>
  </si>
  <si>
    <t>REG100257</t>
  </si>
  <si>
    <t>Cust 1015</t>
  </si>
  <si>
    <t>REG100258</t>
  </si>
  <si>
    <t>Cust 1207</t>
  </si>
  <si>
    <t>REG100259</t>
  </si>
  <si>
    <t>Cust 2501</t>
  </si>
  <si>
    <t>REG100260</t>
  </si>
  <si>
    <t>Cust 2330</t>
  </si>
  <si>
    <t>REG100261</t>
  </si>
  <si>
    <t>Cust 7436</t>
  </si>
  <si>
    <t>REG100262</t>
  </si>
  <si>
    <t>Cust 2762</t>
  </si>
  <si>
    <t>REG100263</t>
  </si>
  <si>
    <t>Cust 3599</t>
  </si>
  <si>
    <t>REG100264</t>
  </si>
  <si>
    <t>Cust 4127</t>
  </si>
  <si>
    <t>REG100265</t>
  </si>
  <si>
    <t>Cust 6855</t>
  </si>
  <si>
    <t>REG100266</t>
  </si>
  <si>
    <t>Cust 7017</t>
  </si>
  <si>
    <t>REG100267</t>
  </si>
  <si>
    <t>Cust 6957</t>
  </si>
  <si>
    <t>REG100268</t>
  </si>
  <si>
    <t>Cust 9822</t>
  </si>
  <si>
    <t>REG100269</t>
  </si>
  <si>
    <t>Cust 7425</t>
  </si>
  <si>
    <t>REG100270</t>
  </si>
  <si>
    <t>REG100271</t>
  </si>
  <si>
    <t>Cust 8897</t>
  </si>
  <si>
    <t>REG100272</t>
  </si>
  <si>
    <t>Cust 9816</t>
  </si>
  <si>
    <t>REG100273</t>
  </si>
  <si>
    <t>Cust 8227</t>
  </si>
  <si>
    <t>REG100274</t>
  </si>
  <si>
    <t>Cust 4990</t>
  </si>
  <si>
    <t>REG100275</t>
  </si>
  <si>
    <t>Cust 5834</t>
  </si>
  <si>
    <t>REG100276</t>
  </si>
  <si>
    <t>Cust 7330</t>
  </si>
  <si>
    <t>REG100277</t>
  </si>
  <si>
    <t>Cust 5273</t>
  </si>
  <si>
    <t>REG100278</t>
  </si>
  <si>
    <t>Cust 6138</t>
  </si>
  <si>
    <t>REG100279</t>
  </si>
  <si>
    <t>Cust 2084</t>
  </si>
  <si>
    <t>REG100280</t>
  </si>
  <si>
    <t>Cust 2799</t>
  </si>
  <si>
    <t>REG100281</t>
  </si>
  <si>
    <t>REG100282</t>
  </si>
  <si>
    <t>Cust 3051</t>
  </si>
  <si>
    <t>REG100283</t>
  </si>
  <si>
    <t>Cust 5456</t>
  </si>
  <si>
    <t>REG100284</t>
  </si>
  <si>
    <t>Cust 6029</t>
  </si>
  <si>
    <t>REG100285</t>
  </si>
  <si>
    <t>Cust 4002</t>
  </si>
  <si>
    <t>REG100286</t>
  </si>
  <si>
    <t>Cust 5830</t>
  </si>
  <si>
    <t>REG100287</t>
  </si>
  <si>
    <t>Cust 8088</t>
  </si>
  <si>
    <t>REG100288</t>
  </si>
  <si>
    <t>Cust 6455</t>
  </si>
  <si>
    <t>REG100289</t>
  </si>
  <si>
    <t>Cust 4117</t>
  </si>
  <si>
    <t>REG100290</t>
  </si>
  <si>
    <t>Cust 1385</t>
  </si>
  <si>
    <t>REG100291</t>
  </si>
  <si>
    <t>Cust 5185</t>
  </si>
  <si>
    <t>REG100292</t>
  </si>
  <si>
    <t>Cust 8704</t>
  </si>
  <si>
    <t>REG100293</t>
  </si>
  <si>
    <t>Cust 3528</t>
  </si>
  <si>
    <t>REG100294</t>
  </si>
  <si>
    <t>Cust 3907</t>
  </si>
  <si>
    <t>REG100295</t>
  </si>
  <si>
    <t>Cust 9005</t>
  </si>
  <si>
    <t>REG100296</t>
  </si>
  <si>
    <t>Cust 3635</t>
  </si>
  <si>
    <t>REG100297</t>
  </si>
  <si>
    <t>Cust 2122</t>
  </si>
  <si>
    <t>REG100298</t>
  </si>
  <si>
    <t>Cust 4467</t>
  </si>
  <si>
    <t>REG100299</t>
  </si>
  <si>
    <t>Cust 6146</t>
  </si>
  <si>
    <t>REG100300</t>
  </si>
  <si>
    <t>Cust 4001</t>
  </si>
  <si>
    <t>REG100301</t>
  </si>
  <si>
    <t>Cust 3365</t>
  </si>
  <si>
    <t>REG100302</t>
  </si>
  <si>
    <t>Cust 2194</t>
  </si>
  <si>
    <t>REG100303</t>
  </si>
  <si>
    <t>Cust 7942</t>
  </si>
  <si>
    <t>REG100304</t>
  </si>
  <si>
    <t>Cust 8451</t>
  </si>
  <si>
    <t>REG100305</t>
  </si>
  <si>
    <t>Cust 4238</t>
  </si>
  <si>
    <t>REG100306</t>
  </si>
  <si>
    <t>Cust 2529</t>
  </si>
  <si>
    <t>REG100307</t>
  </si>
  <si>
    <t>Cust 7057</t>
  </si>
  <si>
    <t>REG100308</t>
  </si>
  <si>
    <t>Cust 9069</t>
  </si>
  <si>
    <t>REG100309</t>
  </si>
  <si>
    <t>Cust 5858</t>
  </si>
  <si>
    <t>REG100310</t>
  </si>
  <si>
    <t>Cust 2712</t>
  </si>
  <si>
    <t>REG100311</t>
  </si>
  <si>
    <t>Cust 7052</t>
  </si>
  <si>
    <t>REG100312</t>
  </si>
  <si>
    <t>Cust 9397</t>
  </si>
  <si>
    <t>REG100313</t>
  </si>
  <si>
    <t>Cust 4614</t>
  </si>
  <si>
    <t>REG100314</t>
  </si>
  <si>
    <t>Cust 1573</t>
  </si>
  <si>
    <t>REG100315</t>
  </si>
  <si>
    <t>Cust 5660</t>
  </si>
  <si>
    <t>REG100316</t>
  </si>
  <si>
    <t>Cust 3952</t>
  </si>
  <si>
    <t>REG100317</t>
  </si>
  <si>
    <t>Cust 5407</t>
  </si>
  <si>
    <t>REG100318</t>
  </si>
  <si>
    <t>Cust 9595</t>
  </si>
  <si>
    <t>REG100319</t>
  </si>
  <si>
    <t>Cust 3245</t>
  </si>
  <si>
    <t>REG100320</t>
  </si>
  <si>
    <t>Cust 7180</t>
  </si>
  <si>
    <t>REG100321</t>
  </si>
  <si>
    <t>Cust 5973</t>
  </si>
  <si>
    <t>REG100322</t>
  </si>
  <si>
    <t>Cust 4310</t>
  </si>
  <si>
    <t>REG100323</t>
  </si>
  <si>
    <t>Cust 6243</t>
  </si>
  <si>
    <t>REG100324</t>
  </si>
  <si>
    <t>Cust 2448</t>
  </si>
  <si>
    <t>REG100325</t>
  </si>
  <si>
    <t>Cust 9386</t>
  </si>
  <si>
    <t>REG100326</t>
  </si>
  <si>
    <t>Cust 2227</t>
  </si>
  <si>
    <t>REG100327</t>
  </si>
  <si>
    <t>Cust 3803</t>
  </si>
  <si>
    <t>REG100328</t>
  </si>
  <si>
    <t>Cust 1236</t>
  </si>
  <si>
    <t>REG100329</t>
  </si>
  <si>
    <t>Cust 2669</t>
  </si>
  <si>
    <t>REG100330</t>
  </si>
  <si>
    <t>Cust 3746</t>
  </si>
  <si>
    <t>REG100331</t>
  </si>
  <si>
    <t>Cust 9694</t>
  </si>
  <si>
    <t>REG100332</t>
  </si>
  <si>
    <t>Cust 4993</t>
  </si>
  <si>
    <t>REG100333</t>
  </si>
  <si>
    <t>Cust 1271</t>
  </si>
  <si>
    <t>REG100334</t>
  </si>
  <si>
    <t>Cust 3042</t>
  </si>
  <si>
    <t>REG100335</t>
  </si>
  <si>
    <t>Cust 6424</t>
  </si>
  <si>
    <t>REG100336</t>
  </si>
  <si>
    <t>Cust 1422</t>
  </si>
  <si>
    <t>REG100337</t>
  </si>
  <si>
    <t>Cust 5857</t>
  </si>
  <si>
    <t>REG100338</t>
  </si>
  <si>
    <t>Cust 6953</t>
  </si>
  <si>
    <t>REG100339</t>
  </si>
  <si>
    <t>Cust 2916</t>
  </si>
  <si>
    <t>REG100340</t>
  </si>
  <si>
    <t>REG100341</t>
  </si>
  <si>
    <t>Cust 8464</t>
  </si>
  <si>
    <t>REG100342</t>
  </si>
  <si>
    <t>Cust 9700</t>
  </si>
  <si>
    <t>REG100343</t>
  </si>
  <si>
    <t>Cust 7765</t>
  </si>
  <si>
    <t>REG100344</t>
  </si>
  <si>
    <t>Cust 8246</t>
  </si>
  <si>
    <t>REG100345</t>
  </si>
  <si>
    <t>Cust 6500</t>
  </si>
  <si>
    <t>REG100346</t>
  </si>
  <si>
    <t>Cust 1150</t>
  </si>
  <si>
    <t>REG100347</t>
  </si>
  <si>
    <t>Cust 7449</t>
  </si>
  <si>
    <t>REG100348</t>
  </si>
  <si>
    <t>Cust 1957</t>
  </si>
  <si>
    <t>REG100349</t>
  </si>
  <si>
    <t>Cust 3467</t>
  </si>
  <si>
    <t>REG100350</t>
  </si>
  <si>
    <t>Cust 5212</t>
  </si>
  <si>
    <t>REG100351</t>
  </si>
  <si>
    <t>Cust 3509</t>
  </si>
  <si>
    <t>REG100352</t>
  </si>
  <si>
    <t>Cust 5316</t>
  </si>
  <si>
    <t>REG100353</t>
  </si>
  <si>
    <t>Cust 9919</t>
  </si>
  <si>
    <t>REG100354</t>
  </si>
  <si>
    <t>Cust 7129</t>
  </si>
  <si>
    <t>REG100355</t>
  </si>
  <si>
    <t>Cust 9841</t>
  </si>
  <si>
    <t>REG100356</t>
  </si>
  <si>
    <t>REG100357</t>
  </si>
  <si>
    <t>Cust 4142</t>
  </si>
  <si>
    <t>REG100358</t>
  </si>
  <si>
    <t>Cust 9584</t>
  </si>
  <si>
    <t>REG100359</t>
  </si>
  <si>
    <t>Cust 2553</t>
  </si>
  <si>
    <t>REG100360</t>
  </si>
  <si>
    <t>Cust 1347</t>
  </si>
  <si>
    <t>REG100361</t>
  </si>
  <si>
    <t>Cust 8305</t>
  </si>
  <si>
    <t>REG100362</t>
  </si>
  <si>
    <t>Cust 7015</t>
  </si>
  <si>
    <t>REG100363</t>
  </si>
  <si>
    <t>Cust 4394</t>
  </si>
  <si>
    <t>REG100364</t>
  </si>
  <si>
    <t>Cust 3323</t>
  </si>
  <si>
    <t>REG100365</t>
  </si>
  <si>
    <t>Cust 4029</t>
  </si>
  <si>
    <t>REG100366</t>
  </si>
  <si>
    <t>Cust 1400</t>
  </si>
  <si>
    <t>REG100367</t>
  </si>
  <si>
    <t>Cust 6361</t>
  </si>
  <si>
    <t>REG100368</t>
  </si>
  <si>
    <t>Cust 5267</t>
  </si>
  <si>
    <t>REG100369</t>
  </si>
  <si>
    <t>Cust 9354</t>
  </si>
  <si>
    <t>REG100370</t>
  </si>
  <si>
    <t>Cust 9443</t>
  </si>
  <si>
    <t>REG100371</t>
  </si>
  <si>
    <t>Cust 2252</t>
  </si>
  <si>
    <t>REG100372</t>
  </si>
  <si>
    <t>Cust 1031</t>
  </si>
  <si>
    <t>REG100373</t>
  </si>
  <si>
    <t>REG100374</t>
  </si>
  <si>
    <t>Cust 1672</t>
  </si>
  <si>
    <t>REG100375</t>
  </si>
  <si>
    <t>Cust 9313</t>
  </si>
  <si>
    <t>REG100376</t>
  </si>
  <si>
    <t>Cust 4405</t>
  </si>
  <si>
    <t>REG100377</t>
  </si>
  <si>
    <t>Cust 6453</t>
  </si>
  <si>
    <t>REG100378</t>
  </si>
  <si>
    <t>Cust 4772</t>
  </si>
  <si>
    <t>REG100379</t>
  </si>
  <si>
    <t>Cust 1762</t>
  </si>
  <si>
    <t>REG100380</t>
  </si>
  <si>
    <t>Cust 1865</t>
  </si>
  <si>
    <t>REG100381</t>
  </si>
  <si>
    <t>Cust 9552</t>
  </si>
  <si>
    <t>REG100382</t>
  </si>
  <si>
    <t>Cust 4273</t>
  </si>
  <si>
    <t>REG100383</t>
  </si>
  <si>
    <t>Cust 8712</t>
  </si>
  <si>
    <t>REG100384</t>
  </si>
  <si>
    <t>Cust 9048</t>
  </si>
  <si>
    <t>REG100385</t>
  </si>
  <si>
    <t>Cust 7714</t>
  </si>
  <si>
    <t>REG100386</t>
  </si>
  <si>
    <t>Cust 4770</t>
  </si>
  <si>
    <t>REG100387</t>
  </si>
  <si>
    <t>Cust 2007</t>
  </si>
  <si>
    <t>REG100388</t>
  </si>
  <si>
    <t>Cust 8909</t>
  </si>
  <si>
    <t>REG100389</t>
  </si>
  <si>
    <t>Cust 4196</t>
  </si>
  <si>
    <t>REG100390</t>
  </si>
  <si>
    <t>Cust 4189</t>
  </si>
  <si>
    <t>REG100391</t>
  </si>
  <si>
    <t>Cust 7226</t>
  </si>
  <si>
    <t>REG100392</t>
  </si>
  <si>
    <t>Cust 5015</t>
  </si>
  <si>
    <t>REG100393</t>
  </si>
  <si>
    <t>Cust 9904</t>
  </si>
  <si>
    <t>REG100394</t>
  </si>
  <si>
    <t>Cust 7687</t>
  </si>
  <si>
    <t>REG100395</t>
  </si>
  <si>
    <t>Cust 6511</t>
  </si>
  <si>
    <t>REG100396</t>
  </si>
  <si>
    <t>Cust 2412</t>
  </si>
  <si>
    <t>REG100397</t>
  </si>
  <si>
    <t>Cust 1664</t>
  </si>
  <si>
    <t>REG100398</t>
  </si>
  <si>
    <t>Cust 6033</t>
  </si>
  <si>
    <t>REG100399</t>
  </si>
  <si>
    <t>Cust 4019</t>
  </si>
  <si>
    <t>REG100400</t>
  </si>
  <si>
    <t>Cust 4515</t>
  </si>
  <si>
    <t>REG100401</t>
  </si>
  <si>
    <t>Cust 7532</t>
  </si>
  <si>
    <t>REG100402</t>
  </si>
  <si>
    <t>Cust 8756</t>
  </si>
  <si>
    <t>REG100403</t>
  </si>
  <si>
    <t>Cust 7620</t>
  </si>
  <si>
    <t>REG100404</t>
  </si>
  <si>
    <t>Cust 7368</t>
  </si>
  <si>
    <t>REG100405</t>
  </si>
  <si>
    <t>Cust 1319</t>
  </si>
  <si>
    <t>REG100406</t>
  </si>
  <si>
    <t>Cust 9597</t>
  </si>
  <si>
    <t>REG100407</t>
  </si>
  <si>
    <t>Cust 7369</t>
  </si>
  <si>
    <t>REG100408</t>
  </si>
  <si>
    <t>Cust 8592</t>
  </si>
  <si>
    <t>REG100409</t>
  </si>
  <si>
    <t>Cust 2337</t>
  </si>
  <si>
    <t>REG100410</t>
  </si>
  <si>
    <t>REG100411</t>
  </si>
  <si>
    <t>REG100412</t>
  </si>
  <si>
    <t>Cust 9097</t>
  </si>
  <si>
    <t>REG100413</t>
  </si>
  <si>
    <t>Cust 5938</t>
  </si>
  <si>
    <t>REG100414</t>
  </si>
  <si>
    <t>Cust 6928</t>
  </si>
  <si>
    <t>REG100415</t>
  </si>
  <si>
    <t>Cust 6223</t>
  </si>
  <si>
    <t>REG100416</t>
  </si>
  <si>
    <t>Cust 7614</t>
  </si>
  <si>
    <t>REG100417</t>
  </si>
  <si>
    <t>Cust 3231</t>
  </si>
  <si>
    <t>REG100418</t>
  </si>
  <si>
    <t>Cust 9123</t>
  </si>
  <si>
    <t>REG100419</t>
  </si>
  <si>
    <t>Cust 7054</t>
  </si>
  <si>
    <t>REG100420</t>
  </si>
  <si>
    <t>Cust 4240</t>
  </si>
  <si>
    <t>REG100421</t>
  </si>
  <si>
    <t>Cust 1237</t>
  </si>
  <si>
    <t>REG100422</t>
  </si>
  <si>
    <t>Cust 5513</t>
  </si>
  <si>
    <t>REG100423</t>
  </si>
  <si>
    <t>Cust 1835</t>
  </si>
  <si>
    <t>REG100424</t>
  </si>
  <si>
    <t>Cust 8492</t>
  </si>
  <si>
    <t>REG100425</t>
  </si>
  <si>
    <t>Cust 2451</t>
  </si>
  <si>
    <t>REG100426</t>
  </si>
  <si>
    <t>Cust 4509</t>
  </si>
  <si>
    <t>REG100427</t>
  </si>
  <si>
    <t>Cust 6643</t>
  </si>
  <si>
    <t>REG100428</t>
  </si>
  <si>
    <t>Cust 2559</t>
  </si>
  <si>
    <t>REG100429</t>
  </si>
  <si>
    <t>Cust 4423</t>
  </si>
  <si>
    <t>REG100430</t>
  </si>
  <si>
    <t>Cust 9139</t>
  </si>
  <si>
    <t>REG100431</t>
  </si>
  <si>
    <t>Cust 6668</t>
  </si>
  <si>
    <t>REG100432</t>
  </si>
  <si>
    <t>Cust 4315</t>
  </si>
  <si>
    <t>REG100433</t>
  </si>
  <si>
    <t>Cust 8000</t>
  </si>
  <si>
    <t>REG100434</t>
  </si>
  <si>
    <t>Cust 7585</t>
  </si>
  <si>
    <t>REG100435</t>
  </si>
  <si>
    <t>Cust 3127</t>
  </si>
  <si>
    <t>REG100436</t>
  </si>
  <si>
    <t>Cust 4130</t>
  </si>
  <si>
    <t>REG100437</t>
  </si>
  <si>
    <t>Cust 6956</t>
  </si>
  <si>
    <t>REG100438</t>
  </si>
  <si>
    <t>Cust 8155</t>
  </si>
  <si>
    <t>REG100439</t>
  </si>
  <si>
    <t>Cust 8852</t>
  </si>
  <si>
    <t>REG100440</t>
  </si>
  <si>
    <t>Cust 2850</t>
  </si>
  <si>
    <t>REG100441</t>
  </si>
  <si>
    <t>Cust 9572</t>
  </si>
  <si>
    <t>REG100442</t>
  </si>
  <si>
    <t>Cust 6253</t>
  </si>
  <si>
    <t>REG100443</t>
  </si>
  <si>
    <t>Cust 4154</t>
  </si>
  <si>
    <t>REG100444</t>
  </si>
  <si>
    <t>Cust 2137</t>
  </si>
  <si>
    <t>REG100445</t>
  </si>
  <si>
    <t>Cust 8157</t>
  </si>
  <si>
    <t>REG100446</t>
  </si>
  <si>
    <t>Cust 4861</t>
  </si>
  <si>
    <t>REG100447</t>
  </si>
  <si>
    <t>Cust 7493</t>
  </si>
  <si>
    <t>REG100448</t>
  </si>
  <si>
    <t>Cust 7073</t>
  </si>
  <si>
    <t>REG100449</t>
  </si>
  <si>
    <t>Cust 9085</t>
  </si>
  <si>
    <t>REG100450</t>
  </si>
  <si>
    <t>REG100451</t>
  </si>
  <si>
    <t>Cust 8504</t>
  </si>
  <si>
    <t>REG100452</t>
  </si>
  <si>
    <t>Cust 4164</t>
  </si>
  <si>
    <t>REG100453</t>
  </si>
  <si>
    <t>Cust 9592</t>
  </si>
  <si>
    <t>REG100454</t>
  </si>
  <si>
    <t>Cust 7450</t>
  </si>
  <si>
    <t>REG100455</t>
  </si>
  <si>
    <t>REG100456</t>
  </si>
  <si>
    <t>Cust 3305</t>
  </si>
  <si>
    <t>REG100457</t>
  </si>
  <si>
    <t>Cust 9768</t>
  </si>
  <si>
    <t>REG100458</t>
  </si>
  <si>
    <t>Cust 1179</t>
  </si>
  <si>
    <t>REG100459</t>
  </si>
  <si>
    <t>Cust 2546</t>
  </si>
  <si>
    <t>REG100460</t>
  </si>
  <si>
    <t>Cust 2672</t>
  </si>
  <si>
    <t>REG100461</t>
  </si>
  <si>
    <t>Cust 3394</t>
  </si>
  <si>
    <t>REG100462</t>
  </si>
  <si>
    <t>Cust 1649</t>
  </si>
  <si>
    <t>REG100463</t>
  </si>
  <si>
    <t>Cust 6994</t>
  </si>
  <si>
    <t>REG100464</t>
  </si>
  <si>
    <t>Cust 9879</t>
  </si>
  <si>
    <t>REG100465</t>
  </si>
  <si>
    <t>REG100466</t>
  </si>
  <si>
    <t>Cust 3712</t>
  </si>
  <si>
    <t>REG100467</t>
  </si>
  <si>
    <t>Cust 3829</t>
  </si>
  <si>
    <t>REG100468</t>
  </si>
  <si>
    <t>Cust 1623</t>
  </si>
  <si>
    <t>REG100469</t>
  </si>
  <si>
    <t>Cust 3532</t>
  </si>
  <si>
    <t>REG100470</t>
  </si>
  <si>
    <t>Cust 4712</t>
  </si>
  <si>
    <t>REG100471</t>
  </si>
  <si>
    <t>Cust 6211</t>
  </si>
  <si>
    <t>REG100472</t>
  </si>
  <si>
    <t>Cust 1222</t>
  </si>
  <si>
    <t>REG100473</t>
  </si>
  <si>
    <t>Cust 6208</t>
  </si>
  <si>
    <t>REG100474</t>
  </si>
  <si>
    <t>Cust 5942</t>
  </si>
  <si>
    <t>REG100475</t>
  </si>
  <si>
    <t>Cust 1745</t>
  </si>
  <si>
    <t>REG100476</t>
  </si>
  <si>
    <t>Cust 2679</t>
  </si>
  <si>
    <t>REG100477</t>
  </si>
  <si>
    <t>Cust 9907</t>
  </si>
  <si>
    <t>REG100478</t>
  </si>
  <si>
    <t>REG100479</t>
  </si>
  <si>
    <t>Cust 5717</t>
  </si>
  <si>
    <t>REG100480</t>
  </si>
  <si>
    <t>Cust 7995</t>
  </si>
  <si>
    <t>REG100481</t>
  </si>
  <si>
    <t>Cust 5572</t>
  </si>
  <si>
    <t>REG100482</t>
  </si>
  <si>
    <t>Cust 1721</t>
  </si>
  <si>
    <t>REG100483</t>
  </si>
  <si>
    <t>Cust 2641</t>
  </si>
  <si>
    <t>REG100484</t>
  </si>
  <si>
    <t>Cust 9769</t>
  </si>
  <si>
    <t>REG100485</t>
  </si>
  <si>
    <t>Cust 1718</t>
  </si>
  <si>
    <t>REG100486</t>
  </si>
  <si>
    <t>Cust 1210</t>
  </si>
  <si>
    <t>REG100487</t>
  </si>
  <si>
    <t>Cust 7710</t>
  </si>
  <si>
    <t>REG100488</t>
  </si>
  <si>
    <t>Cust 1428</t>
  </si>
  <si>
    <t>REG100489</t>
  </si>
  <si>
    <t>Cust 2810</t>
  </si>
  <si>
    <t>REG100490</t>
  </si>
  <si>
    <t>Cust 2234</t>
  </si>
  <si>
    <t>REG100491</t>
  </si>
  <si>
    <t>Cust 9602</t>
  </si>
  <si>
    <t>REG100492</t>
  </si>
  <si>
    <t>REG100493</t>
  </si>
  <si>
    <t>Cust 5032</t>
  </si>
  <si>
    <t>REG100494</t>
  </si>
  <si>
    <t>Cust 4297</t>
  </si>
  <si>
    <t>REG100495</t>
  </si>
  <si>
    <t>Cust 6944</t>
  </si>
  <si>
    <t>REG100496</t>
  </si>
  <si>
    <t>Cust 4136</t>
  </si>
  <si>
    <t>REG100497</t>
  </si>
  <si>
    <t>Cust 7460</t>
  </si>
  <si>
    <t>REG100498</t>
  </si>
  <si>
    <t>Cust 3960</t>
  </si>
  <si>
    <t>REG100499</t>
  </si>
  <si>
    <t>REG100500</t>
  </si>
  <si>
    <t>Cust 3160</t>
  </si>
  <si>
    <t>REG100501</t>
  </si>
  <si>
    <t>Cust 9641</t>
  </si>
  <si>
    <t>REG100502</t>
  </si>
  <si>
    <t>Cust 9742</t>
  </si>
  <si>
    <t>REG100503</t>
  </si>
  <si>
    <t>Cust 1144</t>
  </si>
  <si>
    <t>REG100504</t>
  </si>
  <si>
    <t>Cust 2936</t>
  </si>
  <si>
    <t>REG100505</t>
  </si>
  <si>
    <t>Cust 3035</t>
  </si>
  <si>
    <t>REG100506</t>
  </si>
  <si>
    <t>Cust 1717</t>
  </si>
  <si>
    <t>REG100507</t>
  </si>
  <si>
    <t>REG100508</t>
  </si>
  <si>
    <t>Cust 6435</t>
  </si>
  <si>
    <t>REG100509</t>
  </si>
  <si>
    <t>Cust 9352</t>
  </si>
  <si>
    <t>REG100510</t>
  </si>
  <si>
    <t>Cust 6746</t>
  </si>
  <si>
    <t>REG100511</t>
  </si>
  <si>
    <t>Cust 8189</t>
  </si>
  <si>
    <t>REG100512</t>
  </si>
  <si>
    <t>Cust 8470</t>
  </si>
  <si>
    <t>REG100513</t>
  </si>
  <si>
    <t>Cust 1044</t>
  </si>
  <si>
    <t>REG100514</t>
  </si>
  <si>
    <t>Cust 4010</t>
  </si>
  <si>
    <t>REG100515</t>
  </si>
  <si>
    <t>REG100516</t>
  </si>
  <si>
    <t>Cust 1904</t>
  </si>
  <si>
    <t>REG100517</t>
  </si>
  <si>
    <t>Cust 6034</t>
  </si>
  <si>
    <t>REG100518</t>
  </si>
  <si>
    <t>Cust 9239</t>
  </si>
  <si>
    <t>REG100519</t>
  </si>
  <si>
    <t>Cust 5678</t>
  </si>
  <si>
    <t>REG100520</t>
  </si>
  <si>
    <t>Cust 3696</t>
  </si>
  <si>
    <t>REG100521</t>
  </si>
  <si>
    <t>Cust 9025</t>
  </si>
  <si>
    <t>REG100522</t>
  </si>
  <si>
    <t>Cust 9924</t>
  </si>
  <si>
    <t>REG100523</t>
  </si>
  <si>
    <t>Cust 3887</t>
  </si>
  <si>
    <t>REG100524</t>
  </si>
  <si>
    <t>Cust 5302</t>
  </si>
  <si>
    <t>REG100525</t>
  </si>
  <si>
    <t>Cust 2290</t>
  </si>
  <si>
    <t>REG100526</t>
  </si>
  <si>
    <t>REG100527</t>
  </si>
  <si>
    <t>Cust 1726</t>
  </si>
  <si>
    <t>REG100528</t>
  </si>
  <si>
    <t>Cust 9874</t>
  </si>
  <si>
    <t>REG100529</t>
  </si>
  <si>
    <t>Cust 1774</t>
  </si>
  <si>
    <t>REG100530</t>
  </si>
  <si>
    <t>REG100531</t>
  </si>
  <si>
    <t>Cust 6534</t>
  </si>
  <si>
    <t>REG100532</t>
  </si>
  <si>
    <t>Cust 3170</t>
  </si>
  <si>
    <t>REG100533</t>
  </si>
  <si>
    <t>Cust 5438</t>
  </si>
  <si>
    <t>REG100534</t>
  </si>
  <si>
    <t>Cust 2670</t>
  </si>
  <si>
    <t>REG100535</t>
  </si>
  <si>
    <t>Cust 8949</t>
  </si>
  <si>
    <t>REG100536</t>
  </si>
  <si>
    <t>Cust 9748</t>
  </si>
  <si>
    <t>REG100537</t>
  </si>
  <si>
    <t>Cust 1220</t>
  </si>
  <si>
    <t>REG100538</t>
  </si>
  <si>
    <t>Cust 5645</t>
  </si>
  <si>
    <t>REG100539</t>
  </si>
  <si>
    <t>Cust 6577</t>
  </si>
  <si>
    <t>REG100540</t>
  </si>
  <si>
    <t>Cust 9506</t>
  </si>
  <si>
    <t>REG100541</t>
  </si>
  <si>
    <t>Cust 9302</t>
  </si>
  <si>
    <t>REG100542</t>
  </si>
  <si>
    <t>Cust 3030</t>
  </si>
  <si>
    <t>REG100543</t>
  </si>
  <si>
    <t>Cust 5896</t>
  </si>
  <si>
    <t>REG100544</t>
  </si>
  <si>
    <t>Cust 3763</t>
  </si>
  <si>
    <t>REG100545</t>
  </si>
  <si>
    <t>Cust 9510</t>
  </si>
  <si>
    <t>REG100546</t>
  </si>
  <si>
    <t>Cust 7637</t>
  </si>
  <si>
    <t>REG100547</t>
  </si>
  <si>
    <t>Cust 8382</t>
  </si>
  <si>
    <t>REG100548</t>
  </si>
  <si>
    <t>Cust 4015</t>
  </si>
  <si>
    <t>REG100549</t>
  </si>
  <si>
    <t>Cust 5172</t>
  </si>
  <si>
    <t>REG100550</t>
  </si>
  <si>
    <t>Cust 7584</t>
  </si>
  <si>
    <t>REG100551</t>
  </si>
  <si>
    <t>Cust 6809</t>
  </si>
  <si>
    <t>REG100552</t>
  </si>
  <si>
    <t>Cust 7540</t>
  </si>
  <si>
    <t>REG100553</t>
  </si>
  <si>
    <t>Cust 6888</t>
  </si>
  <si>
    <t>REG100554</t>
  </si>
  <si>
    <t>Cust 3304</t>
  </si>
  <si>
    <t>REG100555</t>
  </si>
  <si>
    <t>REG100556</t>
  </si>
  <si>
    <t>Cust 6596</t>
  </si>
  <si>
    <t>REG100557</t>
  </si>
  <si>
    <t>Cust 5588</t>
  </si>
  <si>
    <t>REG100558</t>
  </si>
  <si>
    <t>Cust 1518</t>
  </si>
  <si>
    <t>REG100559</t>
  </si>
  <si>
    <t>Cust 2819</t>
  </si>
  <si>
    <t>REG100560</t>
  </si>
  <si>
    <t>Cust 1947</t>
  </si>
  <si>
    <t>REG100561</t>
  </si>
  <si>
    <t>Cust 7332</t>
  </si>
  <si>
    <t>REG100562</t>
  </si>
  <si>
    <t>Cust 7314</t>
  </si>
  <si>
    <t>REG100563</t>
  </si>
  <si>
    <t>Cust 5296</t>
  </si>
  <si>
    <t>REG100564</t>
  </si>
  <si>
    <t>Cust 2964</t>
  </si>
  <si>
    <t>REG100565</t>
  </si>
  <si>
    <t>Cust 5381</t>
  </si>
  <si>
    <t>REG100566</t>
  </si>
  <si>
    <t>Cust 5436</t>
  </si>
  <si>
    <t>REG100567</t>
  </si>
  <si>
    <t>Cust 1494</t>
  </si>
  <si>
    <t>REG100568</t>
  </si>
  <si>
    <t>Cust 4380</t>
  </si>
  <si>
    <t>REG100569</t>
  </si>
  <si>
    <t>REG100570</t>
  </si>
  <si>
    <t>Cust 1375</t>
  </si>
  <si>
    <t>REG100571</t>
  </si>
  <si>
    <t>Cust 5698</t>
  </si>
  <si>
    <t>REG100572</t>
  </si>
  <si>
    <t>Cust 3259</t>
  </si>
  <si>
    <t>REG100573</t>
  </si>
  <si>
    <t>Cust 9295</t>
  </si>
  <si>
    <t>REG100574</t>
  </si>
  <si>
    <t>Cust 7035</t>
  </si>
  <si>
    <t>REG100575</t>
  </si>
  <si>
    <t>Cust 9049</t>
  </si>
  <si>
    <t>REG100576</t>
  </si>
  <si>
    <t>Cust 6173</t>
  </si>
  <si>
    <t>REG100577</t>
  </si>
  <si>
    <t>Cust 3447</t>
  </si>
  <si>
    <t>REG100578</t>
  </si>
  <si>
    <t>Cust 2218</t>
  </si>
  <si>
    <t>REG100579</t>
  </si>
  <si>
    <t>Cust 8882</t>
  </si>
  <si>
    <t>REG100580</t>
  </si>
  <si>
    <t>Cust 6709</t>
  </si>
  <si>
    <t>REG100581</t>
  </si>
  <si>
    <t>Cust 8727</t>
  </si>
  <si>
    <t>REG100582</t>
  </si>
  <si>
    <t>Cust 8359</t>
  </si>
  <si>
    <t>REG100583</t>
  </si>
  <si>
    <t>Cust 1514</t>
  </si>
  <si>
    <t>REG100584</t>
  </si>
  <si>
    <t>Cust 2774</t>
  </si>
  <si>
    <t>REG100585</t>
  </si>
  <si>
    <t>Cust 4270</t>
  </si>
  <si>
    <t>REG100586</t>
  </si>
  <si>
    <t>Cust 3123</t>
  </si>
  <si>
    <t>REG100587</t>
  </si>
  <si>
    <t>Cust 7414</t>
  </si>
  <si>
    <t>REG100588</t>
  </si>
  <si>
    <t>Cust 5051</t>
  </si>
  <si>
    <t>REG100589</t>
  </si>
  <si>
    <t>Cust 5975</t>
  </si>
  <si>
    <t>REG100590</t>
  </si>
  <si>
    <t>Cust 6948</t>
  </si>
  <si>
    <t>REG100591</t>
  </si>
  <si>
    <t>Cust 8253</t>
  </si>
  <si>
    <t>REG100592</t>
  </si>
  <si>
    <t>Cust 7238</t>
  </si>
  <si>
    <t>REG100593</t>
  </si>
  <si>
    <t>Cust 2219</t>
  </si>
  <si>
    <t>REG100594</t>
  </si>
  <si>
    <t>REG100595</t>
  </si>
  <si>
    <t>Cust 6665</t>
  </si>
  <si>
    <t>REG100596</t>
  </si>
  <si>
    <t>Cust 4252</t>
  </si>
  <si>
    <t>REG100597</t>
  </si>
  <si>
    <t>Cust 6104</t>
  </si>
  <si>
    <t>REG100598</t>
  </si>
  <si>
    <t>Cust 6407</t>
  </si>
  <si>
    <t>REG100599</t>
  </si>
  <si>
    <t>Cust 3573</t>
  </si>
  <si>
    <t>REG100600</t>
  </si>
  <si>
    <t>Cust 5280</t>
  </si>
  <si>
    <t>REG100601</t>
  </si>
  <si>
    <t>Cust 2365</t>
  </si>
  <si>
    <t>REG100602</t>
  </si>
  <si>
    <t>Cust 7130</t>
  </si>
  <si>
    <t>REG100603</t>
  </si>
  <si>
    <t>Cust 6539</t>
  </si>
  <si>
    <t>REG100604</t>
  </si>
  <si>
    <t>Cust 1656</t>
  </si>
  <si>
    <t>REG100605</t>
  </si>
  <si>
    <t>Cust 1932</t>
  </si>
  <si>
    <t>REG100606</t>
  </si>
  <si>
    <t>Cust 7367</t>
  </si>
  <si>
    <t>REG100607</t>
  </si>
  <si>
    <t>Cust 1116</t>
  </si>
  <si>
    <t>REG100608</t>
  </si>
  <si>
    <t>Cust 4464</t>
  </si>
  <si>
    <t>REG100609</t>
  </si>
  <si>
    <t>Cust 2543</t>
  </si>
  <si>
    <t>REG100610</t>
  </si>
  <si>
    <t>Cust 7948</t>
  </si>
  <si>
    <t>REG100611</t>
  </si>
  <si>
    <t>Cust 3199</t>
  </si>
  <si>
    <t>REG100612</t>
  </si>
  <si>
    <t>Cust 2800</t>
  </si>
  <si>
    <t>REG100613</t>
  </si>
  <si>
    <t>Cust 3863</t>
  </si>
  <si>
    <t>REG100614</t>
  </si>
  <si>
    <t>Cust 8391</t>
  </si>
  <si>
    <t>REG100615</t>
  </si>
  <si>
    <t>Cust 6711</t>
  </si>
  <si>
    <t>REG100616</t>
  </si>
  <si>
    <t>Cust 8653</t>
  </si>
  <si>
    <t>REG100617</t>
  </si>
  <si>
    <t>Cust 7937</t>
  </si>
  <si>
    <t>REG100618</t>
  </si>
  <si>
    <t>Cust 5972</t>
  </si>
  <si>
    <t>REG100619</t>
  </si>
  <si>
    <t>Cust 8597</t>
  </si>
  <si>
    <t>REG100620</t>
  </si>
  <si>
    <t>Cust 5382</t>
  </si>
  <si>
    <t>REG100621</t>
  </si>
  <si>
    <t>Cust 4323</t>
  </si>
  <si>
    <t>REG100622</t>
  </si>
  <si>
    <t>Cust 1767</t>
  </si>
  <si>
    <t>REG100623</t>
  </si>
  <si>
    <t>REG100624</t>
  </si>
  <si>
    <t>Cust 5912</t>
  </si>
  <si>
    <t>REG100625</t>
  </si>
  <si>
    <t>Cust 4446</t>
  </si>
  <si>
    <t>REG100626</t>
  </si>
  <si>
    <t>Cust 6107</t>
  </si>
  <si>
    <t>REG100627</t>
  </si>
  <si>
    <t>Cust 3330</t>
  </si>
  <si>
    <t>REG100628</t>
  </si>
  <si>
    <t>Cust 3604</t>
  </si>
  <si>
    <t>REG100629</t>
  </si>
  <si>
    <t>Cust 7412</t>
  </si>
  <si>
    <t>REG100630</t>
  </si>
  <si>
    <t>Cust 5183</t>
  </si>
  <si>
    <t>REG100631</t>
  </si>
  <si>
    <t>Cust 4825</t>
  </si>
  <si>
    <t>REG100632</t>
  </si>
  <si>
    <t>Cust 2123</t>
  </si>
  <si>
    <t>REG100633</t>
  </si>
  <si>
    <t>Cust 8684</t>
  </si>
  <si>
    <t>REG100634</t>
  </si>
  <si>
    <t>Cust 5964</t>
  </si>
  <si>
    <t>REG100635</t>
  </si>
  <si>
    <t>Cust 1810</t>
  </si>
  <si>
    <t>REG100636</t>
  </si>
  <si>
    <t>Cust 2685</t>
  </si>
  <si>
    <t>REG100637</t>
  </si>
  <si>
    <t>Cust 7855</t>
  </si>
  <si>
    <t>REG100638</t>
  </si>
  <si>
    <t>Cust 4101</t>
  </si>
  <si>
    <t>REG100639</t>
  </si>
  <si>
    <t>Cust 7964</t>
  </si>
  <si>
    <t>REG100640</t>
  </si>
  <si>
    <t>REG100641</t>
  </si>
  <si>
    <t>Cust 7010</t>
  </si>
  <si>
    <t>REG100642</t>
  </si>
  <si>
    <t>Cust 7917</t>
  </si>
  <si>
    <t>REG100643</t>
  </si>
  <si>
    <t>Cust 8111</t>
  </si>
  <si>
    <t>REG100644</t>
  </si>
  <si>
    <t>Cust 4715</t>
  </si>
  <si>
    <t>REG100645</t>
  </si>
  <si>
    <t>Cust 8720</t>
  </si>
  <si>
    <t>REG100646</t>
  </si>
  <si>
    <t>Cust 8216</t>
  </si>
  <si>
    <t>REG100647</t>
  </si>
  <si>
    <t>Cust 6946</t>
  </si>
  <si>
    <t>REG100648</t>
  </si>
  <si>
    <t>Cust 9888</t>
  </si>
  <si>
    <t>REG100649</t>
  </si>
  <si>
    <t>Cust 4009</t>
  </si>
  <si>
    <t>REG100650</t>
  </si>
  <si>
    <t>Cust 9489</t>
  </si>
  <si>
    <t>REG100651</t>
  </si>
  <si>
    <t>Cust 2446</t>
  </si>
  <si>
    <t>REG100652</t>
  </si>
  <si>
    <t>Cust 4150</t>
  </si>
  <si>
    <t>REG100653</t>
  </si>
  <si>
    <t>Cust 3569</t>
  </si>
  <si>
    <t>REG100654</t>
  </si>
  <si>
    <t>Cust 1023</t>
  </si>
  <si>
    <t>REG100655</t>
  </si>
  <si>
    <t>Cust 3748</t>
  </si>
  <si>
    <t>REG100656</t>
  </si>
  <si>
    <t>Cust 4798</t>
  </si>
  <si>
    <t>REG100657</t>
  </si>
  <si>
    <t>REG100658</t>
  </si>
  <si>
    <t>Cust 3864</t>
  </si>
  <si>
    <t>REG100659</t>
  </si>
  <si>
    <t>Cust 3459</t>
  </si>
  <si>
    <t>REG100660</t>
  </si>
  <si>
    <t>Cust 1187</t>
  </si>
  <si>
    <t>REG100661</t>
  </si>
  <si>
    <t>Cust 7509</t>
  </si>
  <si>
    <t>REG100662</t>
  </si>
  <si>
    <t>Cust 1869</t>
  </si>
  <si>
    <t>REG100663</t>
  </si>
  <si>
    <t>Cust 5943</t>
  </si>
  <si>
    <t>REG100664</t>
  </si>
  <si>
    <t>Cust 8364</t>
  </si>
  <si>
    <t>REG100665</t>
  </si>
  <si>
    <t>Cust 8401</t>
  </si>
  <si>
    <t>REG100666</t>
  </si>
  <si>
    <t>Cust 4047</t>
  </si>
  <si>
    <t>REG100667</t>
  </si>
  <si>
    <t>Cust 6019</t>
  </si>
  <si>
    <t>REG100668</t>
  </si>
  <si>
    <t>Cust 8750</t>
  </si>
  <si>
    <t>REG100669</t>
  </si>
  <si>
    <t>Cust 5782</t>
  </si>
  <si>
    <t>REG100670</t>
  </si>
  <si>
    <t>Cust 4090</t>
  </si>
  <si>
    <t>REG100671</t>
  </si>
  <si>
    <t>Cust 4730</t>
  </si>
  <si>
    <t>REG100672</t>
  </si>
  <si>
    <t>Cust 5648</t>
  </si>
  <si>
    <t>REG100673</t>
  </si>
  <si>
    <t>Cust 8933</t>
  </si>
  <si>
    <t>REG100674</t>
  </si>
  <si>
    <t>Cust 9280</t>
  </si>
  <si>
    <t>REG100675</t>
  </si>
  <si>
    <t>Cust 8696</t>
  </si>
  <si>
    <t>REG100676</t>
  </si>
  <si>
    <t>Cust 1944</t>
  </si>
  <si>
    <t>REG100677</t>
  </si>
  <si>
    <t>Cust 7780</t>
  </si>
  <si>
    <t>REG100678</t>
  </si>
  <si>
    <t>Cust 8055</t>
  </si>
  <si>
    <t>REG100679</t>
  </si>
  <si>
    <t>Cust 4707</t>
  </si>
  <si>
    <t>REG100680</t>
  </si>
  <si>
    <t>REG100681</t>
  </si>
  <si>
    <t>Cust 7806</t>
  </si>
  <si>
    <t>REG100682</t>
  </si>
  <si>
    <t>Cust 7033</t>
  </si>
  <si>
    <t>REG100683</t>
  </si>
  <si>
    <t>Cust 8372</t>
  </si>
  <si>
    <t>REG100684</t>
  </si>
  <si>
    <t>Cust 1935</t>
  </si>
  <si>
    <t>REG100685</t>
  </si>
  <si>
    <t>Cust 8417</t>
  </si>
  <si>
    <t>REG100686</t>
  </si>
  <si>
    <t>Cust 3370</t>
  </si>
  <si>
    <t>REG100687</t>
  </si>
  <si>
    <t>Cust 3664</t>
  </si>
  <si>
    <t>REG100688</t>
  </si>
  <si>
    <t>Cust 5760</t>
  </si>
  <si>
    <t>REG100689</t>
  </si>
  <si>
    <t>Cust 3037</t>
  </si>
  <si>
    <t>REG100690</t>
  </si>
  <si>
    <t>Cust 9828</t>
  </si>
  <si>
    <t>REG100691</t>
  </si>
  <si>
    <t>Cust 5297</t>
  </si>
  <si>
    <t>REG100692</t>
  </si>
  <si>
    <t>Cust 6785</t>
  </si>
  <si>
    <t>REG100693</t>
  </si>
  <si>
    <t>Cust 1344</t>
  </si>
  <si>
    <t>REG100694</t>
  </si>
  <si>
    <t>Cust 4023</t>
  </si>
  <si>
    <t>REG100695</t>
  </si>
  <si>
    <t>Cust 3721</t>
  </si>
  <si>
    <t>REG100696</t>
  </si>
  <si>
    <t>Cust 1486</t>
  </si>
  <si>
    <t>REG100697</t>
  </si>
  <si>
    <t>Cust 3958</t>
  </si>
  <si>
    <t>REG100698</t>
  </si>
  <si>
    <t>Cust 6914</t>
  </si>
  <si>
    <t>REG100699</t>
  </si>
  <si>
    <t>Cust 3287</t>
  </si>
  <si>
    <t>REG100700</t>
  </si>
  <si>
    <t>Cust 9072</t>
  </si>
  <si>
    <t>REG100701</t>
  </si>
  <si>
    <t>Cust 3098</t>
  </si>
  <si>
    <t>REG100702</t>
  </si>
  <si>
    <t>REG100703</t>
  </si>
  <si>
    <t>Cust 4307</t>
  </si>
  <si>
    <t>REG100704</t>
  </si>
  <si>
    <t>Cust 4618</t>
  </si>
  <si>
    <t>REG100705</t>
  </si>
  <si>
    <t>Cust 5322</t>
  </si>
  <si>
    <t>REG100706</t>
  </si>
  <si>
    <t>Cust 9873</t>
  </si>
  <si>
    <t>REG100707</t>
  </si>
  <si>
    <t>Cust 3652</t>
  </si>
  <si>
    <t>REG100708</t>
  </si>
  <si>
    <t>Cust 5569</t>
  </si>
  <si>
    <t>REG100709</t>
  </si>
  <si>
    <t>Cust 5369</t>
  </si>
  <si>
    <t>REG100710</t>
  </si>
  <si>
    <t>Cust 9044</t>
  </si>
  <si>
    <t>REG100711</t>
  </si>
  <si>
    <t>Cust 1887</t>
  </si>
  <si>
    <t>REG100712</t>
  </si>
  <si>
    <t>Cust 1559</t>
  </si>
  <si>
    <t>REG100713</t>
  </si>
  <si>
    <t>Cust 1722</t>
  </si>
  <si>
    <t>REG100714</t>
  </si>
  <si>
    <t>Cust 9029</t>
  </si>
  <si>
    <t>REG100715</t>
  </si>
  <si>
    <t>Cust 9555</t>
  </si>
  <si>
    <t>REG100716</t>
  </si>
  <si>
    <t>Cust 2484</t>
  </si>
  <si>
    <t>REG100717</t>
  </si>
  <si>
    <t>Cust 4763</t>
  </si>
  <si>
    <t>REG100718</t>
  </si>
  <si>
    <t>Cust 5016</t>
  </si>
  <si>
    <t>REG100719</t>
  </si>
  <si>
    <t>Cust 5528</t>
  </si>
  <si>
    <t>REG100720</t>
  </si>
  <si>
    <t>Cust 6922</t>
  </si>
  <si>
    <t>REG100721</t>
  </si>
  <si>
    <t>Cust 4807</t>
  </si>
  <si>
    <t>REG100722</t>
  </si>
  <si>
    <t>Cust 3368</t>
  </si>
  <si>
    <t>REG100723</t>
  </si>
  <si>
    <t>Cust 2871</t>
  </si>
  <si>
    <t>REG100724</t>
  </si>
  <si>
    <t>Cust 6229</t>
  </si>
  <si>
    <t>REG100725</t>
  </si>
  <si>
    <t>Cust 4560</t>
  </si>
  <si>
    <t>REG100726</t>
  </si>
  <si>
    <t>Cust 7099</t>
  </si>
  <si>
    <t>REG100727</t>
  </si>
  <si>
    <t>Cust 6333</t>
  </si>
  <si>
    <t>REG100728</t>
  </si>
  <si>
    <t>Cust 4678</t>
  </si>
  <si>
    <t>REG100729</t>
  </si>
  <si>
    <t>Cust 6657</t>
  </si>
  <si>
    <t>REG100730</t>
  </si>
  <si>
    <t>Cust 1267</t>
  </si>
  <si>
    <t>REG100731</t>
  </si>
  <si>
    <t>Cust 8150</t>
  </si>
  <si>
    <t>REG100732</t>
  </si>
  <si>
    <t>Cust 3668</t>
  </si>
  <si>
    <t>REG100733</t>
  </si>
  <si>
    <t>Cust 4803</t>
  </si>
  <si>
    <t>REG100734</t>
  </si>
  <si>
    <t>Cust 8633</t>
  </si>
  <si>
    <t>REG100735</t>
  </si>
  <si>
    <t>Cust 7235</t>
  </si>
  <si>
    <t>REG100736</t>
  </si>
  <si>
    <t>Cust 8992</t>
  </si>
  <si>
    <t>REG100737</t>
  </si>
  <si>
    <t>Cust 1889</t>
  </si>
  <si>
    <t>REG100738</t>
  </si>
  <si>
    <t>Cust 5411</t>
  </si>
  <si>
    <t>REG100739</t>
  </si>
  <si>
    <t>Cust 3411</t>
  </si>
  <si>
    <t>REG100740</t>
  </si>
  <si>
    <t>REG100741</t>
  </si>
  <si>
    <t>Cust 4788</t>
  </si>
  <si>
    <t>REG100742</t>
  </si>
  <si>
    <t>Cust 3564</t>
  </si>
  <si>
    <t>REG100743</t>
  </si>
  <si>
    <t>Cust 8018</t>
  </si>
  <si>
    <t>REG100744</t>
  </si>
  <si>
    <t>Cust 3045</t>
  </si>
  <si>
    <t>REG100745</t>
  </si>
  <si>
    <t>Cust 7020</t>
  </si>
  <si>
    <t>REG100746</t>
  </si>
  <si>
    <t>Cust 1905</t>
  </si>
  <si>
    <t>REG100747</t>
  </si>
  <si>
    <t>Cust 4592</t>
  </si>
  <si>
    <t>REG100748</t>
  </si>
  <si>
    <t>Cust 5482</t>
  </si>
  <si>
    <t>REG100749</t>
  </si>
  <si>
    <t>REG100750</t>
  </si>
  <si>
    <t>Cust 2801</t>
  </si>
  <si>
    <t>REG100751</t>
  </si>
  <si>
    <t>Cust 8206</t>
  </si>
  <si>
    <t>REG100752</t>
  </si>
  <si>
    <t>Cust 5277</t>
  </si>
  <si>
    <t>REG100753</t>
  </si>
  <si>
    <t>Cust 8900</t>
  </si>
  <si>
    <t>REG100754</t>
  </si>
  <si>
    <t>Cust 9387</t>
  </si>
  <si>
    <t>REG100755</t>
  </si>
  <si>
    <t>Cust 7013</t>
  </si>
  <si>
    <t>REG100756</t>
  </si>
  <si>
    <t>Cust 4868</t>
  </si>
  <si>
    <t>REG100757</t>
  </si>
  <si>
    <t>Cust 5239</t>
  </si>
  <si>
    <t>REG100758</t>
  </si>
  <si>
    <t>Cust 4703</t>
  </si>
  <si>
    <t>REG100759</t>
  </si>
  <si>
    <t>Cust 7224</t>
  </si>
  <si>
    <t>REG100760</t>
  </si>
  <si>
    <t>Cust 4751</t>
  </si>
  <si>
    <t>REG100761</t>
  </si>
  <si>
    <t>Cust 1201</t>
  </si>
  <si>
    <t>REG100762</t>
  </si>
  <si>
    <t>REG100763</t>
  </si>
  <si>
    <t>Cust 6980</t>
  </si>
  <si>
    <t>REG100764</t>
  </si>
  <si>
    <t>Cust 2835</t>
  </si>
  <si>
    <t>REG100765</t>
  </si>
  <si>
    <t>Cust 4286</t>
  </si>
  <si>
    <t>REG100766</t>
  </si>
  <si>
    <t>Cust 7876</t>
  </si>
  <si>
    <t>REG100767</t>
  </si>
  <si>
    <t>Cust 5926</t>
  </si>
  <si>
    <t>REG100768</t>
  </si>
  <si>
    <t>Cust 4478</t>
  </si>
  <si>
    <t>REG100769</t>
  </si>
  <si>
    <t>Cust 4711</t>
  </si>
  <si>
    <t>REG100770</t>
  </si>
  <si>
    <t>Cust 9227</t>
  </si>
  <si>
    <t>REG100771</t>
  </si>
  <si>
    <t>Cust 2830</t>
  </si>
  <si>
    <t>REG100772</t>
  </si>
  <si>
    <t>Cust 3767</t>
  </si>
  <si>
    <t>REG100773</t>
  </si>
  <si>
    <t>Cust 1561</t>
  </si>
  <si>
    <t>REG100774</t>
  </si>
  <si>
    <t>Cust 8569</t>
  </si>
  <si>
    <t>REG100775</t>
  </si>
  <si>
    <t>Cust 1254</t>
  </si>
  <si>
    <t>REG100776</t>
  </si>
  <si>
    <t>Cust 8556</t>
  </si>
  <si>
    <t>REG100777</t>
  </si>
  <si>
    <t>Cust 7204</t>
  </si>
  <si>
    <t>REG100778</t>
  </si>
  <si>
    <t>Cust 7725</t>
  </si>
  <si>
    <t>REG100779</t>
  </si>
  <si>
    <t>Cust 9210</t>
  </si>
  <si>
    <t>REG100780</t>
  </si>
  <si>
    <t>REG100781</t>
  </si>
  <si>
    <t>Cust 4937</t>
  </si>
  <si>
    <t>REG100782</t>
  </si>
  <si>
    <t>Cust 3606</t>
  </si>
  <si>
    <t>REG100783</t>
  </si>
  <si>
    <t>Cust 5865</t>
  </si>
  <si>
    <t>REG100784</t>
  </si>
  <si>
    <t>Cust 7195</t>
  </si>
  <si>
    <t>REG100785</t>
  </si>
  <si>
    <t>Cust 6113</t>
  </si>
  <si>
    <t>REG100786</t>
  </si>
  <si>
    <t>Cust 9878</t>
  </si>
  <si>
    <t>REG100787</t>
  </si>
  <si>
    <t>Cust 3936</t>
  </si>
  <si>
    <t>REG100788</t>
  </si>
  <si>
    <t>Cust 3937</t>
  </si>
  <si>
    <t>REG100789</t>
  </si>
  <si>
    <t>Cust 5262</t>
  </si>
  <si>
    <t>REG100790</t>
  </si>
  <si>
    <t>Cust 3892</t>
  </si>
  <si>
    <t>REG100791</t>
  </si>
  <si>
    <t>Cust 8826</t>
  </si>
  <si>
    <t>REG100792</t>
  </si>
  <si>
    <t>Cust 1119</t>
  </si>
  <si>
    <t>REG100793</t>
  </si>
  <si>
    <t>REG100794</t>
  </si>
  <si>
    <t>Cust 5939</t>
  </si>
  <si>
    <t>REG100795</t>
  </si>
  <si>
    <t>Cust 1791</t>
  </si>
  <si>
    <t>REG100796</t>
  </si>
  <si>
    <t>Cust 8530</t>
  </si>
  <si>
    <t>REG100797</t>
  </si>
  <si>
    <t>REG100798</t>
  </si>
  <si>
    <t>Cust 9619</t>
  </si>
  <si>
    <t>REG100799</t>
  </si>
  <si>
    <t>Cust 1637</t>
  </si>
  <si>
    <t>REG100800</t>
  </si>
  <si>
    <t>REG100801</t>
  </si>
  <si>
    <t>Cust 5737</t>
  </si>
  <si>
    <t>REG100802</t>
  </si>
  <si>
    <t>REG100803</t>
  </si>
  <si>
    <t>Cust 2524</t>
  </si>
  <si>
    <t>REG100804</t>
  </si>
  <si>
    <t>Cust 8480</t>
  </si>
  <si>
    <t>REG100805</t>
  </si>
  <si>
    <t>Cust 2595</t>
  </si>
  <si>
    <t>REG100806</t>
  </si>
  <si>
    <t>Cust 7132</t>
  </si>
  <si>
    <t>REG100807</t>
  </si>
  <si>
    <t>REG100808</t>
  </si>
  <si>
    <t>Cust 4644</t>
  </si>
  <si>
    <t>REG100809</t>
  </si>
  <si>
    <t>Cust 5133</t>
  </si>
  <si>
    <t>REG100810</t>
  </si>
  <si>
    <t>Cust 1731</t>
  </si>
  <si>
    <t>REG100811</t>
  </si>
  <si>
    <t>Cust 3739</t>
  </si>
  <si>
    <t>REG100812</t>
  </si>
  <si>
    <t>Cust 3853</t>
  </si>
  <si>
    <t>REG100813</t>
  </si>
  <si>
    <t>Cust 6830</t>
  </si>
  <si>
    <t>REG100814</t>
  </si>
  <si>
    <t>Cust 5351</t>
  </si>
  <si>
    <t>REG100815</t>
  </si>
  <si>
    <t>Cust 5845</t>
  </si>
  <si>
    <t>REG100816</t>
  </si>
  <si>
    <t>Cust 7004</t>
  </si>
  <si>
    <t>REG100817</t>
  </si>
  <si>
    <t>Cust 4095</t>
  </si>
  <si>
    <t>REG100818</t>
  </si>
  <si>
    <t>Cust 7833</t>
  </si>
  <si>
    <t>REG100819</t>
  </si>
  <si>
    <t>Cust 5826</t>
  </si>
  <si>
    <t>REG100820</t>
  </si>
  <si>
    <t>Cust 9410</t>
  </si>
  <si>
    <t>REG100821</t>
  </si>
  <si>
    <t>REG100822</t>
  </si>
  <si>
    <t>REG100823</t>
  </si>
  <si>
    <t>Cust 2590</t>
  </si>
  <si>
    <t>REG100824</t>
  </si>
  <si>
    <t>Cust 4599</t>
  </si>
  <si>
    <t>REG100825</t>
  </si>
  <si>
    <t>Cust 7166</t>
  </si>
  <si>
    <t>REG100826</t>
  </si>
  <si>
    <t>Cust 6177</t>
  </si>
  <si>
    <t>REG100827</t>
  </si>
  <si>
    <t>REG100828</t>
  </si>
  <si>
    <t>Cust 2899</t>
  </si>
  <si>
    <t>REG100829</t>
  </si>
  <si>
    <t>REG100830</t>
  </si>
  <si>
    <t>Cust 7063</t>
  </si>
  <si>
    <t>REG100831</t>
  </si>
  <si>
    <t>Cust 7487</t>
  </si>
  <si>
    <t>REG100832</t>
  </si>
  <si>
    <t>Cust 5481</t>
  </si>
  <si>
    <t>REG100833</t>
  </si>
  <si>
    <t>Cust 3150</t>
  </si>
  <si>
    <t>REG100834</t>
  </si>
  <si>
    <t>Cust 5099</t>
  </si>
  <si>
    <t>REG100835</t>
  </si>
  <si>
    <t>Cust 6615</t>
  </si>
  <si>
    <t>REG100836</t>
  </si>
  <si>
    <t>Cust 6924</t>
  </si>
  <si>
    <t>REG100837</t>
  </si>
  <si>
    <t>Cust 2411</t>
  </si>
  <si>
    <t>REG100838</t>
  </si>
  <si>
    <t>Cust 9648</t>
  </si>
  <si>
    <t>REG100839</t>
  </si>
  <si>
    <t>Cust 1974</t>
  </si>
  <si>
    <t>REG100840</t>
  </si>
  <si>
    <t>Cust 9452</t>
  </si>
  <si>
    <t>REG100841</t>
  </si>
  <si>
    <t>Cust 4558</t>
  </si>
  <si>
    <t>REG100842</t>
  </si>
  <si>
    <t>Cust 8811</t>
  </si>
  <si>
    <t>REG100843</t>
  </si>
  <si>
    <t>Cust 7788</t>
  </si>
  <si>
    <t>REG100844</t>
  </si>
  <si>
    <t>Cust 2788</t>
  </si>
  <si>
    <t>REG100845</t>
  </si>
  <si>
    <t>Cust 6621</t>
  </si>
  <si>
    <t>REG100846</t>
  </si>
  <si>
    <t>Cust 8575</t>
  </si>
  <si>
    <t>REG100847</t>
  </si>
  <si>
    <t>Cust 8799</t>
  </si>
  <si>
    <t>REG100848</t>
  </si>
  <si>
    <t>Cust 1699</t>
  </si>
  <si>
    <t>REG100849</t>
  </si>
  <si>
    <t>Cust 5606</t>
  </si>
  <si>
    <t>REG100850</t>
  </si>
  <si>
    <t>Cust 4933</t>
  </si>
  <si>
    <t>REG100851</t>
  </si>
  <si>
    <t>Cust 9517</t>
  </si>
  <si>
    <t>REG100852</t>
  </si>
  <si>
    <t>Cust 6740</t>
  </si>
  <si>
    <t>REG100853</t>
  </si>
  <si>
    <t>Cust 1301</t>
  </si>
  <si>
    <t>REG100854</t>
  </si>
  <si>
    <t>REG100855</t>
  </si>
  <si>
    <t>Cust 6864</t>
  </si>
  <si>
    <t>REG100856</t>
  </si>
  <si>
    <t>Cust 5207</t>
  </si>
  <si>
    <t>REG100857</t>
  </si>
  <si>
    <t>Cust 6525</t>
  </si>
  <si>
    <t>REG100858</t>
  </si>
  <si>
    <t>Cust 8298</t>
  </si>
  <si>
    <t>REG100859</t>
  </si>
  <si>
    <t>Cust 8204</t>
  </si>
  <si>
    <t>REG100860</t>
  </si>
  <si>
    <t>Cust 4035</t>
  </si>
  <si>
    <t>REG100861</t>
  </si>
  <si>
    <t>Cust 1654</t>
  </si>
  <si>
    <t>REG100862</t>
  </si>
  <si>
    <t>Cust 1823</t>
  </si>
  <si>
    <t>REG100863</t>
  </si>
  <si>
    <t>Cust 1423</t>
  </si>
  <si>
    <t>REG100864</t>
  </si>
  <si>
    <t>Cust 7282</t>
  </si>
  <si>
    <t>REG100865</t>
  </si>
  <si>
    <t>Cust 8437</t>
  </si>
  <si>
    <t>REG100866</t>
  </si>
  <si>
    <t>Cust 9508</t>
  </si>
  <si>
    <t>REG100867</t>
  </si>
  <si>
    <t>Cust 1186</t>
  </si>
  <si>
    <t>REG100868</t>
  </si>
  <si>
    <t>Cust 4362</t>
  </si>
  <si>
    <t>REG100869</t>
  </si>
  <si>
    <t>Cust 9388</t>
  </si>
  <si>
    <t>REG100870</t>
  </si>
  <si>
    <t>REG100871</t>
  </si>
  <si>
    <t>Cust 6428</t>
  </si>
  <si>
    <t>REG100872</t>
  </si>
  <si>
    <t>Cust 2570</t>
  </si>
  <si>
    <t>REG100873</t>
  </si>
  <si>
    <t>Cust 5132</t>
  </si>
  <si>
    <t>REG100874</t>
  </si>
  <si>
    <t>Cust 4929</t>
  </si>
  <si>
    <t>REG100875</t>
  </si>
  <si>
    <t>Cust 4018</t>
  </si>
  <si>
    <t>REG100876</t>
  </si>
  <si>
    <t>Cust 8069</t>
  </si>
  <si>
    <t>REG100877</t>
  </si>
  <si>
    <t>Cust 6741</t>
  </si>
  <si>
    <t>REG100878</t>
  </si>
  <si>
    <t>Cust 8050</t>
  </si>
  <si>
    <t>REG100879</t>
  </si>
  <si>
    <t>Cust 2434</t>
  </si>
  <si>
    <t>REG100880</t>
  </si>
  <si>
    <t>Cust 9089</t>
  </si>
  <si>
    <t>REG100881</t>
  </si>
  <si>
    <t>Cust 1091</t>
  </si>
  <si>
    <t>REG100882</t>
  </si>
  <si>
    <t>REG100883</t>
  </si>
  <si>
    <t>Cust 6326</t>
  </si>
  <si>
    <t>REG100884</t>
  </si>
  <si>
    <t>Cust 1327</t>
  </si>
  <si>
    <t>REG100885</t>
  </si>
  <si>
    <t>Cust 8602</t>
  </si>
  <si>
    <t>REG100886</t>
  </si>
  <si>
    <t>Cust 9131</t>
  </si>
  <si>
    <t>REG100887</t>
  </si>
  <si>
    <t>Cust 6716</t>
  </si>
  <si>
    <t>REG100888</t>
  </si>
  <si>
    <t>Cust 2071</t>
  </si>
  <si>
    <t>REG100889</t>
  </si>
  <si>
    <t>Cust 4472</t>
  </si>
  <si>
    <t>REG100890</t>
  </si>
  <si>
    <t>Cust 3899</t>
  </si>
  <si>
    <t>REG100891</t>
  </si>
  <si>
    <t>Cust 9467</t>
  </si>
  <si>
    <t>REG100892</t>
  </si>
  <si>
    <t>Cust 3824</t>
  </si>
  <si>
    <t>REG100893</t>
  </si>
  <si>
    <t>Cust 3511</t>
  </si>
  <si>
    <t>REG100894</t>
  </si>
  <si>
    <t>Cust 3356</t>
  </si>
  <si>
    <t>REG100895</t>
  </si>
  <si>
    <t>Cust 2840</t>
  </si>
  <si>
    <t>REG100896</t>
  </si>
  <si>
    <t>Cust 3811</t>
  </si>
  <si>
    <t>REG100897</t>
  </si>
  <si>
    <t>Cust 9960</t>
  </si>
  <si>
    <t>REG100898</t>
  </si>
  <si>
    <t>Cust 5906</t>
  </si>
  <si>
    <t>REG100899</t>
  </si>
  <si>
    <t>Cust 6579</t>
  </si>
  <si>
    <t>REG100900</t>
  </si>
  <si>
    <t>Cust 1756</t>
  </si>
  <si>
    <t>REG100901</t>
  </si>
  <si>
    <t>REG100902</t>
  </si>
  <si>
    <t>Cust 8999</t>
  </si>
  <si>
    <t>REG100903</t>
  </si>
  <si>
    <t>Cust 4277</t>
  </si>
  <si>
    <t>REG100904</t>
  </si>
  <si>
    <t>Cust 8751</t>
  </si>
  <si>
    <t>REG100905</t>
  </si>
  <si>
    <t>Cust 2482</t>
  </si>
  <si>
    <t>REG100906</t>
  </si>
  <si>
    <t>Cust 4078</t>
  </si>
  <si>
    <t>REG100907</t>
  </si>
  <si>
    <t>Cust 9091</t>
  </si>
  <si>
    <t>REG100908</t>
  </si>
  <si>
    <t>Cust 8706</t>
  </si>
  <si>
    <t>REG100909</t>
  </si>
  <si>
    <t>Cust 5042</t>
  </si>
  <si>
    <t>REG100910</t>
  </si>
  <si>
    <t>Cust 3319</t>
  </si>
  <si>
    <t>REG100911</t>
  </si>
  <si>
    <t>Cust 4139</t>
  </si>
  <si>
    <t>REG100912</t>
  </si>
  <si>
    <t>Cust 6993</t>
  </si>
  <si>
    <t>REG100913</t>
  </si>
  <si>
    <t>Cust 8397</t>
  </si>
  <si>
    <t>REG100914</t>
  </si>
  <si>
    <t>Cust 3082</t>
  </si>
  <si>
    <t>REG100915</t>
  </si>
  <si>
    <t>Cust 1156</t>
  </si>
  <si>
    <t>REG100916</t>
  </si>
  <si>
    <t>Cust 4720</t>
  </si>
  <si>
    <t>REG100917</t>
  </si>
  <si>
    <t>Cust 7034</t>
  </si>
  <si>
    <t>REG100918</t>
  </si>
  <si>
    <t>Cust 7218</t>
  </si>
  <si>
    <t>REG100919</t>
  </si>
  <si>
    <t>Cust 2651</t>
  </si>
  <si>
    <t>REG100920</t>
  </si>
  <si>
    <t>Cust 1252</t>
  </si>
  <si>
    <t>REG100921</t>
  </si>
  <si>
    <t>Cust 6679</t>
  </si>
  <si>
    <t>REG100922</t>
  </si>
  <si>
    <t>REG100923</t>
  </si>
  <si>
    <t>Cust 9361</t>
  </si>
  <si>
    <t>REG100924</t>
  </si>
  <si>
    <t>REG100925</t>
  </si>
  <si>
    <t>Cust 3049</t>
  </si>
  <si>
    <t>REG100926</t>
  </si>
  <si>
    <t>Cust 6415</t>
  </si>
  <si>
    <t>REG100927</t>
  </si>
  <si>
    <t>Cust 9856</t>
  </si>
  <si>
    <t>REG100928</t>
  </si>
  <si>
    <t>Cust 3106</t>
  </si>
  <si>
    <t>REG100929</t>
  </si>
  <si>
    <t>REG100930</t>
  </si>
  <si>
    <t>Cust 7107</t>
  </si>
  <si>
    <t>REG100931</t>
  </si>
  <si>
    <t>Cust 7542</t>
  </si>
  <si>
    <t>REG100932</t>
  </si>
  <si>
    <t>Cust 6330</t>
  </si>
  <si>
    <t>REG100933</t>
  </si>
  <si>
    <t>Cust 1469</t>
  </si>
  <si>
    <t>REG100934</t>
  </si>
  <si>
    <t>Cust 3698</t>
  </si>
  <si>
    <t>REG100935</t>
  </si>
  <si>
    <t>Cust 9833</t>
  </si>
  <si>
    <t>REG100936</t>
  </si>
  <si>
    <t>Cust 1074</t>
  </si>
  <si>
    <t>REG100937</t>
  </si>
  <si>
    <t>Cust 7891</t>
  </si>
  <si>
    <t>REG100938</t>
  </si>
  <si>
    <t>Cust 3373</t>
  </si>
  <si>
    <t>REG100939</t>
  </si>
  <si>
    <t>Cust 9045</t>
  </si>
  <si>
    <t>REG100940</t>
  </si>
  <si>
    <t>Cust 9197</t>
  </si>
  <si>
    <t>REG100941</t>
  </si>
  <si>
    <t>Cust 6920</t>
  </si>
  <si>
    <t>REG100942</t>
  </si>
  <si>
    <t>Cust 9652</t>
  </si>
  <si>
    <t>REG100943</t>
  </si>
  <si>
    <t>REG100944</t>
  </si>
  <si>
    <t>Cust 6267</t>
  </si>
  <si>
    <t>REG100945</t>
  </si>
  <si>
    <t>Cust 7753</t>
  </si>
  <si>
    <t>REG100946</t>
  </si>
  <si>
    <t>Cust 2789</t>
  </si>
  <si>
    <t>REG100947</t>
  </si>
  <si>
    <t>Cust 3527</t>
  </si>
  <si>
    <t>REG100948</t>
  </si>
  <si>
    <t>Cust 9538</t>
  </si>
  <si>
    <t>REG100949</t>
  </si>
  <si>
    <t>REG100950</t>
  </si>
  <si>
    <t>Cust 8929</t>
  </si>
  <si>
    <t>REG100951</t>
  </si>
  <si>
    <t>Cust 8931</t>
  </si>
  <si>
    <t>REG100952</t>
  </si>
  <si>
    <t>Cust 1424</t>
  </si>
  <si>
    <t>REG100953</t>
  </si>
  <si>
    <t>Cust 6723</t>
  </si>
  <si>
    <t>REG100954</t>
  </si>
  <si>
    <t>Cust 8850</t>
  </si>
  <si>
    <t>REG100955</t>
  </si>
  <si>
    <t>REG100956</t>
  </si>
  <si>
    <t>Cust 1211</t>
  </si>
  <si>
    <t>REG100957</t>
  </si>
  <si>
    <t>Cust 9384</t>
  </si>
  <si>
    <t>REG100958</t>
  </si>
  <si>
    <t>REG100959</t>
  </si>
  <si>
    <t>Cust 9338</t>
  </si>
  <si>
    <t>REG100960</t>
  </si>
  <si>
    <t>Cust 1822</t>
  </si>
  <si>
    <t>REG100961</t>
  </si>
  <si>
    <t>Cust 8260</t>
  </si>
  <si>
    <t>REG100962</t>
  </si>
  <si>
    <t>Cust 7088</t>
  </si>
  <si>
    <t>REG100963</t>
  </si>
  <si>
    <t>Cust 4969</t>
  </si>
  <si>
    <t>REG100964</t>
  </si>
  <si>
    <t>Cust 9046</t>
  </si>
  <si>
    <t>REG100965</t>
  </si>
  <si>
    <t>Cust 6859</t>
  </si>
  <si>
    <t>REG100966</t>
  </si>
  <si>
    <t>REG100967</t>
  </si>
  <si>
    <t>Cust 1146</t>
  </si>
  <si>
    <t>REG100968</t>
  </si>
  <si>
    <t>Cust 6447</t>
  </si>
  <si>
    <t>REG100969</t>
  </si>
  <si>
    <t>Cust 8519</t>
  </si>
  <si>
    <t>REG100970</t>
  </si>
  <si>
    <t>Cust 3422</t>
  </si>
  <si>
    <t>REG100971</t>
  </si>
  <si>
    <t>Cust 9638</t>
  </si>
  <si>
    <t>REG100972</t>
  </si>
  <si>
    <t>Cust 6438</t>
  </si>
  <si>
    <t>REG100973</t>
  </si>
  <si>
    <t>Cust 1724</t>
  </si>
  <si>
    <t>REG100974</t>
  </si>
  <si>
    <t>Cust 7808</t>
  </si>
  <si>
    <t>REG100975</t>
  </si>
  <si>
    <t>REG100976</t>
  </si>
  <si>
    <t>Cust 7348</t>
  </si>
  <si>
    <t>REG100977</t>
  </si>
  <si>
    <t>Cust 5666</t>
  </si>
  <si>
    <t>REG100978</t>
  </si>
  <si>
    <t>REG100979</t>
  </si>
  <si>
    <t>Cust 6675</t>
  </si>
  <si>
    <t>REG100980</t>
  </si>
  <si>
    <t>Cust 5462</t>
  </si>
  <si>
    <t>REG100981</t>
  </si>
  <si>
    <t>Cust 3471</t>
  </si>
  <si>
    <t>REG100982</t>
  </si>
  <si>
    <t>Cust 1603</t>
  </si>
  <si>
    <t>REG100983</t>
  </si>
  <si>
    <t>Cust 7758</t>
  </si>
  <si>
    <t>REG100984</t>
  </si>
  <si>
    <t>Cust 3396</t>
  </si>
  <si>
    <t>REG100985</t>
  </si>
  <si>
    <t>Cust 4797</t>
  </si>
  <si>
    <t>REG100986</t>
  </si>
  <si>
    <t>Cust 1113</t>
  </si>
  <si>
    <t>REG100987</t>
  </si>
  <si>
    <t>Cust 8843</t>
  </si>
  <si>
    <t>REG100988</t>
  </si>
  <si>
    <t>Cust 7505</t>
  </si>
  <si>
    <t>REG100989</t>
  </si>
  <si>
    <t>Cust 9490</t>
  </si>
  <si>
    <t>REG100990</t>
  </si>
  <si>
    <t>Cust 8631</t>
  </si>
  <si>
    <t>REG100991</t>
  </si>
  <si>
    <t>Cust 6986</t>
  </si>
  <si>
    <t>REG100992</t>
  </si>
  <si>
    <t>Cust 9636</t>
  </si>
  <si>
    <t>REG100993</t>
  </si>
  <si>
    <t>REG100994</t>
  </si>
  <si>
    <t>Cust 1943</t>
  </si>
  <si>
    <t>REG100995</t>
  </si>
  <si>
    <t>Cust 6368</t>
  </si>
  <si>
    <t>REG100996</t>
  </si>
  <si>
    <t>Cust 9724</t>
  </si>
  <si>
    <t>REG100997</t>
  </si>
  <si>
    <t>REG100998</t>
  </si>
  <si>
    <t>Cust 8723</t>
  </si>
  <si>
    <t>REG100999</t>
  </si>
  <si>
    <t>Cust 1901</t>
  </si>
  <si>
    <t>REG101000</t>
  </si>
  <si>
    <t>Cust 9682</t>
  </si>
  <si>
    <t>REG101001</t>
  </si>
  <si>
    <t>Cust 5413</t>
  </si>
  <si>
    <t>REG101002</t>
  </si>
  <si>
    <t>Cust 9590</t>
  </si>
  <si>
    <t>REG101003</t>
  </si>
  <si>
    <t>Cust 9379</t>
  </si>
  <si>
    <t>REG101004</t>
  </si>
  <si>
    <t>Cust 4722</t>
  </si>
  <si>
    <t>REG101005</t>
  </si>
  <si>
    <t>Cust 7152</t>
  </si>
  <si>
    <t>REG101006</t>
  </si>
  <si>
    <t>Cust 7255</t>
  </si>
  <si>
    <t>REG101007</t>
  </si>
  <si>
    <t>Cust 9593</t>
  </si>
  <si>
    <t>REG101008</t>
  </si>
  <si>
    <t>REG101009</t>
  </si>
  <si>
    <t>Cust 2561</t>
  </si>
  <si>
    <t>REG101010</t>
  </si>
  <si>
    <t>Cust 8387</t>
  </si>
  <si>
    <t>REG101011</t>
  </si>
  <si>
    <t>Cust 2860</t>
  </si>
  <si>
    <t>REG101012</t>
  </si>
  <si>
    <t>Cust 7794</t>
  </si>
  <si>
    <t>REG101013</t>
  </si>
  <si>
    <t>Cust 6075</t>
  </si>
  <si>
    <t>REG101014</t>
  </si>
  <si>
    <t>Cust 4337</t>
  </si>
  <si>
    <t>REG101015</t>
  </si>
  <si>
    <t>Cust 2540</t>
  </si>
  <si>
    <t>REG101016</t>
  </si>
  <si>
    <t>Cust 3944</t>
  </si>
  <si>
    <t>REG101017</t>
  </si>
  <si>
    <t>Cust 8876</t>
  </si>
  <si>
    <t>REG101018</t>
  </si>
  <si>
    <t>Cust 3286</t>
  </si>
  <si>
    <t>REG101019</t>
  </si>
  <si>
    <t>REG101020</t>
  </si>
  <si>
    <t>REG101021</t>
  </si>
  <si>
    <t>Cust 2608</t>
  </si>
  <si>
    <t>REG101022</t>
  </si>
  <si>
    <t>Cust 3290</t>
  </si>
  <si>
    <t>REG101023</t>
  </si>
  <si>
    <t>REG101024</t>
  </si>
  <si>
    <t>Cust 6979</t>
  </si>
  <si>
    <t>REG101025</t>
  </si>
  <si>
    <t>Cust 9375</t>
  </si>
  <si>
    <t>REG101026</t>
  </si>
  <si>
    <t>Cust 9311</t>
  </si>
  <si>
    <t>REG101027</t>
  </si>
  <si>
    <t>Cust 4097</t>
  </si>
  <si>
    <t>REG101028</t>
  </si>
  <si>
    <t>Cust 6145</t>
  </si>
  <si>
    <t>REG101029</t>
  </si>
  <si>
    <t>Cust 8124</t>
  </si>
  <si>
    <t>REG101030</t>
  </si>
  <si>
    <t>Cust 7826</t>
  </si>
  <si>
    <t>REG101031</t>
  </si>
  <si>
    <t>Cust 3472</t>
  </si>
  <si>
    <t>REG101032</t>
  </si>
  <si>
    <t>Cust 4266</t>
  </si>
  <si>
    <t>REG101033</t>
  </si>
  <si>
    <t>REG101034</t>
  </si>
  <si>
    <t>Cust 7354</t>
  </si>
  <si>
    <t>REG101035</t>
  </si>
  <si>
    <t>Cust 6672</t>
  </si>
  <si>
    <t>REG101036</t>
  </si>
  <si>
    <t>Cust 5589</t>
  </si>
  <si>
    <t>REG101037</t>
  </si>
  <si>
    <t>Cust 2770</t>
  </si>
  <si>
    <t>REG101038</t>
  </si>
  <si>
    <t>Cust 7206</t>
  </si>
  <si>
    <t>REG101039</t>
  </si>
  <si>
    <t>Cust 1580</t>
  </si>
  <si>
    <t>REG101040</t>
  </si>
  <si>
    <t>Cust 5313</t>
  </si>
  <si>
    <t>REG101041</t>
  </si>
  <si>
    <t>Cust 4209</t>
  </si>
  <si>
    <t>REG101042</t>
  </si>
  <si>
    <t>Cust 5861</t>
  </si>
  <si>
    <t>REG101043</t>
  </si>
  <si>
    <t>Cust 6348</t>
  </si>
  <si>
    <t>REG101044</t>
  </si>
  <si>
    <t>Cust 5210</t>
  </si>
  <si>
    <t>REG101045</t>
  </si>
  <si>
    <t>Cust 7325</t>
  </si>
  <si>
    <t>REG101046</t>
  </si>
  <si>
    <t>Cust 5818</t>
  </si>
  <si>
    <t>REG101047</t>
  </si>
  <si>
    <t>REG101048</t>
  </si>
  <si>
    <t>REG101049</t>
  </si>
  <si>
    <t>Cust 4496</t>
  </si>
  <si>
    <t>REG101050</t>
  </si>
  <si>
    <t>Cust 3875</t>
  </si>
  <si>
    <t>REG101051</t>
  </si>
  <si>
    <t>Cust 7232</t>
  </si>
  <si>
    <t>REG101052</t>
  </si>
  <si>
    <t>REG101053</t>
  </si>
  <si>
    <t>Cust 4537</t>
  </si>
  <si>
    <t>REG101054</t>
  </si>
  <si>
    <t>Cust 6274</t>
  </si>
  <si>
    <t>REG101055</t>
  </si>
  <si>
    <t>Cust 3810</t>
  </si>
  <si>
    <t>REG101056</t>
  </si>
  <si>
    <t>Cust 5002</t>
  </si>
  <si>
    <t>REG101057</t>
  </si>
  <si>
    <t>Cust 8551</t>
  </si>
  <si>
    <t>REG101058</t>
  </si>
  <si>
    <t>Cust 8837</t>
  </si>
  <si>
    <t>REG101059</t>
  </si>
  <si>
    <t>Cust 6523</t>
  </si>
  <si>
    <t>REG101060</t>
  </si>
  <si>
    <t>REG101061</t>
  </si>
  <si>
    <t>Cust 3440</t>
  </si>
  <si>
    <t>REG101062</t>
  </si>
  <si>
    <t>Cust 4102</t>
  </si>
  <si>
    <t>REG101063</t>
  </si>
  <si>
    <t>Cust 4145</t>
  </si>
  <si>
    <t>REG101064</t>
  </si>
  <si>
    <t>Cust 5206</t>
  </si>
  <si>
    <t>REG101065</t>
  </si>
  <si>
    <t>Cust 4022</t>
  </si>
  <si>
    <t>REG101066</t>
  </si>
  <si>
    <t>Cust 8676</t>
  </si>
  <si>
    <t>REG101067</t>
  </si>
  <si>
    <t>Cust 7492</t>
  </si>
  <si>
    <t>REG101068</t>
  </si>
  <si>
    <t>REG101069</t>
  </si>
  <si>
    <t>Cust 7872</t>
  </si>
  <si>
    <t>REG101070</t>
  </si>
  <si>
    <t>Cust 8762</t>
  </si>
  <si>
    <t>REG101071</t>
  </si>
  <si>
    <t>Cust 4004</t>
  </si>
  <si>
    <t>REG101072</t>
  </si>
  <si>
    <t>Cust 2781</t>
  </si>
  <si>
    <t>REG101073</t>
  </si>
  <si>
    <t>Cust 9982</t>
  </si>
  <si>
    <t>REG101074</t>
  </si>
  <si>
    <t>Cust 9561</t>
  </si>
  <si>
    <t>REG101075</t>
  </si>
  <si>
    <t>Cust 3496</t>
  </si>
  <si>
    <t>REG101076</t>
  </si>
  <si>
    <t>Cust 4085</t>
  </si>
  <si>
    <t>REG101077</t>
  </si>
  <si>
    <t>Cust 1921</t>
  </si>
  <si>
    <t>REG101078</t>
  </si>
  <si>
    <t>Cust 9053</t>
  </si>
  <si>
    <t>REG101079</t>
  </si>
  <si>
    <t>REG101080</t>
  </si>
  <si>
    <t>Cust 3559</t>
  </si>
  <si>
    <t>REG101081</t>
  </si>
  <si>
    <t>REG101082</t>
  </si>
  <si>
    <t>Cust 7060</t>
  </si>
  <si>
    <t>REG101083</t>
  </si>
  <si>
    <t>Cust 8796</t>
  </si>
  <si>
    <t>REG101084</t>
  </si>
  <si>
    <t>Cust 6055</t>
  </si>
  <si>
    <t>REG101085</t>
  </si>
  <si>
    <t>Cust 5779</t>
  </si>
  <si>
    <t>REG101086</t>
  </si>
  <si>
    <t>Cust 9330</t>
  </si>
  <si>
    <t>REG101087</t>
  </si>
  <si>
    <t>Cust 5374</t>
  </si>
  <si>
    <t>REG101088</t>
  </si>
  <si>
    <t>Cust 3321</t>
  </si>
  <si>
    <t>REG101089</t>
  </si>
  <si>
    <t>Cust 6554</t>
  </si>
  <si>
    <t>REG101090</t>
  </si>
  <si>
    <t>REG101091</t>
  </si>
  <si>
    <t>Cust 9955</t>
  </si>
  <si>
    <t>REG101092</t>
  </si>
  <si>
    <t>Cust 3320</t>
  </si>
  <si>
    <t>REG101093</t>
  </si>
  <si>
    <t>Cust 8177</t>
  </si>
  <si>
    <t>REG101094</t>
  </si>
  <si>
    <t>Cust 1743</t>
  </si>
  <si>
    <t>REG101095</t>
  </si>
  <si>
    <t>Cust 3719</t>
  </si>
  <si>
    <t>REG101096</t>
  </si>
  <si>
    <t>Cust 9323</t>
  </si>
  <si>
    <t>REG101097</t>
  </si>
  <si>
    <t>Cust 1914</t>
  </si>
  <si>
    <t>REG101098</t>
  </si>
  <si>
    <t>Cust 5928</t>
  </si>
  <si>
    <t>REG101099</t>
  </si>
  <si>
    <t>REG101100</t>
  </si>
  <si>
    <t>Cust 8062</t>
  </si>
  <si>
    <t>REG101101</t>
  </si>
  <si>
    <t>REG101102</t>
  </si>
  <si>
    <t>Cust 3275</t>
  </si>
  <si>
    <t>REG101103</t>
  </si>
  <si>
    <t>Cust 3854</t>
  </si>
  <si>
    <t>REG101104</t>
  </si>
  <si>
    <t>Cust 8398</t>
  </si>
  <si>
    <t>REG101105</t>
  </si>
  <si>
    <t>Cust 4026</t>
  </si>
  <si>
    <t>REG101106</t>
  </si>
  <si>
    <t>Cust 5794</t>
  </si>
  <si>
    <t>REG101107</t>
  </si>
  <si>
    <t>Cust 2917</t>
  </si>
  <si>
    <t>REG101108</t>
  </si>
  <si>
    <t>Cust 5659</t>
  </si>
  <si>
    <t>REG101109</t>
  </si>
  <si>
    <t>Cust 1857</t>
  </si>
  <si>
    <t>REG101110</t>
  </si>
  <si>
    <t>Cust 6718</t>
  </si>
  <si>
    <t>REG101111</t>
  </si>
  <si>
    <t>Cust 8378</t>
  </si>
  <si>
    <t>REG101112</t>
  </si>
  <si>
    <t>Cust 3069</t>
  </si>
  <si>
    <t>REG101113</t>
  </si>
  <si>
    <t>Cust 7619</t>
  </si>
  <si>
    <t>REG101114</t>
  </si>
  <si>
    <t>Cust 6167</t>
  </si>
  <si>
    <t>REG101115</t>
  </si>
  <si>
    <t>Cust 2453</t>
  </si>
  <si>
    <t>REG101116</t>
  </si>
  <si>
    <t>Cust 8896</t>
  </si>
  <si>
    <t>REG101117</t>
  </si>
  <si>
    <t>Cust 8800</t>
  </si>
  <si>
    <t>REG101118</t>
  </si>
  <si>
    <t>Cust 1819</t>
  </si>
  <si>
    <t>REG101119</t>
  </si>
  <si>
    <t>Cust 1300</t>
  </si>
  <si>
    <t>REG101120</t>
  </si>
  <si>
    <t>Cust 3807</t>
  </si>
  <si>
    <t>REG101121</t>
  </si>
  <si>
    <t>Cust 6633</t>
  </si>
  <si>
    <t>REG101122</t>
  </si>
  <si>
    <t>Cust 6573</t>
  </si>
  <si>
    <t>REG101123</t>
  </si>
  <si>
    <t>Cust 8600</t>
  </si>
  <si>
    <t>REG101124</t>
  </si>
  <si>
    <t>Cust 8654</t>
  </si>
  <si>
    <t>REG101125</t>
  </si>
  <si>
    <t>Cust 3708</t>
  </si>
  <si>
    <t>REG101126</t>
  </si>
  <si>
    <t>Cust 1268</t>
  </si>
  <si>
    <t>REG101127</t>
  </si>
  <si>
    <t>Cust 5600</t>
  </si>
  <si>
    <t>REG101128</t>
  </si>
  <si>
    <t>Cust 2438</t>
  </si>
  <si>
    <t>REG101129</t>
  </si>
  <si>
    <t>Cust 4293</t>
  </si>
  <si>
    <t>REG101130</t>
  </si>
  <si>
    <t>REG101131</t>
  </si>
  <si>
    <t>Cust 2616</t>
  </si>
  <si>
    <t>REG101132</t>
  </si>
  <si>
    <t>Cust 5362</t>
  </si>
  <si>
    <t>REG101133</t>
  </si>
  <si>
    <t>Cust 1670</t>
  </si>
  <si>
    <t>REG101134</t>
  </si>
  <si>
    <t>Cust 2254</t>
  </si>
  <si>
    <t>REG101135</t>
  </si>
  <si>
    <t>Cust 9521</t>
  </si>
  <si>
    <t>REG101136</t>
  </si>
  <si>
    <t>Cust 3921</t>
  </si>
  <si>
    <t>REG101137</t>
  </si>
  <si>
    <t>Cust 7628</t>
  </si>
  <si>
    <t>REG101138</t>
  </si>
  <si>
    <t>REG101139</t>
  </si>
  <si>
    <t>Cust 4210</t>
  </si>
  <si>
    <t>REG101140</t>
  </si>
  <si>
    <t>Cust 1951</t>
  </si>
  <si>
    <t>REG101141</t>
  </si>
  <si>
    <t>Cust 9405</t>
  </si>
  <si>
    <t>REG101142</t>
  </si>
  <si>
    <t>Cust 8769</t>
  </si>
  <si>
    <t>REG101143</t>
  </si>
  <si>
    <t>REG101144</t>
  </si>
  <si>
    <t>Cust 4068</t>
  </si>
  <si>
    <t>REG101145</t>
  </si>
  <si>
    <t>Cust 3523</t>
  </si>
  <si>
    <t>REG101146</t>
  </si>
  <si>
    <t>Cust 3377</t>
  </si>
  <si>
    <t>REG101147</t>
  </si>
  <si>
    <t>Cust 3125</t>
  </si>
  <si>
    <t>REG101148</t>
  </si>
  <si>
    <t>Cust 4623</t>
  </si>
  <si>
    <t>REG101149</t>
  </si>
  <si>
    <t>Cust 4571</t>
  </si>
  <si>
    <t>REG101150</t>
  </si>
  <si>
    <t>REG101151</t>
  </si>
  <si>
    <t>Cust 6982</t>
  </si>
  <si>
    <t>REG101152</t>
  </si>
  <si>
    <t>Cust 6824</t>
  </si>
  <si>
    <t>REG101153</t>
  </si>
  <si>
    <t>Cust 3172</t>
  </si>
  <si>
    <t>REG101154</t>
  </si>
  <si>
    <t>Cust 8146</t>
  </si>
  <si>
    <t>REG101155</t>
  </si>
  <si>
    <t>Cust 3299</t>
  </si>
  <si>
    <t>REG101156</t>
  </si>
  <si>
    <t>Cust 6476</t>
  </si>
  <si>
    <t>REG101157</t>
  </si>
  <si>
    <t>Cust 9835</t>
  </si>
  <si>
    <t>REG101158</t>
  </si>
  <si>
    <t>Cust 1003</t>
  </si>
  <si>
    <t>REG101159</t>
  </si>
  <si>
    <t>Cust 9705</t>
  </si>
  <si>
    <t>REG101160</t>
  </si>
  <si>
    <t>Cust 3421</t>
  </si>
  <si>
    <t>REG101161</t>
  </si>
  <si>
    <t>Cust 1690</t>
  </si>
  <si>
    <t>REG101162</t>
  </si>
  <si>
    <t>Cust 2507</t>
  </si>
  <si>
    <t>REG101163</t>
  </si>
  <si>
    <t>Cust 9880</t>
  </si>
  <si>
    <t>REG101164</t>
  </si>
  <si>
    <t>Cust 3972</t>
  </si>
  <si>
    <t>REG101165</t>
  </si>
  <si>
    <t>REG101166</t>
  </si>
  <si>
    <t>Cust 4205</t>
  </si>
  <si>
    <t>REG101167</t>
  </si>
  <si>
    <t>Cust 2579</t>
  </si>
  <si>
    <t>REG101168</t>
  </si>
  <si>
    <t>Cust 7265</t>
  </si>
  <si>
    <t>REG101169</t>
  </si>
  <si>
    <t>Cust 1199</t>
  </si>
  <si>
    <t>REG101170</t>
  </si>
  <si>
    <t>Cust 2928</t>
  </si>
  <si>
    <t>REG101171</t>
  </si>
  <si>
    <t>Cust 9447</t>
  </si>
  <si>
    <t>REG101172</t>
  </si>
  <si>
    <t>Cust 9095</t>
  </si>
  <si>
    <t>REG101173</t>
  </si>
  <si>
    <t>Cust 7587</t>
  </si>
  <si>
    <t>REG101174</t>
  </si>
  <si>
    <t>Cust 2611</t>
  </si>
  <si>
    <t>REG101175</t>
  </si>
  <si>
    <t>Cust 8284</t>
  </si>
  <si>
    <t>REG101176</t>
  </si>
  <si>
    <t>Cust 8154</t>
  </si>
  <si>
    <t>REG101177</t>
  </si>
  <si>
    <t>Cust 5215</t>
  </si>
  <si>
    <t>REG101178</t>
  </si>
  <si>
    <t>Cust 5309</t>
  </si>
  <si>
    <t>REG101179</t>
  </si>
  <si>
    <t>Cust 2016</t>
  </si>
  <si>
    <t>REG101180</t>
  </si>
  <si>
    <t>Cust 2676</t>
  </si>
  <si>
    <t>REG101181</t>
  </si>
  <si>
    <t>Cust 7529</t>
  </si>
  <si>
    <t>REG101182</t>
  </si>
  <si>
    <t>Cust 6172</t>
  </si>
  <si>
    <t>REG101183</t>
  </si>
  <si>
    <t>Cust 2527</t>
  </si>
  <si>
    <t>REG101184</t>
  </si>
  <si>
    <t>Cust 1970</t>
  </si>
  <si>
    <t>REG101185</t>
  </si>
  <si>
    <t>Cust 9543</t>
  </si>
  <si>
    <t>REG101186</t>
  </si>
  <si>
    <t>Cust 2957</t>
  </si>
  <si>
    <t>REG101187</t>
  </si>
  <si>
    <t>Cust 2852</t>
  </si>
  <si>
    <t>REG101188</t>
  </si>
  <si>
    <t>Cust 6365</t>
  </si>
  <si>
    <t>REG101189</t>
  </si>
  <si>
    <t>REG101190</t>
  </si>
  <si>
    <t>Cust 3252</t>
  </si>
  <si>
    <t>REG101191</t>
  </si>
  <si>
    <t>Cust 8679</t>
  </si>
  <si>
    <t>REG101192</t>
  </si>
  <si>
    <t>Cust 5547</t>
  </si>
  <si>
    <t>REG101193</t>
  </si>
  <si>
    <t>Cust 9438</t>
  </si>
  <si>
    <t>REG101194</t>
  </si>
  <si>
    <t>REG101195</t>
  </si>
  <si>
    <t>Cust 7007</t>
  </si>
  <si>
    <t>REG101196</t>
  </si>
  <si>
    <t>REG101197</t>
  </si>
  <si>
    <t>Cust 5771</t>
  </si>
  <si>
    <t>REG101198</t>
  </si>
  <si>
    <t>Cust 4317</t>
  </si>
  <si>
    <t>REG101199</t>
  </si>
  <si>
    <t>Cust 3627</t>
  </si>
  <si>
    <t>REG101200</t>
  </si>
  <si>
    <t>Cust 4433</t>
  </si>
  <si>
    <t>REG101201</t>
  </si>
  <si>
    <t>Cust 6231</t>
  </si>
  <si>
    <t>REG101202</t>
  </si>
  <si>
    <t>Cust 8987</t>
  </si>
  <si>
    <t>REG101203</t>
  </si>
  <si>
    <t>Cust 4510</t>
  </si>
  <si>
    <t>REG101204</t>
  </si>
  <si>
    <t>Cust 7003</t>
  </si>
  <si>
    <t>REG101205</t>
  </si>
  <si>
    <t>Cust 6546</t>
  </si>
  <si>
    <t>REG101206</t>
  </si>
  <si>
    <t>Cust 2951</t>
  </si>
  <si>
    <t>REG101207</t>
  </si>
  <si>
    <t>Cust 4673</t>
  </si>
  <si>
    <t>REG101208</t>
  </si>
  <si>
    <t>Cust 5988</t>
  </si>
  <si>
    <t>REG101209</t>
  </si>
  <si>
    <t>Cust 3922</t>
  </si>
  <si>
    <t>REG101210</t>
  </si>
  <si>
    <t>Cust 9853</t>
  </si>
  <si>
    <t>REG101211</t>
  </si>
  <si>
    <t>Cust 6168</t>
  </si>
  <si>
    <t>REG101212</t>
  </si>
  <si>
    <t>Cust 3175</t>
  </si>
  <si>
    <t>REG101213</t>
  </si>
  <si>
    <t>Cust 1813</t>
  </si>
  <si>
    <t>REG101214</t>
  </si>
  <si>
    <t>Cust 7749</t>
  </si>
  <si>
    <t>REG101215</t>
  </si>
  <si>
    <t>Cust 3416</t>
  </si>
  <si>
    <t>REG101216</t>
  </si>
  <si>
    <t>Cust 7066</t>
  </si>
  <si>
    <t>REG101217</t>
  </si>
  <si>
    <t>Cust 5180</t>
  </si>
  <si>
    <t>REG101218</t>
  </si>
  <si>
    <t>Cust 6246</t>
  </si>
  <si>
    <t>REG101219</t>
  </si>
  <si>
    <t>Cust 4182</t>
  </si>
  <si>
    <t>REG101220</t>
  </si>
  <si>
    <t>Cust 6843</t>
  </si>
  <si>
    <t>REG101221</t>
  </si>
  <si>
    <t>Cust 6844</t>
  </si>
  <si>
    <t>REG101222</t>
  </si>
  <si>
    <t>Cust 3248</t>
  </si>
  <si>
    <t>REG101223</t>
  </si>
  <si>
    <t>Cust 5226</t>
  </si>
  <si>
    <t>REG101224</t>
  </si>
  <si>
    <t>Cust 9804</t>
  </si>
  <si>
    <t>REG101225</t>
  </si>
  <si>
    <t>Cust 3990</t>
  </si>
  <si>
    <t>REG101226</t>
  </si>
  <si>
    <t>Cust 5106</t>
  </si>
  <si>
    <t>REG101227</t>
  </si>
  <si>
    <t>Cust 3448</t>
  </si>
  <si>
    <t>REG101228</t>
  </si>
  <si>
    <t>Cust 1439</t>
  </si>
  <si>
    <t>REG101229</t>
  </si>
  <si>
    <t>Cust 5342</t>
  </si>
  <si>
    <t>REG101230</t>
  </si>
  <si>
    <t>Cust 4564</t>
  </si>
  <si>
    <t>REG101231</t>
  </si>
  <si>
    <t>Cust 6441</t>
  </si>
  <si>
    <t>REG101232</t>
  </si>
  <si>
    <t>Cust 7591</t>
  </si>
  <si>
    <t>REG101233</t>
  </si>
  <si>
    <t>Cust 9778</t>
  </si>
  <si>
    <t>REG101234</t>
  </si>
  <si>
    <t>Cust 1195</t>
  </si>
  <si>
    <t>REG101235</t>
  </si>
  <si>
    <t>Cust 8126</t>
  </si>
  <si>
    <t>REG101236</t>
  </si>
  <si>
    <t>Cust 4609</t>
  </si>
  <si>
    <t>REG101237</t>
  </si>
  <si>
    <t>Cust 1449</t>
  </si>
  <si>
    <t>REG101238</t>
  </si>
  <si>
    <t>Cust 3508</t>
  </si>
  <si>
    <t>REG101239</t>
  </si>
  <si>
    <t>REG101240</t>
  </si>
  <si>
    <t>Cust 1232</t>
  </si>
  <si>
    <t>REG101241</t>
  </si>
  <si>
    <t>Cust 9675</t>
  </si>
  <si>
    <t>REG101242</t>
  </si>
  <si>
    <t>Cust 5153</t>
  </si>
  <si>
    <t>REG101243</t>
  </si>
  <si>
    <t>REG101244</t>
  </si>
  <si>
    <t>Cust 8277</t>
  </si>
  <si>
    <t>REG101245</t>
  </si>
  <si>
    <t>Cust 5884</t>
  </si>
  <si>
    <t>REG101246</t>
  </si>
  <si>
    <t>Cust 4061</t>
  </si>
  <si>
    <t>REG101247</t>
  </si>
  <si>
    <t>Cust 8095</t>
  </si>
  <si>
    <t>REG101248</t>
  </si>
  <si>
    <t>Cust 2435</t>
  </si>
  <si>
    <t>REG101249</t>
  </si>
  <si>
    <t>REG101250</t>
  </si>
  <si>
    <t>Cust 6485</t>
  </si>
  <si>
    <t>REG101251</t>
  </si>
  <si>
    <t>Cust 6960</t>
  </si>
  <si>
    <t>REG101252</t>
  </si>
  <si>
    <t>Cust 1135</t>
  </si>
  <si>
    <t>REG101253</t>
  </si>
  <si>
    <t>Cust 6186</t>
  </si>
  <si>
    <t>REG101254</t>
  </si>
  <si>
    <t>Cust 8828</t>
  </si>
  <si>
    <t>REG101255</t>
  </si>
  <si>
    <t>REG101256</t>
  </si>
  <si>
    <t>Cust 4744</t>
  </si>
  <si>
    <t>REG101257</t>
  </si>
  <si>
    <t>Cust 4287</t>
  </si>
  <si>
    <t>REG101258</t>
  </si>
  <si>
    <t>Cust 2236</t>
  </si>
  <si>
    <t>REG101259</t>
  </si>
  <si>
    <t>REG101260</t>
  </si>
  <si>
    <t>Cust 5096</t>
  </si>
  <si>
    <t>REG101261</t>
  </si>
  <si>
    <t>Cust 1162</t>
  </si>
  <si>
    <t>REG101262</t>
  </si>
  <si>
    <t>Cust 1669</t>
  </si>
  <si>
    <t>REG101263</t>
  </si>
  <si>
    <t>Cust 6213</t>
  </si>
  <si>
    <t>REG101264</t>
  </si>
  <si>
    <t>Cust 7659</t>
  </si>
  <si>
    <t>REG101265</t>
  </si>
  <si>
    <t>Cust 2894</t>
  </si>
  <si>
    <t>REG101266</t>
  </si>
  <si>
    <t>Cust 1457</t>
  </si>
  <si>
    <t>REG101267</t>
  </si>
  <si>
    <t>Cust 2410</t>
  </si>
  <si>
    <t>REG101268</t>
  </si>
  <si>
    <t>Cust 4723</t>
  </si>
  <si>
    <t>REG101269</t>
  </si>
  <si>
    <t>Cust 1586</t>
  </si>
  <si>
    <t>REG101270</t>
  </si>
  <si>
    <t>Cust 5049</t>
  </si>
  <si>
    <t>REG101271</t>
  </si>
  <si>
    <t>Cust 9534</t>
  </si>
  <si>
    <t>REG101272</t>
  </si>
  <si>
    <t>Cust 5693</t>
  </si>
  <si>
    <t>REG101273</t>
  </si>
  <si>
    <t>Cust 6950</t>
  </si>
  <si>
    <t>REG101274</t>
  </si>
  <si>
    <t>Cust 7098</t>
  </si>
  <si>
    <t>REG101275</t>
  </si>
  <si>
    <t>Cust 8300</t>
  </si>
  <si>
    <t>REG101276</t>
  </si>
  <si>
    <t>Cust 9557</t>
  </si>
  <si>
    <t>REG101277</t>
  </si>
  <si>
    <t>Cust 8787</t>
  </si>
  <si>
    <t>REG101278</t>
  </si>
  <si>
    <t>Cust 9717</t>
  </si>
  <si>
    <t>REG101279</t>
  </si>
  <si>
    <t>Cust 2719</t>
  </si>
  <si>
    <t>REG101280</t>
  </si>
  <si>
    <t>Cust 6203</t>
  </si>
  <si>
    <t>REG101281</t>
  </si>
  <si>
    <t>Cust 9151</t>
  </si>
  <si>
    <t>REG101282</t>
  </si>
  <si>
    <t>REG101283</t>
  </si>
  <si>
    <t>Cust 4250</t>
  </si>
  <si>
    <t>REG101284</t>
  </si>
  <si>
    <t>Cust 1276</t>
  </si>
  <si>
    <t>REG101285</t>
  </si>
  <si>
    <t>Cust 6063</t>
  </si>
  <si>
    <t>REG101286</t>
  </si>
  <si>
    <t>Cust 7604</t>
  </si>
  <si>
    <t>REG101287</t>
  </si>
  <si>
    <t>REG101288</t>
  </si>
  <si>
    <t>Cust 4398</t>
  </si>
  <si>
    <t>REG101289</t>
  </si>
  <si>
    <t>Cust 8770</t>
  </si>
  <si>
    <t>REG101290</t>
  </si>
  <si>
    <t>Cust 2148</t>
  </si>
  <si>
    <t>REG101291</t>
  </si>
  <si>
    <t>Cust 4107</t>
  </si>
  <si>
    <t>REG101292</t>
  </si>
  <si>
    <t>Cust 4450</t>
  </si>
  <si>
    <t>REG101293</t>
  </si>
  <si>
    <t>Cust 8233</t>
  </si>
  <si>
    <t>REG101294</t>
  </si>
  <si>
    <t>Cust 9012</t>
  </si>
  <si>
    <t>REG101295</t>
  </si>
  <si>
    <t>Cust 1496</t>
  </si>
  <si>
    <t>REG101296</t>
  </si>
  <si>
    <t>Cust 9365</t>
  </si>
  <si>
    <t>REG101297</t>
  </si>
  <si>
    <t>Cust 1392</t>
  </si>
  <si>
    <t>REG101298</t>
  </si>
  <si>
    <t>Cust 3474</t>
  </si>
  <si>
    <t>REG101299</t>
  </si>
  <si>
    <t>Cust 2111</t>
  </si>
  <si>
    <t>REG101300</t>
  </si>
  <si>
    <t>REG101301</t>
  </si>
  <si>
    <t>Cust 2341</t>
  </si>
  <si>
    <t>REG101302</t>
  </si>
  <si>
    <t>REG101303</t>
  </si>
  <si>
    <t>Cust 5935</t>
  </si>
  <si>
    <t>REG101304</t>
  </si>
  <si>
    <t>Cust 3291</t>
  </si>
  <si>
    <t>REG101305</t>
  </si>
  <si>
    <t>Cust 5258</t>
  </si>
  <si>
    <t>REG101306</t>
  </si>
  <si>
    <t>REG101307</t>
  </si>
  <si>
    <t>REG101308</t>
  </si>
  <si>
    <t>Cust 9606</t>
  </si>
  <si>
    <t>REG101309</t>
  </si>
  <si>
    <t>Cust 9182</t>
  </si>
  <si>
    <t>REG101310</t>
  </si>
  <si>
    <t>Cust 6299</t>
  </si>
  <si>
    <t>REG101311</t>
  </si>
  <si>
    <t>Cust 9628</t>
  </si>
  <si>
    <t>REG101312</t>
  </si>
  <si>
    <t>Cust 3831</t>
  </si>
  <si>
    <t>REG101313</t>
  </si>
  <si>
    <t>Cust 7955</t>
  </si>
  <si>
    <t>REG101314</t>
  </si>
  <si>
    <t>Cust 3939</t>
  </si>
  <si>
    <t>REG101315</t>
  </si>
  <si>
    <t>Cust 7916</t>
  </si>
  <si>
    <t>REG101316</t>
  </si>
  <si>
    <t>Cust 2477</t>
  </si>
  <si>
    <t>REG101317</t>
  </si>
  <si>
    <t>Cust 3781</t>
  </si>
  <si>
    <t>REG101318</t>
  </si>
  <si>
    <t>REG101319</t>
  </si>
  <si>
    <t>Cust 1969</t>
  </si>
  <si>
    <t>REG101320</t>
  </si>
  <si>
    <t>Cust 4494</t>
  </si>
  <si>
    <t>REG101321</t>
  </si>
  <si>
    <t>REG101322</t>
  </si>
  <si>
    <t>Cust 3061</t>
  </si>
  <si>
    <t>REG101323</t>
  </si>
  <si>
    <t>Cust 4732</t>
  </si>
  <si>
    <t>REG101324</t>
  </si>
  <si>
    <t>Cust 9889</t>
  </si>
  <si>
    <t>REG101325</t>
  </si>
  <si>
    <t>Cust 2165</t>
  </si>
  <si>
    <t>REG101326</t>
  </si>
  <si>
    <t>Cust 6121</t>
  </si>
  <si>
    <t>REG101327</t>
  </si>
  <si>
    <t>Cust 4071</t>
  </si>
  <si>
    <t>REG101328</t>
  </si>
  <si>
    <t>Cust 5249</t>
  </si>
  <si>
    <t>REG101329</t>
  </si>
  <si>
    <t>Cust 4262</t>
  </si>
  <si>
    <t>REG101330</t>
  </si>
  <si>
    <t>Cust 9314</t>
  </si>
  <si>
    <t>REG101331</t>
  </si>
  <si>
    <t>Cust 7703</t>
  </si>
  <si>
    <t>REG101332</t>
  </si>
  <si>
    <t>REG101333</t>
  </si>
  <si>
    <t>REG101334</t>
  </si>
  <si>
    <t>REG101335</t>
  </si>
  <si>
    <t>Cust 1007</t>
  </si>
  <si>
    <t>REG101336</t>
  </si>
  <si>
    <t>Cust 1946</t>
  </si>
  <si>
    <t>REG101337</t>
  </si>
  <si>
    <t>Cust 6347</t>
  </si>
  <si>
    <t>REG101338</t>
  </si>
  <si>
    <t>Cust 6499</t>
  </si>
  <si>
    <t>REG101339</t>
  </si>
  <si>
    <t>Cust 1420</t>
  </si>
  <si>
    <t>REG101340</t>
  </si>
  <si>
    <t>Cust 6744</t>
  </si>
  <si>
    <t>REG101341</t>
  </si>
  <si>
    <t>Cust 5690</t>
  </si>
  <si>
    <t>REG101342</t>
  </si>
  <si>
    <t>Cust 1265</t>
  </si>
  <si>
    <t>REG101343</t>
  </si>
  <si>
    <t>Cust 7676</t>
  </si>
  <si>
    <t>REG101344</t>
  </si>
  <si>
    <t>Cust 4442</t>
  </si>
  <si>
    <t>REG101345</t>
  </si>
  <si>
    <t>Cust 2975</t>
  </si>
  <si>
    <t>REG101346</t>
  </si>
  <si>
    <t>Cust 7832</t>
  </si>
  <si>
    <t>REG101347</t>
  </si>
  <si>
    <t>REG101348</t>
  </si>
  <si>
    <t>Cust 8639</t>
  </si>
  <si>
    <t>REG101349</t>
  </si>
  <si>
    <t>REG101350</t>
  </si>
  <si>
    <t>REG101351</t>
  </si>
  <si>
    <t>REG101352</t>
  </si>
  <si>
    <t>REG101353</t>
  </si>
  <si>
    <t>Cust 4389</t>
  </si>
  <si>
    <t>REG101354</t>
  </si>
  <si>
    <t>Cust 2008</t>
  </si>
  <si>
    <t>REG101355</t>
  </si>
  <si>
    <t>Cust 6509</t>
  </si>
  <si>
    <t>REG101356</t>
  </si>
  <si>
    <t>REG101357</t>
  </si>
  <si>
    <t>Cust 4414</t>
  </si>
  <si>
    <t>REG101358</t>
  </si>
  <si>
    <t>Cust 6409</t>
  </si>
  <si>
    <t>REG101359</t>
  </si>
  <si>
    <t>Cust 1621</t>
  </si>
  <si>
    <t>REG101360</t>
  </si>
  <si>
    <t>Cust 6790</t>
  </si>
  <si>
    <t>REG101361</t>
  </si>
  <si>
    <t>Cust 4045</t>
  </si>
  <si>
    <t>REG101362</t>
  </si>
  <si>
    <t>Cust 1258</t>
  </si>
  <si>
    <t>REG101363</t>
  </si>
  <si>
    <t>Cust 8051</t>
  </si>
  <si>
    <t>REG101364</t>
  </si>
  <si>
    <t>Cust 9371</t>
  </si>
  <si>
    <t>REG101365</t>
  </si>
  <si>
    <t>Cust 9881</t>
  </si>
  <si>
    <t>REG101366</t>
  </si>
  <si>
    <t>REG101367</t>
  </si>
  <si>
    <t>Cust 9189</t>
  </si>
  <si>
    <t>REG101368</t>
  </si>
  <si>
    <t>Cust 8802</t>
  </si>
  <si>
    <t>REG101369</t>
  </si>
  <si>
    <t>Cust 8707</t>
  </si>
  <si>
    <t>REG101370</t>
  </si>
  <si>
    <t>Cust 5638</t>
  </si>
  <si>
    <t>REG101371</t>
  </si>
  <si>
    <t>Cust 6036</t>
  </si>
  <si>
    <t>REG101372</t>
  </si>
  <si>
    <t>Cust 5504</t>
  </si>
  <si>
    <t>REG101373</t>
  </si>
  <si>
    <t>Cust 1161</t>
  </si>
  <si>
    <t>REG101374</t>
  </si>
  <si>
    <t>Cust 5420</t>
  </si>
  <si>
    <t>REG101375</t>
  </si>
  <si>
    <t>Cust 7745</t>
  </si>
  <si>
    <t>REG101376</t>
  </si>
  <si>
    <t>Cust 4365</t>
  </si>
  <si>
    <t>REG101377</t>
  </si>
  <si>
    <t>REG101378</t>
  </si>
  <si>
    <t>Cust 9020</t>
  </si>
  <si>
    <t>REG101379</t>
  </si>
  <si>
    <t>Cust 2667</t>
  </si>
  <si>
    <t>REG101380</t>
  </si>
  <si>
    <t>Cust 6158</t>
  </si>
  <si>
    <t>REG101381</t>
  </si>
  <si>
    <t>Cust 7404</t>
  </si>
  <si>
    <t>REG101382</t>
  </si>
  <si>
    <t>Cust 8572</t>
  </si>
  <si>
    <t>REG101383</t>
  </si>
  <si>
    <t>Cust 1043</t>
  </si>
  <si>
    <t>REG101384</t>
  </si>
  <si>
    <t>Cust 1766</t>
  </si>
  <si>
    <t>REG101385</t>
  </si>
  <si>
    <t>Cust 4461</t>
  </si>
  <si>
    <t>REG101386</t>
  </si>
  <si>
    <t>Cust 4390</t>
  </si>
  <si>
    <t>REG101387</t>
  </si>
  <si>
    <t>Cust 9451</t>
  </si>
  <si>
    <t>REG101388</t>
  </si>
  <si>
    <t>Cust 5335</t>
  </si>
  <si>
    <t>REG101389</t>
  </si>
  <si>
    <t>Cust 3487</t>
  </si>
  <si>
    <t>REG101390</t>
  </si>
  <si>
    <t>Cust 7613</t>
  </si>
  <si>
    <t>REG101391</t>
  </si>
  <si>
    <t>Cust 9436</t>
  </si>
  <si>
    <t>REG101392</t>
  </si>
  <si>
    <t>Cust 2197</t>
  </si>
  <si>
    <t>REG101393</t>
  </si>
  <si>
    <t>Cust 5620</t>
  </si>
  <si>
    <t>REG101394</t>
  </si>
  <si>
    <t>REG101395</t>
  </si>
  <si>
    <t>REG101396</t>
  </si>
  <si>
    <t>Cust 3187</t>
  </si>
  <si>
    <t>REG101397</t>
  </si>
  <si>
    <t>Cust 1081</t>
  </si>
  <si>
    <t>REG101398</t>
  </si>
  <si>
    <t>REG101399</t>
  </si>
  <si>
    <t>Cust 5409</t>
  </si>
  <si>
    <t>REG101400</t>
  </si>
  <si>
    <t>REG101401</t>
  </si>
  <si>
    <t>Cust 2741</t>
  </si>
  <si>
    <t>REG101402</t>
  </si>
  <si>
    <t>Cust 2571</t>
  </si>
  <si>
    <t>REG101403</t>
  </si>
  <si>
    <t>Cust 6301</t>
  </si>
  <si>
    <t>REG101404</t>
  </si>
  <si>
    <t>Cust 7918</t>
  </si>
  <si>
    <t>REG101405</t>
  </si>
  <si>
    <t>Cust 3456</t>
  </si>
  <si>
    <t>REG101406</t>
  </si>
  <si>
    <t>Cust 8272</t>
  </si>
  <si>
    <t>REG101407</t>
  </si>
  <si>
    <t>Cust 7302</t>
  </si>
  <si>
    <t>REG101408</t>
  </si>
  <si>
    <t>REG101409</t>
  </si>
  <si>
    <t>Cust 5484</t>
  </si>
  <si>
    <t>REG101410</t>
  </si>
  <si>
    <t>Cust 4652</t>
  </si>
  <si>
    <t>REG101411</t>
  </si>
  <si>
    <t>REG101412</t>
  </si>
  <si>
    <t>REG101413</t>
  </si>
  <si>
    <t>Cust 1287</t>
  </si>
  <si>
    <t>REG101414</t>
  </si>
  <si>
    <t>Cust 5444</t>
  </si>
  <si>
    <t>REG101415</t>
  </si>
  <si>
    <t>REG101416</t>
  </si>
  <si>
    <t>Cust 6355</t>
  </si>
  <si>
    <t>REG101417</t>
  </si>
  <si>
    <t>Cust 6620</t>
  </si>
  <si>
    <t>REG101418</t>
  </si>
  <si>
    <t>Cust 4092</t>
  </si>
  <si>
    <t>REG101419</t>
  </si>
  <si>
    <t>Cust 4812</t>
  </si>
  <si>
    <t>REG101420</t>
  </si>
  <si>
    <t>Cust 8389</t>
  </si>
  <si>
    <t>REG101421</t>
  </si>
  <si>
    <t>Cust 4529</t>
  </si>
  <si>
    <t>REG101422</t>
  </si>
  <si>
    <t>REG101423</t>
  </si>
  <si>
    <t>REG101424</t>
  </si>
  <si>
    <t>Cust 4228</t>
  </si>
  <si>
    <t>REG101425</t>
  </si>
  <si>
    <t>Cust 3940</t>
  </si>
  <si>
    <t>REG101426</t>
  </si>
  <si>
    <t>Cust 4392</t>
  </si>
  <si>
    <t>REG101427</t>
  </si>
  <si>
    <t>Cust 4404</t>
  </si>
  <si>
    <t>REG101428</t>
  </si>
  <si>
    <t>Cust 2981</t>
  </si>
  <si>
    <t>REG101429</t>
  </si>
  <si>
    <t>Cust 3571</t>
  </si>
  <si>
    <t>REG101430</t>
  </si>
  <si>
    <t>Cust 2592</t>
  </si>
  <si>
    <t>REG101431</t>
  </si>
  <si>
    <t>Cust 6209</t>
  </si>
  <si>
    <t>REG101432</t>
  </si>
  <si>
    <t>Cust 6600</t>
  </si>
  <si>
    <t>REG101433</t>
  </si>
  <si>
    <t>Cust 6899</t>
  </si>
  <si>
    <t>REG101434</t>
  </si>
  <si>
    <t>Cust 1563</t>
  </si>
  <si>
    <t>REG101435</t>
  </si>
  <si>
    <t>Cust 6733</t>
  </si>
  <si>
    <t>REG101436</t>
  </si>
  <si>
    <t>Cust 7635</t>
  </si>
  <si>
    <t>REG101437</t>
  </si>
  <si>
    <t>Cust 4354</t>
  </si>
  <si>
    <t>REG101438</t>
  </si>
  <si>
    <t>REG101439</t>
  </si>
  <si>
    <t>Cust 1376</t>
  </si>
  <si>
    <t>REG101440</t>
  </si>
  <si>
    <t>Cust 6542</t>
  </si>
  <si>
    <t>REG101441</t>
  </si>
  <si>
    <t>REG101442</t>
  </si>
  <si>
    <t>Cust 4386</t>
  </si>
  <si>
    <t>REG101443</t>
  </si>
  <si>
    <t>Cust 6708</t>
  </si>
  <si>
    <t>REG101444</t>
  </si>
  <si>
    <t>Cust 6354</t>
  </si>
  <si>
    <t>REG101445</t>
  </si>
  <si>
    <t>Cust 3477</t>
  </si>
  <si>
    <t>REG101446</t>
  </si>
  <si>
    <t>Cust 6646</t>
  </si>
  <si>
    <t>REG101447</t>
  </si>
  <si>
    <t>REG101448</t>
  </si>
  <si>
    <t>REG101449</t>
  </si>
  <si>
    <t>Cust 6284</t>
  </si>
  <si>
    <t>REG101450</t>
  </si>
  <si>
    <t>Cust 9099</t>
  </si>
  <si>
    <t>REG101451</t>
  </si>
  <si>
    <t>REG101452</t>
  </si>
  <si>
    <t>Cust 6124</t>
  </si>
  <si>
    <t>REG101453</t>
  </si>
  <si>
    <t>Cust 8533</t>
  </si>
  <si>
    <t>REG101454</t>
  </si>
  <si>
    <t>REG101455</t>
  </si>
  <si>
    <t>REG101456</t>
  </si>
  <si>
    <t>Cust 1333</t>
  </si>
  <si>
    <t>REG101457</t>
  </si>
  <si>
    <t>Cust 2394</t>
  </si>
  <si>
    <t>REG101458</t>
  </si>
  <si>
    <t>Cust 8495</t>
  </si>
  <si>
    <t>REG101459</t>
  </si>
  <si>
    <t>Cust 3988</t>
  </si>
  <si>
    <t>REG101460</t>
  </si>
  <si>
    <t>Cust 4664</t>
  </si>
  <si>
    <t>REG101461</t>
  </si>
  <si>
    <t>Cust 5086</t>
  </si>
  <si>
    <t>REG101462</t>
  </si>
  <si>
    <t>Cust 8858</t>
  </si>
  <si>
    <t>REG101463</t>
  </si>
  <si>
    <t>REG101464</t>
  </si>
  <si>
    <t>Cust 2496</t>
  </si>
  <si>
    <t>REG101465</t>
  </si>
  <si>
    <t>Cust 5465</t>
  </si>
  <si>
    <t>REG101466</t>
  </si>
  <si>
    <t>Cust 2311</t>
  </si>
  <si>
    <t>REG101467</t>
  </si>
  <si>
    <t>Cust 4575</t>
  </si>
  <si>
    <t>REG101468</t>
  </si>
  <si>
    <t>Cust 8054</t>
  </si>
  <si>
    <t>REG101469</t>
  </si>
  <si>
    <t>REG101470</t>
  </si>
  <si>
    <t>Cust 7547</t>
  </si>
  <si>
    <t>REG101471</t>
  </si>
  <si>
    <t>REG101472</t>
  </si>
  <si>
    <t>Cust 5635</t>
  </si>
  <si>
    <t>REG101473</t>
  </si>
  <si>
    <t>Cust 4360</t>
  </si>
  <si>
    <t>REG101474</t>
  </si>
  <si>
    <t>Cust 1624</t>
  </si>
  <si>
    <t>REG101475</t>
  </si>
  <si>
    <t>Cust 6593</t>
  </si>
  <si>
    <t>REG101476</t>
  </si>
  <si>
    <t>REG101477</t>
  </si>
  <si>
    <t>REG101478</t>
  </si>
  <si>
    <t>Cust 8458</t>
  </si>
  <si>
    <t>REG101479</t>
  </si>
  <si>
    <t>REG101480</t>
  </si>
  <si>
    <t>Cust 8847</t>
  </si>
  <si>
    <t>REG101481</t>
  </si>
  <si>
    <t>Cust 7857</t>
  </si>
  <si>
    <t>REG101482</t>
  </si>
  <si>
    <t>Cust 7810</t>
  </si>
  <si>
    <t>REG101483</t>
  </si>
  <si>
    <t>Cust 5665</t>
  </si>
  <si>
    <t>REG101484</t>
  </si>
  <si>
    <t>Cust 8015</t>
  </si>
  <si>
    <t>REG101485</t>
  </si>
  <si>
    <t>Cust 7211</t>
  </si>
  <si>
    <t>REG101486</t>
  </si>
  <si>
    <t>Cust 8705</t>
  </si>
  <si>
    <t>REG101487</t>
  </si>
  <si>
    <t>Cust 2905</t>
  </si>
  <si>
    <t>REG101488</t>
  </si>
  <si>
    <t>Cust 5777</t>
  </si>
  <si>
    <t>REG101489</t>
  </si>
  <si>
    <t>Cust 6695</t>
  </si>
  <si>
    <t>REG101490</t>
  </si>
  <si>
    <t>Cust 1977</t>
  </si>
  <si>
    <t>REG101491</t>
  </si>
  <si>
    <t>Cust 7979</t>
  </si>
  <si>
    <t>REG101492</t>
  </si>
  <si>
    <t>Cust 2437</t>
  </si>
  <si>
    <t>REG101493</t>
  </si>
  <si>
    <t>Cust 2516</t>
  </si>
  <si>
    <t>REG101494</t>
  </si>
  <si>
    <t>Cust 6791</t>
  </si>
  <si>
    <t>REG101495</t>
  </si>
  <si>
    <t>Cust 5227</t>
  </si>
  <si>
    <t>REG101496</t>
  </si>
  <si>
    <t>Cust 5559</t>
  </si>
  <si>
    <t>REG101497</t>
  </si>
  <si>
    <t>Cust 8981</t>
  </si>
  <si>
    <t>REG101498</t>
  </si>
  <si>
    <t>Cust 1824</t>
  </si>
  <si>
    <t>REG101499</t>
  </si>
  <si>
    <t>=if(Table1[@Column1]="Chair",Table1[@Column1]="Desk"),"Furniture",if(or(Table1[@Column1]="Laptop",Table1[@Column1]="Monitor",Table1[@Column1]="Phone",Table1[@Column1]="Tablet"),"Technology",if(Table1[@Column1]="Printer","Office Supplies","Other")))</t>
  </si>
  <si>
    <t>2023</t>
  </si>
  <si>
    <t>2024</t>
  </si>
  <si>
    <t>2025</t>
  </si>
  <si>
    <t>2023 Total</t>
  </si>
  <si>
    <t>Jan</t>
  </si>
  <si>
    <t>Feb</t>
  </si>
  <si>
    <t>Mar</t>
  </si>
  <si>
    <t>Apr</t>
  </si>
  <si>
    <t>May</t>
  </si>
  <si>
    <t>Jun</t>
  </si>
  <si>
    <t>Jul</t>
  </si>
  <si>
    <t>Aug</t>
  </si>
  <si>
    <t>Sep</t>
  </si>
  <si>
    <t>Oct</t>
  </si>
  <si>
    <t>Nov</t>
  </si>
  <si>
    <t>Dec</t>
  </si>
  <si>
    <t>Years (Year-Month)</t>
  </si>
  <si>
    <t>Months (Year-Month)</t>
  </si>
  <si>
    <t>2024 Total</t>
  </si>
  <si>
    <t>2025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</si>
</sst>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quot;M&quot;"/>
    <numFmt numFmtId="165" formatCode="\$0,,&quot;K&quot;"/>
    <numFmt numFmtId="166" formatCode="\$0,&quot;K&quot;"/>
  </numFmts>
  <fonts count="6" x14ac:knownFonts="1">
    <font>
      <sz val="11"/>
      <color theme="1"/>
      <name val="Calibri"/>
      <family val="2"/>
      <scheme val="minor"/>
    </font>
    <font>
      <b/>
      <sz val="11"/>
      <color theme="1"/>
      <name val="Calibri"/>
      <family val="2"/>
      <scheme val="minor"/>
    </font>
    <font>
      <b/>
      <sz val="12"/>
      <color theme="1"/>
      <name val="Calibri"/>
      <family val="2"/>
      <scheme val="minor"/>
    </font>
    <font>
      <sz val="8"/>
      <name val="Calibri"/>
      <family val="2"/>
      <scheme val="minor"/>
    </font>
    <font>
      <b/>
      <sz val="14"/>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0" fontId="1" fillId="0" borderId="1" xfId="0" applyNumberFormat="1" applyFont="1" applyBorder="1" applyAlignment="1">
      <alignment horizontal="center" vertical="top"/>
    </xf>
    <xf numFmtId="10" fontId="0" fillId="0" borderId="0" xfId="0" applyNumberFormat="1"/>
    <xf numFmtId="0" fontId="0" fillId="0" borderId="0" xfId="0" applyAlignment="1">
      <alignment wrapText="1"/>
    </xf>
    <xf numFmtId="0" fontId="0" fillId="0" borderId="0" xfId="0" pivotButton="1"/>
    <xf numFmtId="0" fontId="1" fillId="0" borderId="1" xfId="0" applyFont="1" applyBorder="1" applyAlignment="1">
      <alignment horizontal="center" vertical="top" wrapText="1"/>
    </xf>
    <xf numFmtId="0" fontId="0" fillId="2" borderId="0" xfId="0" applyFill="1"/>
    <xf numFmtId="17" fontId="0" fillId="0" borderId="0" xfId="0" applyNumberFormat="1"/>
    <xf numFmtId="1" fontId="2" fillId="2" borderId="0" xfId="0" applyNumberFormat="1" applyFont="1" applyFill="1" applyAlignment="1">
      <alignment horizontal="center"/>
    </xf>
    <xf numFmtId="0" fontId="2" fillId="2" borderId="0" xfId="0" applyFont="1" applyFill="1" applyAlignment="1">
      <alignment horizontal="center"/>
    </xf>
    <xf numFmtId="10" fontId="4" fillId="0" borderId="0" xfId="0" applyNumberFormat="1" applyFont="1"/>
    <xf numFmtId="1" fontId="0" fillId="0" borderId="0" xfId="0" applyNumberFormat="1"/>
    <xf numFmtId="164" fontId="0" fillId="0" borderId="0" xfId="0" applyNumberFormat="1"/>
    <xf numFmtId="165" fontId="0" fillId="0" borderId="0" xfId="0" applyNumberFormat="1"/>
    <xf numFmtId="166" fontId="0" fillId="0" borderId="0" xfId="0" applyNumberFormat="1"/>
    <xf numFmtId="166" fontId="5" fillId="0" borderId="0" xfId="0" applyNumberFormat="1" applyFont="1"/>
    <xf numFmtId="164" fontId="5" fillId="0" borderId="0" xfId="0" applyNumberFormat="1" applyFont="1"/>
    <xf numFmtId="0" fontId="5" fillId="0" borderId="0" xfId="0" applyFont="1"/>
    <xf numFmtId="10" fontId="2" fillId="0" borderId="0" xfId="0" applyNumberFormat="1" applyFont="1"/>
    <xf numFmtId="10" fontId="5" fillId="0" borderId="0" xfId="0" applyNumberFormat="1" applyFont="1"/>
    <xf numFmtId="0" fontId="0" fillId="0" borderId="0" xfId="0" applyNumberFormat="1"/>
  </cellXfs>
  <cellStyles count="1">
    <cellStyle name="Normal" xfId="0" builtinId="0"/>
  </cellStyles>
  <dxfs count="21">
    <dxf>
      <numFmt numFmtId="19" formatCode="dd/mm/yyyy"/>
    </dxf>
    <dxf>
      <numFmt numFmtId="1" formatCode="0"/>
    </dxf>
    <dxf>
      <numFmt numFmtId="164" formatCode="\$0.00,,&quot;M&quot;"/>
    </dxf>
    <dxf>
      <numFmt numFmtId="166" formatCode="\$0,&quot;K&quot;"/>
    </dxf>
    <dxf>
      <numFmt numFmtId="0" formatCode="General"/>
      <alignment horizontal="general" vertical="bottom" textRotation="0" wrapText="1" indent="0" justifyLastLine="0" shrinkToFit="0" readingOrder="0"/>
    </dxf>
    <dxf>
      <numFmt numFmtId="166" formatCode="\$0,&quot;K&quot;"/>
    </dxf>
    <dxf>
      <numFmt numFmtId="164" formatCode="\$0.00,,&quot;M&quot;"/>
    </dxf>
    <dxf>
      <numFmt numFmtId="1" formatCode="0"/>
    </dxf>
    <dxf>
      <numFmt numFmtId="19" formatCode="dd/mm/yyyy"/>
    </dxf>
    <dxf>
      <numFmt numFmtId="22" formatCode="mmm/yy"/>
    </dxf>
    <dxf>
      <numFmt numFmtId="167" formatCode="m/d/yyyy"/>
    </dxf>
    <dxf>
      <numFmt numFmtId="167" formatCode="m/d/yyyy"/>
    </dxf>
    <dxf>
      <numFmt numFmtId="2" formatCode="0.00"/>
    </dxf>
    <dxf>
      <numFmt numFmtId="2" formatCode="0.00"/>
    </dxf>
    <dxf>
      <numFmt numFmtId="2" formatCode="0.00"/>
    </dxf>
    <dxf>
      <numFmt numFmtId="14" formatCode="0.00%"/>
    </dxf>
    <dxf>
      <numFmt numFmtId="2" formatCode="0.00"/>
    </dxf>
    <dxf>
      <numFmt numFmtId="0" formatCode="General"/>
    </dxf>
    <dxf>
      <numFmt numFmtId="0" formatCode="General"/>
    </dxf>
    <dxf>
      <numFmt numFmtId="0" formatCode="General"/>
    </dxf>
    <dxf>
      <numFmt numFmtId="167" formatCode="m/d/yyyy"/>
    </dxf>
  </dxfs>
  <tableStyles count="0" defaultTableStyle="TableStyleMedium9" defaultPivotStyle="PivotStyleLight16"/>
  <colors>
    <mruColors>
      <color rgb="FF529C34"/>
      <color rgb="FF000000"/>
      <color rgb="FF08080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[Sales_performance_dashboard_PROJECT.xlsx]Pivot Data!PivotTable4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           Sales</a:t>
            </a:r>
            <a:r>
              <a:rPr lang="en-US" b="1" baseline="0">
                <a:solidFill>
                  <a:schemeClr val="accent1">
                    <a:lumMod val="50000"/>
                  </a:schemeClr>
                </a:solidFill>
              </a:rPr>
              <a:t> By Category</a:t>
            </a:r>
            <a:endParaRPr lang="en-US" b="1">
              <a:solidFill>
                <a:schemeClr val="accent1">
                  <a:lumMod val="50000"/>
                </a:schemeClr>
              </a:solidFill>
            </a:endParaRPr>
          </a:p>
        </c:rich>
      </c:tx>
      <c:layout>
        <c:manualLayout>
          <c:xMode val="edge"/>
          <c:yMode val="edge"/>
          <c:x val="0.17867099838741232"/>
          <c:y val="3.6101083032490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60000"/>
              <a:lumOff val="40000"/>
            </a:schemeClr>
          </a:solidFill>
          <a:ln>
            <a:noFill/>
          </a:ln>
          <a:effectLst/>
        </c:spPr>
      </c:pivotFmt>
      <c:pivotFmt>
        <c:idx val="5"/>
        <c:spPr>
          <a:solidFill>
            <a:schemeClr val="accent1">
              <a:lumMod val="75000"/>
            </a:schemeClr>
          </a:solidFill>
          <a:ln>
            <a:noFill/>
          </a:ln>
          <a:effectLst/>
        </c:spPr>
      </c:pivotFmt>
      <c:pivotFmt>
        <c:idx val="6"/>
        <c:spPr>
          <a:solidFill>
            <a:schemeClr val="accent1">
              <a:lumMod val="50000"/>
            </a:schemeClr>
          </a:solidFill>
          <a:ln>
            <a:noFill/>
          </a:ln>
          <a:effectLst/>
        </c:spPr>
      </c:pivotFmt>
    </c:pivotFmts>
    <c:plotArea>
      <c:layout>
        <c:manualLayout>
          <c:layoutTarget val="inner"/>
          <c:xMode val="edge"/>
          <c:yMode val="edge"/>
          <c:x val="0.21252116942965676"/>
          <c:y val="0.27252953940324248"/>
          <c:w val="0.78698696954916036"/>
          <c:h val="0.51692093175853016"/>
        </c:manualLayout>
      </c:layout>
      <c:pieChart>
        <c:varyColors val="1"/>
        <c:ser>
          <c:idx val="0"/>
          <c:order val="0"/>
          <c:tx>
            <c:strRef>
              <c:f>'Pivot Data'!$G$12</c:f>
              <c:strCache>
                <c:ptCount val="1"/>
                <c:pt idx="0">
                  <c:v>Total</c:v>
                </c:pt>
              </c:strCache>
            </c:strRef>
          </c:tx>
          <c:spPr>
            <a:solidFill>
              <a:schemeClr val="accent1">
                <a:lumMod val="50000"/>
              </a:schemeClr>
            </a:solidFill>
          </c:spPr>
          <c:dPt>
            <c:idx val="0"/>
            <c:bubble3D val="0"/>
            <c:spPr>
              <a:solidFill>
                <a:schemeClr val="accent1">
                  <a:lumMod val="75000"/>
                </a:schemeClr>
              </a:solidFill>
              <a:ln>
                <a:noFill/>
              </a:ln>
              <a:effectLst/>
            </c:spPr>
            <c:extLst>
              <c:ext xmlns:c16="http://schemas.microsoft.com/office/drawing/2014/chart" uri="{C3380CC4-5D6E-409C-BE32-E72D297353CC}">
                <c16:uniqueId val="{00000001-98FA-465E-A028-7B86FA436EB4}"/>
              </c:ext>
            </c:extLst>
          </c:dPt>
          <c:dPt>
            <c:idx val="1"/>
            <c:bubble3D val="0"/>
            <c:spPr>
              <a:solidFill>
                <a:schemeClr val="accent1">
                  <a:lumMod val="50000"/>
                </a:schemeClr>
              </a:solidFill>
              <a:ln>
                <a:noFill/>
              </a:ln>
              <a:effectLst/>
            </c:spPr>
            <c:extLst>
              <c:ext xmlns:c16="http://schemas.microsoft.com/office/drawing/2014/chart" uri="{C3380CC4-5D6E-409C-BE32-E72D297353CC}">
                <c16:uniqueId val="{00000003-1FEC-4F9B-A5DA-70D86D349146}"/>
              </c:ext>
            </c:extLst>
          </c:dPt>
          <c:dPt>
            <c:idx val="2"/>
            <c:bubble3D val="0"/>
            <c:spPr>
              <a:solidFill>
                <a:schemeClr val="tx2">
                  <a:lumMod val="60000"/>
                  <a:lumOff val="40000"/>
                </a:schemeClr>
              </a:solidFill>
              <a:ln>
                <a:noFill/>
              </a:ln>
              <a:effectLst/>
            </c:spPr>
            <c:extLst>
              <c:ext xmlns:c16="http://schemas.microsoft.com/office/drawing/2014/chart" uri="{C3380CC4-5D6E-409C-BE32-E72D297353CC}">
                <c16:uniqueId val="{00000000-98FA-465E-A028-7B86FA436E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Data'!$F$13:$F$16</c:f>
              <c:strCache>
                <c:ptCount val="3"/>
                <c:pt idx="0">
                  <c:v>Furniture</c:v>
                </c:pt>
                <c:pt idx="1">
                  <c:v>Office Supplies</c:v>
                </c:pt>
                <c:pt idx="2">
                  <c:v>Technology</c:v>
                </c:pt>
              </c:strCache>
            </c:strRef>
          </c:cat>
          <c:val>
            <c:numRef>
              <c:f>'Pivot Data'!$G$13:$G$16</c:f>
              <c:numCache>
                <c:formatCode>0</c:formatCode>
                <c:ptCount val="3"/>
                <c:pt idx="0">
                  <c:v>1095216.6869250005</c:v>
                </c:pt>
                <c:pt idx="1">
                  <c:v>632393.82787500008</c:v>
                </c:pt>
                <c:pt idx="2">
                  <c:v>2344739.5683250027</c:v>
                </c:pt>
              </c:numCache>
            </c:numRef>
          </c:val>
          <c:extLst>
            <c:ext xmlns:c16="http://schemas.microsoft.com/office/drawing/2014/chart" uri="{C3380CC4-5D6E-409C-BE32-E72D297353CC}">
              <c16:uniqueId val="{00000000-F661-4D3B-A900-47321E7CE63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13591752187788866"/>
          <c:y val="0.14715597373433015"/>
          <c:w val="0.32616931596687143"/>
          <c:h val="0.2675799704724409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[Sales_performance_dashboard_PROJECT.xlsx]Pivot Data!PivotTable5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50000"/>
                  </a:schemeClr>
                </a:solidFill>
              </a:rPr>
              <a:t>SALES</a:t>
            </a:r>
            <a:r>
              <a:rPr lang="en-US" b="1" baseline="0">
                <a:solidFill>
                  <a:schemeClr val="accent1">
                    <a:lumMod val="50000"/>
                  </a:schemeClr>
                </a:solidFill>
              </a:rPr>
              <a: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529C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529C3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56849861672696"/>
          <c:y val="0.27481962481962491"/>
          <c:w val="0.80387294282471444"/>
          <c:h val="0.56501971344491031"/>
        </c:manualLayout>
      </c:layout>
      <c:barChart>
        <c:barDir val="bar"/>
        <c:grouping val="clustered"/>
        <c:varyColors val="0"/>
        <c:ser>
          <c:idx val="0"/>
          <c:order val="0"/>
          <c:tx>
            <c:strRef>
              <c:f>'Pivot Data'!$G$20</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Data'!$F$21:$F$28</c:f>
              <c:strCache>
                <c:ptCount val="7"/>
                <c:pt idx="0">
                  <c:v>Phone</c:v>
                </c:pt>
                <c:pt idx="1">
                  <c:v>Chair</c:v>
                </c:pt>
                <c:pt idx="2">
                  <c:v>Desk</c:v>
                </c:pt>
                <c:pt idx="3">
                  <c:v>Tablet</c:v>
                </c:pt>
                <c:pt idx="4">
                  <c:v>Monitor</c:v>
                </c:pt>
                <c:pt idx="5">
                  <c:v>Laptop</c:v>
                </c:pt>
                <c:pt idx="6">
                  <c:v>Printer</c:v>
                </c:pt>
              </c:strCache>
            </c:strRef>
          </c:cat>
          <c:val>
            <c:numRef>
              <c:f>'Pivot Data'!$G$21:$G$28</c:f>
              <c:numCache>
                <c:formatCode>0</c:formatCode>
                <c:ptCount val="7"/>
                <c:pt idx="0">
                  <c:v>74306.793150000012</c:v>
                </c:pt>
                <c:pt idx="1">
                  <c:v>87964.502799999987</c:v>
                </c:pt>
                <c:pt idx="2">
                  <c:v>88243.920275000026</c:v>
                </c:pt>
                <c:pt idx="3">
                  <c:v>96417.502875000078</c:v>
                </c:pt>
                <c:pt idx="4">
                  <c:v>98011.143625000026</c:v>
                </c:pt>
                <c:pt idx="5">
                  <c:v>99487.012025000018</c:v>
                </c:pt>
                <c:pt idx="6">
                  <c:v>111111.98212500004</c:v>
                </c:pt>
              </c:numCache>
            </c:numRef>
          </c:val>
          <c:extLst>
            <c:ext xmlns:c16="http://schemas.microsoft.com/office/drawing/2014/chart" uri="{C3380CC4-5D6E-409C-BE32-E72D297353CC}">
              <c16:uniqueId val="{00000000-DB20-41BB-98E5-765D76B4DD84}"/>
            </c:ext>
          </c:extLst>
        </c:ser>
        <c:dLbls>
          <c:dLblPos val="outEnd"/>
          <c:showLegendKey val="0"/>
          <c:showVal val="1"/>
          <c:showCatName val="0"/>
          <c:showSerName val="0"/>
          <c:showPercent val="0"/>
          <c:showBubbleSize val="0"/>
        </c:dLbls>
        <c:gapWidth val="182"/>
        <c:axId val="677169535"/>
        <c:axId val="677171935"/>
      </c:barChart>
      <c:catAx>
        <c:axId val="67716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7171935"/>
        <c:crosses val="autoZero"/>
        <c:auto val="1"/>
        <c:lblAlgn val="ctr"/>
        <c:lblOffset val="100"/>
        <c:noMultiLvlLbl val="0"/>
      </c:catAx>
      <c:valAx>
        <c:axId val="677171935"/>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77169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[Sales_performance_dashboard_PROJECT.xlsx]Pivot Data!PivotTable6</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PROFIT</a:t>
            </a:r>
            <a:r>
              <a:rPr lang="en-US" sz="1200" b="1" baseline="0">
                <a:solidFill>
                  <a:schemeClr val="tx1"/>
                </a:solidFill>
              </a:rPr>
              <a:t> BY DISCOUNT LEVEL</a:t>
            </a:r>
            <a:endParaRPr lang="en-US" sz="1200" b="1">
              <a:solidFill>
                <a:schemeClr val="tx1"/>
              </a:solidFill>
            </a:endParaRPr>
          </a:p>
        </c:rich>
      </c:tx>
      <c:layout>
        <c:manualLayout>
          <c:xMode val="edge"/>
          <c:yMode val="edge"/>
          <c:x val="0.21053339406954291"/>
          <c:y val="6.65471218931641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84083497827235"/>
          <c:y val="0.30176235561647913"/>
          <c:w val="0.78885264341957251"/>
          <c:h val="0.56958134139482564"/>
        </c:manualLayout>
      </c:layout>
      <c:barChart>
        <c:barDir val="col"/>
        <c:grouping val="clustered"/>
        <c:varyColors val="0"/>
        <c:ser>
          <c:idx val="0"/>
          <c:order val="0"/>
          <c:tx>
            <c:strRef>
              <c:f>'Pivot Data'!$K$3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Data'!$J$4:$J$7</c:f>
              <c:strCache>
                <c:ptCount val="3"/>
                <c:pt idx="0">
                  <c:v>No Discount</c:v>
                </c:pt>
                <c:pt idx="1">
                  <c:v>High</c:v>
                </c:pt>
                <c:pt idx="2">
                  <c:v>Medium</c:v>
                </c:pt>
              </c:strCache>
            </c:strRef>
          </c:cat>
          <c:val>
            <c:numRef>
              <c:f>'Pivot Data'!$K$4:$K$7</c:f>
              <c:numCache>
                <c:formatCode>0</c:formatCode>
                <c:ptCount val="3"/>
                <c:pt idx="0">
                  <c:v>0</c:v>
                </c:pt>
                <c:pt idx="1">
                  <c:v>312142.1703749997</c:v>
                </c:pt>
                <c:pt idx="2">
                  <c:v>343400.68649999972</c:v>
                </c:pt>
              </c:numCache>
            </c:numRef>
          </c:val>
          <c:extLst>
            <c:ext xmlns:c16="http://schemas.microsoft.com/office/drawing/2014/chart" uri="{C3380CC4-5D6E-409C-BE32-E72D297353CC}">
              <c16:uniqueId val="{00000000-3D9F-4D1F-B4A6-E0F911D0EEA9}"/>
            </c:ext>
          </c:extLst>
        </c:ser>
        <c:dLbls>
          <c:dLblPos val="outEnd"/>
          <c:showLegendKey val="0"/>
          <c:showVal val="1"/>
          <c:showCatName val="0"/>
          <c:showSerName val="0"/>
          <c:showPercent val="0"/>
          <c:showBubbleSize val="0"/>
        </c:dLbls>
        <c:gapWidth val="219"/>
        <c:overlap val="-27"/>
        <c:axId val="1210253807"/>
        <c:axId val="1210253327"/>
      </c:barChart>
      <c:catAx>
        <c:axId val="121025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0253327"/>
        <c:crosses val="autoZero"/>
        <c:auto val="1"/>
        <c:lblAlgn val="ctr"/>
        <c:lblOffset val="100"/>
        <c:noMultiLvlLbl val="0"/>
      </c:catAx>
      <c:valAx>
        <c:axId val="12102533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10253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[Sales_performance_dashboard_PROJECT.xlsx]Pivot Data!PivotTable2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TREND OVER TIME</a:t>
            </a:r>
            <a:endParaRPr lang="en-US" b="1">
              <a:solidFill>
                <a:schemeClr val="tx1"/>
              </a:solidFill>
            </a:endParaRPr>
          </a:p>
        </c:rich>
      </c:tx>
      <c:layout>
        <c:manualLayout>
          <c:xMode val="edge"/>
          <c:yMode val="edge"/>
          <c:x val="0.27765279340082488"/>
          <c:y val="3.59712230215827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Data'!$C$8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Data'!$A$9:$B$42</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2023</c:v>
                  </c:pt>
                  <c:pt idx="12">
                    <c:v>2024</c:v>
                  </c:pt>
                  <c:pt idx="24">
                    <c:v>2025</c:v>
                  </c:pt>
                </c:lvl>
              </c:multiLvlStrCache>
            </c:multiLvlStrRef>
          </c:cat>
          <c:val>
            <c:numRef>
              <c:f>'Pivot Data'!$C$9:$C$42</c:f>
              <c:numCache>
                <c:formatCode>0</c:formatCode>
                <c:ptCount val="30"/>
                <c:pt idx="0">
                  <c:v>145345.99154999998</c:v>
                </c:pt>
                <c:pt idx="1">
                  <c:v>131509.55609999999</c:v>
                </c:pt>
                <c:pt idx="2">
                  <c:v>188371.34564999992</c:v>
                </c:pt>
                <c:pt idx="3">
                  <c:v>139489.97107500004</c:v>
                </c:pt>
                <c:pt idx="4">
                  <c:v>108538.29172499999</c:v>
                </c:pt>
                <c:pt idx="5">
                  <c:v>126092.107925</c:v>
                </c:pt>
                <c:pt idx="6">
                  <c:v>131292.93309999999</c:v>
                </c:pt>
                <c:pt idx="7">
                  <c:v>149487.15747499999</c:v>
                </c:pt>
                <c:pt idx="8">
                  <c:v>141740.304175</c:v>
                </c:pt>
                <c:pt idx="9">
                  <c:v>72787.612174999987</c:v>
                </c:pt>
                <c:pt idx="10">
                  <c:v>134433.09484999996</c:v>
                </c:pt>
                <c:pt idx="11">
                  <c:v>111205.07777500003</c:v>
                </c:pt>
                <c:pt idx="12">
                  <c:v>161397.94932500002</c:v>
                </c:pt>
                <c:pt idx="13">
                  <c:v>126356.25892499997</c:v>
                </c:pt>
                <c:pt idx="14">
                  <c:v>131192.79657499999</c:v>
                </c:pt>
                <c:pt idx="15">
                  <c:v>153705.859425</c:v>
                </c:pt>
                <c:pt idx="16">
                  <c:v>123703.1088</c:v>
                </c:pt>
                <c:pt idx="17">
                  <c:v>150316.26015000002</c:v>
                </c:pt>
                <c:pt idx="18">
                  <c:v>129300.51087500004</c:v>
                </c:pt>
                <c:pt idx="19">
                  <c:v>120083.84050000001</c:v>
                </c:pt>
                <c:pt idx="20">
                  <c:v>121676.03392499997</c:v>
                </c:pt>
                <c:pt idx="21">
                  <c:v>165124.525375</c:v>
                </c:pt>
                <c:pt idx="22">
                  <c:v>130480.49039999998</c:v>
                </c:pt>
                <c:pt idx="23">
                  <c:v>134562.40502500001</c:v>
                </c:pt>
                <c:pt idx="24">
                  <c:v>161275.03110000002</c:v>
                </c:pt>
                <c:pt idx="25">
                  <c:v>125728.23625000002</c:v>
                </c:pt>
                <c:pt idx="26">
                  <c:v>170017.68324999994</c:v>
                </c:pt>
                <c:pt idx="27">
                  <c:v>120345.07712499997</c:v>
                </c:pt>
                <c:pt idx="28">
                  <c:v>139774.58215</c:v>
                </c:pt>
                <c:pt idx="29">
                  <c:v>127015.99037499998</c:v>
                </c:pt>
              </c:numCache>
            </c:numRef>
          </c:val>
          <c:smooth val="0"/>
          <c:extLst>
            <c:ext xmlns:c16="http://schemas.microsoft.com/office/drawing/2014/chart" uri="{C3380CC4-5D6E-409C-BE32-E72D297353CC}">
              <c16:uniqueId val="{00000000-82AC-4428-9064-9C4FCEC3C6CD}"/>
            </c:ext>
          </c:extLst>
        </c:ser>
        <c:dLbls>
          <c:showLegendKey val="0"/>
          <c:showVal val="0"/>
          <c:showCatName val="0"/>
          <c:showSerName val="0"/>
          <c:showPercent val="0"/>
          <c:showBubbleSize val="0"/>
        </c:dLbls>
        <c:marker val="1"/>
        <c:smooth val="0"/>
        <c:axId val="129323343"/>
        <c:axId val="129335343"/>
      </c:lineChart>
      <c:catAx>
        <c:axId val="1293233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335343"/>
        <c:crosses val="autoZero"/>
        <c:auto val="1"/>
        <c:lblAlgn val="ctr"/>
        <c:lblOffset val="100"/>
        <c:noMultiLvlLbl val="0"/>
      </c:catAx>
      <c:valAx>
        <c:axId val="12933534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9323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[Sales_performance_dashboard_PROJECT.xlsx]Pivot Data!PivotTable7</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2">
                    <a:lumMod val="75000"/>
                  </a:schemeClr>
                </a:solidFill>
              </a:rPr>
              <a:t>Sales</a:t>
            </a:r>
            <a:r>
              <a:rPr lang="en-IN" b="1" baseline="0">
                <a:solidFill>
                  <a:schemeClr val="tx2">
                    <a:lumMod val="75000"/>
                  </a:schemeClr>
                </a:solidFill>
              </a:rPr>
              <a:t> by Salesperson</a:t>
            </a:r>
            <a:endParaRPr lang="en-IN" b="1">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Data'!$K$9</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Data'!$J$10:$J$16</c:f>
              <c:strCache>
                <c:ptCount val="6"/>
                <c:pt idx="0">
                  <c:v>Diana</c:v>
                </c:pt>
                <c:pt idx="1">
                  <c:v>Eva</c:v>
                </c:pt>
                <c:pt idx="2">
                  <c:v>Carlos</c:v>
                </c:pt>
                <c:pt idx="3">
                  <c:v>Frank</c:v>
                </c:pt>
                <c:pt idx="4">
                  <c:v>Alice</c:v>
                </c:pt>
                <c:pt idx="5">
                  <c:v>Bob</c:v>
                </c:pt>
              </c:strCache>
            </c:strRef>
          </c:cat>
          <c:val>
            <c:numRef>
              <c:f>'Pivot Data'!$K$10:$K$16</c:f>
              <c:numCache>
                <c:formatCode>0</c:formatCode>
                <c:ptCount val="6"/>
                <c:pt idx="0">
                  <c:v>626990.01787500014</c:v>
                </c:pt>
                <c:pt idx="1">
                  <c:v>647454.24217500025</c:v>
                </c:pt>
                <c:pt idx="2">
                  <c:v>654539.59715000016</c:v>
                </c:pt>
                <c:pt idx="3">
                  <c:v>663561.7111999999</c:v>
                </c:pt>
                <c:pt idx="4">
                  <c:v>736279.12730000017</c:v>
                </c:pt>
                <c:pt idx="5">
                  <c:v>743525.3874249995</c:v>
                </c:pt>
              </c:numCache>
            </c:numRef>
          </c:val>
          <c:extLst>
            <c:ext xmlns:c16="http://schemas.microsoft.com/office/drawing/2014/chart" uri="{C3380CC4-5D6E-409C-BE32-E72D297353CC}">
              <c16:uniqueId val="{00000000-7AFD-4D70-93BF-705201BF8D17}"/>
            </c:ext>
          </c:extLst>
        </c:ser>
        <c:dLbls>
          <c:dLblPos val="outEnd"/>
          <c:showLegendKey val="0"/>
          <c:showVal val="1"/>
          <c:showCatName val="0"/>
          <c:showSerName val="0"/>
          <c:showPercent val="0"/>
          <c:showBubbleSize val="0"/>
        </c:dLbls>
        <c:gapWidth val="182"/>
        <c:axId val="1990097007"/>
        <c:axId val="1990092687"/>
      </c:barChart>
      <c:catAx>
        <c:axId val="1990097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990092687"/>
        <c:crosses val="autoZero"/>
        <c:auto val="1"/>
        <c:lblAlgn val="ctr"/>
        <c:lblOffset val="100"/>
        <c:noMultiLvlLbl val="0"/>
      </c:catAx>
      <c:valAx>
        <c:axId val="1990092687"/>
        <c:scaling>
          <c:orientation val="minMax"/>
        </c:scaling>
        <c:delete val="1"/>
        <c:axPos val="b"/>
        <c:numFmt formatCode="0" sourceLinked="1"/>
        <c:majorTickMark val="out"/>
        <c:minorTickMark val="none"/>
        <c:tickLblPos val="nextTo"/>
        <c:crossAx val="1990097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2.xml"/><Relationship Id="rId7" Type="http://schemas.openxmlformats.org/officeDocument/2006/relationships/image" Target="../media/image4.png"/><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image" Target="../media/image3.png"/><Relationship Id="rId11"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7.png"/><Relationship Id="rId4" Type="http://schemas.openxmlformats.org/officeDocument/2006/relationships/chart" Target="../charts/chart3.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85725</xdr:rowOff>
    </xdr:from>
    <xdr:to>
      <xdr:col>17</xdr:col>
      <xdr:colOff>60960</xdr:colOff>
      <xdr:row>2</xdr:row>
      <xdr:rowOff>76200</xdr:rowOff>
    </xdr:to>
    <xdr:sp macro="" textlink="">
      <xdr:nvSpPr>
        <xdr:cNvPr id="2" name="Rounded Rectangle 1">
          <a:extLst>
            <a:ext uri="{FF2B5EF4-FFF2-40B4-BE49-F238E27FC236}">
              <a16:creationId xmlns:a16="http://schemas.microsoft.com/office/drawing/2014/main" id="{967A4360-1E49-9D98-C511-7D59D5DFE7C7}"/>
            </a:ext>
          </a:extLst>
        </xdr:cNvPr>
        <xdr:cNvSpPr/>
      </xdr:nvSpPr>
      <xdr:spPr>
        <a:xfrm>
          <a:off x="66675" y="85725"/>
          <a:ext cx="9747885" cy="356235"/>
        </a:xfrm>
        <a:prstGeom prst="roundRect">
          <a:avLst/>
        </a:prstGeom>
        <a:solidFill>
          <a:schemeClr val="accent1">
            <a:lumMod val="50000"/>
          </a:schemeClr>
        </a:solidFill>
        <a:ln>
          <a:solidFill>
            <a:srgbClr val="08080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a:p>
      </xdr:txBody>
    </xdr:sp>
    <xdr:clientData/>
  </xdr:twoCellAnchor>
  <xdr:twoCellAnchor>
    <xdr:from>
      <xdr:col>4</xdr:col>
      <xdr:colOff>586740</xdr:colOff>
      <xdr:row>0</xdr:row>
      <xdr:rowOff>85725</xdr:rowOff>
    </xdr:from>
    <xdr:to>
      <xdr:col>11</xdr:col>
      <xdr:colOff>371475</xdr:colOff>
      <xdr:row>2</xdr:row>
      <xdr:rowOff>0</xdr:rowOff>
    </xdr:to>
    <xdr:sp macro="" textlink="">
      <xdr:nvSpPr>
        <xdr:cNvPr id="4" name="TextBox 3">
          <a:extLst>
            <a:ext uri="{FF2B5EF4-FFF2-40B4-BE49-F238E27FC236}">
              <a16:creationId xmlns:a16="http://schemas.microsoft.com/office/drawing/2014/main" id="{EF56A33A-CD5A-8FB3-1B13-C7EFDAE13E09}"/>
            </a:ext>
            <a:ext uri="{147F2762-F138-4A5C-976F-8EAC2B608ADB}">
              <a16:predDERef xmlns:a16="http://schemas.microsoft.com/office/drawing/2014/main" pred="{967A4360-1E49-9D98-C511-7D59D5DFE7C7}"/>
            </a:ext>
          </a:extLst>
        </xdr:cNvPr>
        <xdr:cNvSpPr txBox="1"/>
      </xdr:nvSpPr>
      <xdr:spPr>
        <a:xfrm>
          <a:off x="3025140" y="85725"/>
          <a:ext cx="4051935" cy="280035"/>
        </a:xfrm>
        <a:prstGeom prst="rect">
          <a:avLst/>
        </a:prstGeom>
        <a:solidFill>
          <a:schemeClr val="accent1">
            <a:lumMod val="50000"/>
          </a:schemeClr>
        </a:solidFill>
        <a:ln w="9525" cmpd="sng">
          <a:noFill/>
        </a:ln>
      </xdr:spPr>
      <xdr:txBody>
        <a:bodyPr spcFirstLastPara="0" vertOverflow="clip" horzOverflow="clip" wrap="square" lIns="91440" tIns="45720" rIns="91440" bIns="45720" rtlCol="0" anchor="ctr">
          <a:noAutofit/>
        </a:bodyPr>
        <a:lstStyle/>
        <a:p>
          <a:pPr marL="0" indent="0" algn="ctr"/>
          <a:r>
            <a:rPr lang="en-US" sz="1600" b="1">
              <a:solidFill>
                <a:schemeClr val="bg1"/>
              </a:solidFill>
              <a:latin typeface="+mn-lt"/>
              <a:ea typeface="+mn-lt"/>
              <a:cs typeface="+mn-lt"/>
            </a:rPr>
            <a:t>SALES PERFORMANCE DASHBOARD</a:t>
          </a:r>
        </a:p>
      </xdr:txBody>
    </xdr:sp>
    <xdr:clientData/>
  </xdr:twoCellAnchor>
  <xdr:twoCellAnchor>
    <xdr:from>
      <xdr:col>0</xdr:col>
      <xdr:colOff>-8420100</xdr:colOff>
      <xdr:row>0</xdr:row>
      <xdr:rowOff>-904875</xdr:rowOff>
    </xdr:from>
    <xdr:to>
      <xdr:col>0</xdr:col>
      <xdr:colOff>-8420100</xdr:colOff>
      <xdr:row>0</xdr:row>
      <xdr:rowOff>-904875</xdr:rowOff>
    </xdr:to>
    <xdr:sp macro="" textlink="">
      <xdr:nvSpPr>
        <xdr:cNvPr id="5" name="TextBox 4">
          <a:extLst>
            <a:ext uri="{FF2B5EF4-FFF2-40B4-BE49-F238E27FC236}">
              <a16:creationId xmlns:a16="http://schemas.microsoft.com/office/drawing/2014/main" id="{97279645-6ADA-479E-844C-0554F3242B0C}"/>
            </a:ext>
            <a:ext uri="{147F2762-F138-4A5C-976F-8EAC2B608ADB}">
              <a16:predDERef xmlns:a16="http://schemas.microsoft.com/office/drawing/2014/main" pred="{EF56A33A-CD5A-8FB3-1B13-C7EFDAE13E09}"/>
            </a:ext>
          </a:extLst>
        </xdr:cNvPr>
        <xdr:cNvSpPr txBox="1"/>
      </xdr:nvSpPr>
      <xdr:spPr>
        <a:xfrm>
          <a:off x="-8420100" y="-904875"/>
          <a:ext cx="0" cy="0"/>
        </a:xfrm>
        <a:prstGeom prst="rect">
          <a:avLst/>
        </a:prstGeom>
        <a:solidFill>
          <a:schemeClr val="lt1"/>
        </a:solidFill>
        <a:ln w="9525" cmpd="sng">
          <a:solidFill>
            <a:schemeClr val="lt1">
              <a:shade val="50000"/>
            </a:schemeClr>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endParaRPr lang="en-US"/>
        </a:p>
      </xdr:txBody>
    </xdr:sp>
    <xdr:clientData/>
  </xdr:twoCellAnchor>
  <xdr:twoCellAnchor>
    <xdr:from>
      <xdr:col>1</xdr:col>
      <xdr:colOff>603884</xdr:colOff>
      <xdr:row>2</xdr:row>
      <xdr:rowOff>118110</xdr:rowOff>
    </xdr:from>
    <xdr:to>
      <xdr:col>5</xdr:col>
      <xdr:colOff>274320</xdr:colOff>
      <xdr:row>6</xdr:row>
      <xdr:rowOff>175260</xdr:rowOff>
    </xdr:to>
    <xdr:sp macro="" textlink="">
      <xdr:nvSpPr>
        <xdr:cNvPr id="22" name="Rounded Rectangle 10">
          <a:extLst>
            <a:ext uri="{FF2B5EF4-FFF2-40B4-BE49-F238E27FC236}">
              <a16:creationId xmlns:a16="http://schemas.microsoft.com/office/drawing/2014/main" id="{88C2C6B2-BB39-4F8E-98A2-8FC703DAA9BD}"/>
            </a:ext>
            <a:ext uri="{147F2762-F138-4A5C-976F-8EAC2B608ADB}">
              <a16:predDERef xmlns:a16="http://schemas.microsoft.com/office/drawing/2014/main" pred="{DA4A2436-4089-4829-B0F0-72D59A93DF11}"/>
            </a:ext>
          </a:extLst>
        </xdr:cNvPr>
        <xdr:cNvSpPr/>
      </xdr:nvSpPr>
      <xdr:spPr>
        <a:xfrm>
          <a:off x="1213484" y="483870"/>
          <a:ext cx="2108836" cy="788670"/>
        </a:xfrm>
        <a:prstGeom prst="roundRect">
          <a:avLst/>
        </a:prstGeom>
        <a:solidFill>
          <a:schemeClr val="bg1"/>
        </a:solid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a:t>
          </a:r>
        </a:p>
      </xdr:txBody>
    </xdr:sp>
    <xdr:clientData/>
  </xdr:twoCellAnchor>
  <xdr:twoCellAnchor>
    <xdr:from>
      <xdr:col>2</xdr:col>
      <xdr:colOff>304800</xdr:colOff>
      <xdr:row>2</xdr:row>
      <xdr:rowOff>167640</xdr:rowOff>
    </xdr:from>
    <xdr:to>
      <xdr:col>5</xdr:col>
      <xdr:colOff>182880</xdr:colOff>
      <xdr:row>4</xdr:row>
      <xdr:rowOff>51435</xdr:rowOff>
    </xdr:to>
    <xdr:sp macro="" textlink="">
      <xdr:nvSpPr>
        <xdr:cNvPr id="14" name="TextBox 13">
          <a:extLst>
            <a:ext uri="{FF2B5EF4-FFF2-40B4-BE49-F238E27FC236}">
              <a16:creationId xmlns:a16="http://schemas.microsoft.com/office/drawing/2014/main" id="{AFC84BE0-CBA7-2D78-9175-761E83CBD91F}"/>
            </a:ext>
            <a:ext uri="{147F2762-F138-4A5C-976F-8EAC2B608ADB}">
              <a16:predDERef xmlns:a16="http://schemas.microsoft.com/office/drawing/2014/main" pred="{88C2C6B2-BB39-4F8E-98A2-8FC703DAA9BD}"/>
            </a:ext>
          </a:extLst>
        </xdr:cNvPr>
        <xdr:cNvSpPr txBox="1"/>
      </xdr:nvSpPr>
      <xdr:spPr>
        <a:xfrm>
          <a:off x="1524000" y="533400"/>
          <a:ext cx="1706880" cy="249555"/>
        </a:xfrm>
        <a:prstGeom prst="rect">
          <a:avLst/>
        </a:prstGeom>
        <a:noFill/>
        <a:ln w="9525" cmpd="sng">
          <a:noFill/>
        </a:ln>
      </xdr:spPr>
      <xdr:txBody>
        <a:bodyPr vertOverflow="clip" horzOverflow="clip" rtlCol="0" anchor="t"/>
        <a:lstStyle/>
        <a:p>
          <a:pPr marL="0" indent="0" algn="ctr"/>
          <a:r>
            <a:rPr lang="en-US" sz="1400" b="1">
              <a:solidFill>
                <a:schemeClr val="tx2"/>
              </a:solidFill>
              <a:latin typeface="+mn-lt"/>
              <a:ea typeface="+mn-lt"/>
              <a:cs typeface="+mn-lt"/>
            </a:rPr>
            <a:t>TOTAL SALES</a:t>
          </a:r>
        </a:p>
      </xdr:txBody>
    </xdr:sp>
    <xdr:clientData/>
  </xdr:twoCellAnchor>
  <xdr:twoCellAnchor editAs="oneCell">
    <xdr:from>
      <xdr:col>2</xdr:col>
      <xdr:colOff>127635</xdr:colOff>
      <xdr:row>3</xdr:row>
      <xdr:rowOff>64770</xdr:rowOff>
    </xdr:from>
    <xdr:to>
      <xdr:col>2</xdr:col>
      <xdr:colOff>604296</xdr:colOff>
      <xdr:row>6</xdr:row>
      <xdr:rowOff>30480</xdr:rowOff>
    </xdr:to>
    <xdr:pic>
      <xdr:nvPicPr>
        <xdr:cNvPr id="16" name="Picture 15">
          <a:extLst>
            <a:ext uri="{FF2B5EF4-FFF2-40B4-BE49-F238E27FC236}">
              <a16:creationId xmlns:a16="http://schemas.microsoft.com/office/drawing/2014/main" id="{E5E7D6A9-ABA5-6DCE-2AC5-A971D0A0A932}"/>
            </a:ext>
            <a:ext uri="{147F2762-F138-4A5C-976F-8EAC2B608ADB}">
              <a16:predDERef xmlns:a16="http://schemas.microsoft.com/office/drawing/2014/main" pred="{AFC84BE0-CBA7-2D78-9175-761E83CBD91F}"/>
            </a:ext>
          </a:extLst>
        </xdr:cNvPr>
        <xdr:cNvPicPr>
          <a:picLocks noChangeAspect="1"/>
        </xdr:cNvPicPr>
      </xdr:nvPicPr>
      <xdr:blipFill>
        <a:blip xmlns:r="http://schemas.openxmlformats.org/officeDocument/2006/relationships" r:embed="rId1"/>
        <a:stretch>
          <a:fillRect/>
        </a:stretch>
      </xdr:blipFill>
      <xdr:spPr>
        <a:xfrm>
          <a:off x="1346835" y="613410"/>
          <a:ext cx="476661" cy="514350"/>
        </a:xfrm>
        <a:prstGeom prst="rect">
          <a:avLst/>
        </a:prstGeom>
      </xdr:spPr>
    </xdr:pic>
    <xdr:clientData/>
  </xdr:twoCellAnchor>
  <xdr:twoCellAnchor>
    <xdr:from>
      <xdr:col>0</xdr:col>
      <xdr:colOff>38100</xdr:colOff>
      <xdr:row>2</xdr:row>
      <xdr:rowOff>87630</xdr:rowOff>
    </xdr:from>
    <xdr:to>
      <xdr:col>1</xdr:col>
      <xdr:colOff>561975</xdr:colOff>
      <xdr:row>34</xdr:row>
      <xdr:rowOff>83820</xdr:rowOff>
    </xdr:to>
    <xdr:sp macro="" textlink="">
      <xdr:nvSpPr>
        <xdr:cNvPr id="23" name="Rounded Rectangle 18">
          <a:extLst>
            <a:ext uri="{FF2B5EF4-FFF2-40B4-BE49-F238E27FC236}">
              <a16:creationId xmlns:a16="http://schemas.microsoft.com/office/drawing/2014/main" id="{43D854C0-CCA8-44AA-9C3A-B98985BD1E63}"/>
            </a:ext>
            <a:ext uri="{147F2762-F138-4A5C-976F-8EAC2B608ADB}">
              <a16:predDERef xmlns:a16="http://schemas.microsoft.com/office/drawing/2014/main" pred="{DFBE3532-19A8-42A6-9E70-19D852450B98}"/>
            </a:ext>
          </a:extLst>
        </xdr:cNvPr>
        <xdr:cNvSpPr/>
      </xdr:nvSpPr>
      <xdr:spPr>
        <a:xfrm>
          <a:off x="38100" y="453390"/>
          <a:ext cx="1133475" cy="5863590"/>
        </a:xfrm>
        <a:prstGeom prst="roundRect">
          <a:avLst/>
        </a:prstGeom>
        <a:solidFill>
          <a:schemeClr val="bg1"/>
        </a:solid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V</a:t>
          </a:r>
        </a:p>
      </xdr:txBody>
    </xdr:sp>
    <xdr:clientData/>
  </xdr:twoCellAnchor>
  <xdr:twoCellAnchor>
    <xdr:from>
      <xdr:col>1</xdr:col>
      <xdr:colOff>607695</xdr:colOff>
      <xdr:row>7</xdr:row>
      <xdr:rowOff>60960</xdr:rowOff>
    </xdr:from>
    <xdr:to>
      <xdr:col>8</xdr:col>
      <xdr:colOff>586740</xdr:colOff>
      <xdr:row>19</xdr:row>
      <xdr:rowOff>129540</xdr:rowOff>
    </xdr:to>
    <xdr:sp macro="" textlink="">
      <xdr:nvSpPr>
        <xdr:cNvPr id="15" name="Rounded Rectangle 23">
          <a:extLst>
            <a:ext uri="{FF2B5EF4-FFF2-40B4-BE49-F238E27FC236}">
              <a16:creationId xmlns:a16="http://schemas.microsoft.com/office/drawing/2014/main" id="{721F5FBD-41A0-4C5D-B594-305D5C97CE45}"/>
            </a:ext>
            <a:ext uri="{147F2762-F138-4A5C-976F-8EAC2B608ADB}">
              <a16:predDERef xmlns:a16="http://schemas.microsoft.com/office/drawing/2014/main" pred="{43D854C0-CCA8-44AA-9C3A-B98985BD1E63}"/>
            </a:ext>
          </a:extLst>
        </xdr:cNvPr>
        <xdr:cNvSpPr/>
      </xdr:nvSpPr>
      <xdr:spPr>
        <a:xfrm>
          <a:off x="1217295" y="1341120"/>
          <a:ext cx="4246245" cy="2263140"/>
        </a:xfrm>
        <a:prstGeom prst="roundRect">
          <a:avLst>
            <a:gd name="adj" fmla="val 7292"/>
          </a:avLst>
        </a:prstGeom>
        <a:solidFill>
          <a:schemeClr val="bg1"/>
        </a:solid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V</a:t>
          </a:r>
        </a:p>
      </xdr:txBody>
    </xdr:sp>
    <xdr:clientData/>
  </xdr:twoCellAnchor>
  <xdr:twoCellAnchor editAs="oneCell">
    <xdr:from>
      <xdr:col>0</xdr:col>
      <xdr:colOff>106680</xdr:colOff>
      <xdr:row>7</xdr:row>
      <xdr:rowOff>11430</xdr:rowOff>
    </xdr:from>
    <xdr:to>
      <xdr:col>1</xdr:col>
      <xdr:colOff>525779</xdr:colOff>
      <xdr:row>16</xdr:row>
      <xdr:rowOff>53340</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E665E17F-BBFB-4544-A691-21817BE061B7}"/>
                </a:ext>
                <a:ext uri="{147F2762-F138-4A5C-976F-8EAC2B608ADB}">
                  <a16:predDERef xmlns:a16="http://schemas.microsoft.com/office/drawing/2014/main" pred="{EC3204FE-A703-C32C-7BFC-EC50CDF96F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6680" y="1291590"/>
              <a:ext cx="1028699" cy="14592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259080</xdr:colOff>
      <xdr:row>2</xdr:row>
      <xdr:rowOff>175260</xdr:rowOff>
    </xdr:from>
    <xdr:to>
      <xdr:col>8</xdr:col>
      <xdr:colOff>556260</xdr:colOff>
      <xdr:row>4</xdr:row>
      <xdr:rowOff>144780</xdr:rowOff>
    </xdr:to>
    <xdr:sp macro="" textlink="">
      <xdr:nvSpPr>
        <xdr:cNvPr id="6" name="TextBox 5">
          <a:extLst>
            <a:ext uri="{FF2B5EF4-FFF2-40B4-BE49-F238E27FC236}">
              <a16:creationId xmlns:a16="http://schemas.microsoft.com/office/drawing/2014/main" id="{35B1B79D-13E1-4635-04D6-E031A5CDA27E}"/>
            </a:ext>
            <a:ext uri="{147F2762-F138-4A5C-976F-8EAC2B608ADB}">
              <a16:predDERef xmlns:a16="http://schemas.microsoft.com/office/drawing/2014/main" pred="{B22737D1-5391-8637-E11D-FC984CC536F7}"/>
            </a:ext>
          </a:extLst>
        </xdr:cNvPr>
        <xdr:cNvSpPr txBox="1"/>
      </xdr:nvSpPr>
      <xdr:spPr>
        <a:xfrm>
          <a:off x="3916680" y="541020"/>
          <a:ext cx="1516380" cy="335280"/>
        </a:xfrm>
        <a:prstGeom prst="rect">
          <a:avLst/>
        </a:prstGeom>
        <a:solidFill>
          <a:sysClr val="window" lastClr="FFFFFF"/>
        </a:solidFill>
        <a:ln w="9525" cmpd="sng">
          <a:noFill/>
        </a:ln>
      </xdr:spPr>
      <xdr:txBody>
        <a:bodyPr spcFirstLastPara="0" vertOverflow="clip" horzOverflow="clip" wrap="square" lIns="91440" tIns="45720" rIns="91440" bIns="45720" rtlCol="0" anchor="t">
          <a:noAutofit/>
        </a:bodyPr>
        <a:lstStyle/>
        <a:p>
          <a:pPr marL="0" indent="0" algn="l"/>
          <a:r>
            <a:rPr lang="en-US" sz="1400" b="1">
              <a:solidFill>
                <a:schemeClr val="accent1">
                  <a:lumMod val="75000"/>
                </a:schemeClr>
              </a:solidFill>
              <a:latin typeface="+mn-lt"/>
              <a:ea typeface="+mn-lt"/>
              <a:cs typeface="+mn-lt"/>
            </a:rPr>
            <a:t>TOTAL PROFIT</a:t>
          </a:r>
        </a:p>
      </xdr:txBody>
    </xdr:sp>
    <xdr:clientData/>
  </xdr:twoCellAnchor>
  <xdr:twoCellAnchor>
    <xdr:from>
      <xdr:col>3</xdr:col>
      <xdr:colOff>127000</xdr:colOff>
      <xdr:row>4</xdr:row>
      <xdr:rowOff>93134</xdr:rowOff>
    </xdr:from>
    <xdr:to>
      <xdr:col>4</xdr:col>
      <xdr:colOff>586740</xdr:colOff>
      <xdr:row>6</xdr:row>
      <xdr:rowOff>84667</xdr:rowOff>
    </xdr:to>
    <xdr:sp macro="" textlink="S33">
      <xdr:nvSpPr>
        <xdr:cNvPr id="8" name="TextBox 7">
          <a:extLst>
            <a:ext uri="{FF2B5EF4-FFF2-40B4-BE49-F238E27FC236}">
              <a16:creationId xmlns:a16="http://schemas.microsoft.com/office/drawing/2014/main" id="{7C8AA3CC-C4CA-4ABB-8643-22742353B969}"/>
            </a:ext>
            <a:ext uri="{147F2762-F138-4A5C-976F-8EAC2B608ADB}">
              <a16:predDERef xmlns:a16="http://schemas.microsoft.com/office/drawing/2014/main" pred="{A2927AA5-D183-4A20-B071-4DB98BE4F089}"/>
            </a:ext>
          </a:extLst>
        </xdr:cNvPr>
        <xdr:cNvSpPr txBox="1"/>
      </xdr:nvSpPr>
      <xdr:spPr>
        <a:xfrm>
          <a:off x="1955800" y="838201"/>
          <a:ext cx="1069340" cy="3640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AC97BC68-31AB-46DA-A955-D9FFB5D64276}" type="TxLink">
            <a:rPr lang="en-US" sz="1600" b="1" i="0" u="none" strike="noStrike">
              <a:solidFill>
                <a:srgbClr val="000000"/>
              </a:solidFill>
              <a:latin typeface="Calibri"/>
              <a:ea typeface="Calibri"/>
              <a:cs typeface="Calibri"/>
            </a:rPr>
            <a:pPr marL="0" indent="0" algn="l"/>
            <a:t>$4.07M</a:t>
          </a:fld>
          <a:endParaRPr lang="en-US" sz="1100">
            <a:latin typeface="+mn-lt"/>
            <a:ea typeface="+mn-lt"/>
            <a:cs typeface="+mn-lt"/>
          </a:endParaRPr>
        </a:p>
      </xdr:txBody>
    </xdr:sp>
    <xdr:clientData/>
  </xdr:twoCellAnchor>
  <xdr:twoCellAnchor>
    <xdr:from>
      <xdr:col>10</xdr:col>
      <xdr:colOff>7620</xdr:colOff>
      <xdr:row>2</xdr:row>
      <xdr:rowOff>167640</xdr:rowOff>
    </xdr:from>
    <xdr:to>
      <xdr:col>12</xdr:col>
      <xdr:colOff>510540</xdr:colOff>
      <xdr:row>4</xdr:row>
      <xdr:rowOff>137160</xdr:rowOff>
    </xdr:to>
    <xdr:sp macro="" textlink="">
      <xdr:nvSpPr>
        <xdr:cNvPr id="12" name="TextBox 11">
          <a:extLst>
            <a:ext uri="{FF2B5EF4-FFF2-40B4-BE49-F238E27FC236}">
              <a16:creationId xmlns:a16="http://schemas.microsoft.com/office/drawing/2014/main" id="{4D47AF9E-13EF-4D68-96FF-827B8546D80D}"/>
            </a:ext>
            <a:ext uri="{147F2762-F138-4A5C-976F-8EAC2B608ADB}">
              <a16:predDERef xmlns:a16="http://schemas.microsoft.com/office/drawing/2014/main" pred="{0432F8A3-D8B7-7447-D386-95136D8A89F2}"/>
            </a:ext>
          </a:extLst>
        </xdr:cNvPr>
        <xdr:cNvSpPr txBox="1"/>
      </xdr:nvSpPr>
      <xdr:spPr>
        <a:xfrm flipH="1">
          <a:off x="6103620" y="533400"/>
          <a:ext cx="1722120" cy="335280"/>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r>
            <a:rPr lang="en-US" sz="1400" b="1">
              <a:solidFill>
                <a:schemeClr val="accent1">
                  <a:lumMod val="75000"/>
                </a:schemeClr>
              </a:solidFill>
              <a:latin typeface="+mn-lt"/>
              <a:ea typeface="+mn-lt"/>
              <a:cs typeface="+mn-lt"/>
            </a:rPr>
            <a:t>TOTAL </a:t>
          </a:r>
          <a:r>
            <a:rPr lang="en-US" sz="1400" b="1" baseline="0">
              <a:solidFill>
                <a:schemeClr val="accent1">
                  <a:lumMod val="75000"/>
                </a:schemeClr>
              </a:solidFill>
              <a:latin typeface="+mn-lt"/>
              <a:ea typeface="+mn-lt"/>
              <a:cs typeface="+mn-lt"/>
            </a:rPr>
            <a:t>ORDERS</a:t>
          </a:r>
          <a:endParaRPr lang="en-US" sz="1400" b="1">
            <a:solidFill>
              <a:schemeClr val="accent1">
                <a:lumMod val="75000"/>
              </a:schemeClr>
            </a:solidFill>
            <a:latin typeface="+mn-lt"/>
            <a:ea typeface="+mn-lt"/>
            <a:cs typeface="+mn-lt"/>
          </a:endParaRPr>
        </a:p>
      </xdr:txBody>
    </xdr:sp>
    <xdr:clientData/>
  </xdr:twoCellAnchor>
  <xdr:twoCellAnchor>
    <xdr:from>
      <xdr:col>10</xdr:col>
      <xdr:colOff>254000</xdr:colOff>
      <xdr:row>4</xdr:row>
      <xdr:rowOff>53340</xdr:rowOff>
    </xdr:from>
    <xdr:to>
      <xdr:col>12</xdr:col>
      <xdr:colOff>7619</xdr:colOff>
      <xdr:row>5</xdr:row>
      <xdr:rowOff>167640</xdr:rowOff>
    </xdr:to>
    <xdr:sp macro="" textlink="T33">
      <xdr:nvSpPr>
        <xdr:cNvPr id="13" name="TextBox 12">
          <a:extLst>
            <a:ext uri="{FF2B5EF4-FFF2-40B4-BE49-F238E27FC236}">
              <a16:creationId xmlns:a16="http://schemas.microsoft.com/office/drawing/2014/main" id="{D103461A-41A3-44B3-93E1-063121CAD54F}"/>
            </a:ext>
            <a:ext uri="{147F2762-F138-4A5C-976F-8EAC2B608ADB}">
              <a16:predDERef xmlns:a16="http://schemas.microsoft.com/office/drawing/2014/main" pred="{4D47AF9E-13EF-4D68-96FF-827B8546D80D}"/>
            </a:ext>
          </a:extLst>
        </xdr:cNvPr>
        <xdr:cNvSpPr txBox="1"/>
      </xdr:nvSpPr>
      <xdr:spPr>
        <a:xfrm>
          <a:off x="6350000" y="798407"/>
          <a:ext cx="972819" cy="300566"/>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marL="0" indent="0" algn="l"/>
          <a:fld id="{3B401675-4BA2-4D11-BAF8-0C5196FF217B}" type="TxLink">
            <a:rPr lang="en-US" sz="1600" b="1" i="0" u="none" strike="noStrike">
              <a:solidFill>
                <a:srgbClr val="000000"/>
              </a:solidFill>
              <a:latin typeface="Calibri"/>
              <a:ea typeface="Calibri"/>
              <a:cs typeface="Calibri"/>
            </a:rPr>
            <a:pPr marL="0" indent="0" algn="l"/>
            <a:t>1500</a:t>
          </a:fld>
          <a:endParaRPr lang="en-US"/>
        </a:p>
      </xdr:txBody>
    </xdr:sp>
    <xdr:clientData/>
  </xdr:twoCellAnchor>
  <xdr:twoCellAnchor>
    <xdr:from>
      <xdr:col>6</xdr:col>
      <xdr:colOff>508000</xdr:colOff>
      <xdr:row>4</xdr:row>
      <xdr:rowOff>93133</xdr:rowOff>
    </xdr:from>
    <xdr:to>
      <xdr:col>8</xdr:col>
      <xdr:colOff>507999</xdr:colOff>
      <xdr:row>6</xdr:row>
      <xdr:rowOff>16933</xdr:rowOff>
    </xdr:to>
    <xdr:sp macro="" textlink="$S$34">
      <xdr:nvSpPr>
        <xdr:cNvPr id="19" name="TextBox 18">
          <a:extLst>
            <a:ext uri="{FF2B5EF4-FFF2-40B4-BE49-F238E27FC236}">
              <a16:creationId xmlns:a16="http://schemas.microsoft.com/office/drawing/2014/main" id="{9DA5206C-6C72-418F-AFC1-56F881F9AD22}"/>
            </a:ext>
            <a:ext uri="{147F2762-F138-4A5C-976F-8EAC2B608ADB}">
              <a16:predDERef xmlns:a16="http://schemas.microsoft.com/office/drawing/2014/main" pred="{D103461A-41A3-44B3-93E1-063121CAD54F}"/>
            </a:ext>
          </a:extLst>
        </xdr:cNvPr>
        <xdr:cNvSpPr txBox="1"/>
      </xdr:nvSpPr>
      <xdr:spPr>
        <a:xfrm>
          <a:off x="4165600" y="838200"/>
          <a:ext cx="1219199" cy="296333"/>
        </a:xfrm>
        <a:prstGeom prst="rect">
          <a:avLst/>
        </a:prstGeom>
        <a:noFill/>
        <a:ln w="9525" cmpd="sng">
          <a:noFill/>
        </a:ln>
      </xdr:spPr>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l"/>
          <a:fld id="{122461E9-EC68-4B4B-9E00-552C46499082}" type="TxLink">
            <a:rPr lang="en-US" sz="1600" b="1" i="0" u="none" strike="noStrike">
              <a:solidFill>
                <a:srgbClr val="000000"/>
              </a:solidFill>
              <a:latin typeface="Calibri"/>
              <a:ea typeface="Calibri"/>
              <a:cs typeface="Calibri"/>
            </a:rPr>
            <a:pPr marL="0" indent="0" algn="l"/>
            <a:t>$656K</a:t>
          </a:fld>
          <a:endParaRPr lang="en-US" sz="1100">
            <a:latin typeface="+mn-lt"/>
            <a:ea typeface="+mn-lt"/>
            <a:cs typeface="+mn-lt"/>
          </a:endParaRPr>
        </a:p>
      </xdr:txBody>
    </xdr:sp>
    <xdr:clientData/>
  </xdr:twoCellAnchor>
  <xdr:twoCellAnchor>
    <xdr:from>
      <xdr:col>1</xdr:col>
      <xdr:colOff>571500</xdr:colOff>
      <xdr:row>20</xdr:row>
      <xdr:rowOff>0</xdr:rowOff>
    </xdr:from>
    <xdr:to>
      <xdr:col>6</xdr:col>
      <xdr:colOff>213360</xdr:colOff>
      <xdr:row>30</xdr:row>
      <xdr:rowOff>160020</xdr:rowOff>
    </xdr:to>
    <xdr:sp macro="" textlink="">
      <xdr:nvSpPr>
        <xdr:cNvPr id="9" name="Rectangle: Rounded Corners 8">
          <a:extLst>
            <a:ext uri="{FF2B5EF4-FFF2-40B4-BE49-F238E27FC236}">
              <a16:creationId xmlns:a16="http://schemas.microsoft.com/office/drawing/2014/main" id="{8185EBF5-C54C-8DA1-6E1B-F40F5DB64B2B}"/>
            </a:ext>
          </a:extLst>
        </xdr:cNvPr>
        <xdr:cNvSpPr/>
      </xdr:nvSpPr>
      <xdr:spPr>
        <a:xfrm flipV="1">
          <a:off x="1181100" y="3657600"/>
          <a:ext cx="2689860" cy="2004060"/>
        </a:xfrm>
        <a:prstGeom prst="roundRect">
          <a:avLst>
            <a:gd name="adj" fmla="val 6160"/>
          </a:avLst>
        </a:prstGeom>
        <a:noFill/>
        <a:ln w="63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388620</xdr:colOff>
      <xdr:row>20</xdr:row>
      <xdr:rowOff>0</xdr:rowOff>
    </xdr:from>
    <xdr:to>
      <xdr:col>6</xdr:col>
      <xdr:colOff>182880</xdr:colOff>
      <xdr:row>33</xdr:row>
      <xdr:rowOff>45720</xdr:rowOff>
    </xdr:to>
    <xdr:graphicFrame macro="">
      <xdr:nvGraphicFramePr>
        <xdr:cNvPr id="17" name="Chart 16">
          <a:extLst>
            <a:ext uri="{FF2B5EF4-FFF2-40B4-BE49-F238E27FC236}">
              <a16:creationId xmlns:a16="http://schemas.microsoft.com/office/drawing/2014/main" id="{22BA2C7B-888C-4E15-887D-1640DFC0C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83820</xdr:colOff>
      <xdr:row>16</xdr:row>
      <xdr:rowOff>99060</xdr:rowOff>
    </xdr:from>
    <xdr:to>
      <xdr:col>1</xdr:col>
      <xdr:colOff>525780</xdr:colOff>
      <xdr:row>23</xdr:row>
      <xdr:rowOff>0</xdr:rowOff>
    </xdr:to>
    <mc:AlternateContent xmlns:mc="http://schemas.openxmlformats.org/markup-compatibility/2006" xmlns:a14="http://schemas.microsoft.com/office/drawing/2010/main">
      <mc:Choice Requires="a14">
        <xdr:graphicFrame macro="">
          <xdr:nvGraphicFramePr>
            <xdr:cNvPr id="26" name="Category 1">
              <a:extLst>
                <a:ext uri="{FF2B5EF4-FFF2-40B4-BE49-F238E27FC236}">
                  <a16:creationId xmlns:a16="http://schemas.microsoft.com/office/drawing/2014/main" id="{6B3EFF8C-069D-45BC-B724-8D7819C15A2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3820" y="3079327"/>
              <a:ext cx="1051560" cy="1204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76201</xdr:colOff>
      <xdr:row>23</xdr:row>
      <xdr:rowOff>68580</xdr:rowOff>
    </xdr:from>
    <xdr:to>
      <xdr:col>1</xdr:col>
      <xdr:colOff>502920</xdr:colOff>
      <xdr:row>33</xdr:row>
      <xdr:rowOff>82127</xdr:rowOff>
    </xdr:to>
    <mc:AlternateContent xmlns:mc="http://schemas.openxmlformats.org/markup-compatibility/2006" xmlns:a14="http://schemas.microsoft.com/office/drawing/2010/main">
      <mc:Choice Requires="a14">
        <xdr:graphicFrame macro="">
          <xdr:nvGraphicFramePr>
            <xdr:cNvPr id="27" name="Salesperson 1">
              <a:extLst>
                <a:ext uri="{FF2B5EF4-FFF2-40B4-BE49-F238E27FC236}">
                  <a16:creationId xmlns:a16="http://schemas.microsoft.com/office/drawing/2014/main" id="{D088E4BB-7034-40E3-A7B1-181A0F687954}"/>
                </a:ext>
                <a:ext uri="{147F2762-F138-4A5C-976F-8EAC2B608ADB}">
                  <a16:predDERef xmlns:a16="http://schemas.microsoft.com/office/drawing/2014/main" pred="{38C9B90B-F21C-C299-035C-F1CC2C834D85}"/>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mlns="">
        <xdr:sp macro="" textlink="">
          <xdr:nvSpPr>
            <xdr:cNvPr id="0" name=""/>
            <xdr:cNvSpPr>
              <a:spLocks noTextEdit="1"/>
            </xdr:cNvSpPr>
          </xdr:nvSpPr>
          <xdr:spPr>
            <a:xfrm>
              <a:off x="76201" y="4352713"/>
              <a:ext cx="1036319" cy="19778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38100</xdr:colOff>
      <xdr:row>7</xdr:row>
      <xdr:rowOff>76200</xdr:rowOff>
    </xdr:from>
    <xdr:to>
      <xdr:col>17</xdr:col>
      <xdr:colOff>91440</xdr:colOff>
      <xdr:row>19</xdr:row>
      <xdr:rowOff>129540</xdr:rowOff>
    </xdr:to>
    <xdr:sp macro="" textlink="">
      <xdr:nvSpPr>
        <xdr:cNvPr id="28" name="Rectangle: Rounded Corners 27">
          <a:extLst>
            <a:ext uri="{FF2B5EF4-FFF2-40B4-BE49-F238E27FC236}">
              <a16:creationId xmlns:a16="http://schemas.microsoft.com/office/drawing/2014/main" id="{452D3A58-2229-62F8-34D6-4752FB7B839B}"/>
            </a:ext>
          </a:extLst>
        </xdr:cNvPr>
        <xdr:cNvSpPr/>
      </xdr:nvSpPr>
      <xdr:spPr>
        <a:xfrm>
          <a:off x="5524500" y="1356360"/>
          <a:ext cx="4930140" cy="2247900"/>
        </a:xfrm>
        <a:prstGeom prst="roundRect">
          <a:avLst>
            <a:gd name="adj" fmla="val 4902"/>
          </a:avLst>
        </a:prstGeom>
        <a:noFill/>
        <a:ln w="0">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15240</xdr:colOff>
      <xdr:row>7</xdr:row>
      <xdr:rowOff>160020</xdr:rowOff>
    </xdr:from>
    <xdr:to>
      <xdr:col>17</xdr:col>
      <xdr:colOff>76200</xdr:colOff>
      <xdr:row>19</xdr:row>
      <xdr:rowOff>121920</xdr:rowOff>
    </xdr:to>
    <xdr:graphicFrame macro="">
      <xdr:nvGraphicFramePr>
        <xdr:cNvPr id="29" name="Chart 28">
          <a:extLst>
            <a:ext uri="{FF2B5EF4-FFF2-40B4-BE49-F238E27FC236}">
              <a16:creationId xmlns:a16="http://schemas.microsoft.com/office/drawing/2014/main" id="{22C2D294-B9B3-47C7-A927-20F8852C7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19</xdr:row>
      <xdr:rowOff>175260</xdr:rowOff>
    </xdr:from>
    <xdr:to>
      <xdr:col>10</xdr:col>
      <xdr:colOff>556260</xdr:colOff>
      <xdr:row>30</xdr:row>
      <xdr:rowOff>167640</xdr:rowOff>
    </xdr:to>
    <xdr:sp macro="" textlink="">
      <xdr:nvSpPr>
        <xdr:cNvPr id="30" name="Rectangle: Rounded Corners 29">
          <a:extLst>
            <a:ext uri="{FF2B5EF4-FFF2-40B4-BE49-F238E27FC236}">
              <a16:creationId xmlns:a16="http://schemas.microsoft.com/office/drawing/2014/main" id="{A3CC9254-44B0-D19E-35F1-A75C9C92F480}"/>
            </a:ext>
          </a:extLst>
        </xdr:cNvPr>
        <xdr:cNvSpPr/>
      </xdr:nvSpPr>
      <xdr:spPr>
        <a:xfrm>
          <a:off x="3924300" y="3649980"/>
          <a:ext cx="2727960" cy="2019300"/>
        </a:xfrm>
        <a:prstGeom prst="roundRect">
          <a:avLst>
            <a:gd name="adj" fmla="val 4932"/>
          </a:avLst>
        </a:prstGeom>
        <a:solidFill>
          <a:schemeClr val="bg1"/>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601132</xdr:colOff>
      <xdr:row>20</xdr:row>
      <xdr:rowOff>16934</xdr:rowOff>
    </xdr:from>
    <xdr:to>
      <xdr:col>17</xdr:col>
      <xdr:colOff>121919</xdr:colOff>
      <xdr:row>30</xdr:row>
      <xdr:rowOff>152400</xdr:rowOff>
    </xdr:to>
    <xdr:sp macro="" textlink="">
      <xdr:nvSpPr>
        <xdr:cNvPr id="32" name="Rectangle: Rounded Corners 31">
          <a:extLst>
            <a:ext uri="{FF2B5EF4-FFF2-40B4-BE49-F238E27FC236}">
              <a16:creationId xmlns:a16="http://schemas.microsoft.com/office/drawing/2014/main" id="{5E02EEA6-C26B-E17B-9AB4-7B7E280D8E14}"/>
            </a:ext>
          </a:extLst>
        </xdr:cNvPr>
        <xdr:cNvSpPr/>
      </xdr:nvSpPr>
      <xdr:spPr>
        <a:xfrm>
          <a:off x="6697132" y="3742267"/>
          <a:ext cx="3787987" cy="2006600"/>
        </a:xfrm>
        <a:prstGeom prst="roundRect">
          <a:avLst>
            <a:gd name="adj" fmla="val 3451"/>
          </a:avLst>
        </a:prstGeom>
        <a:solidFill>
          <a:schemeClr val="bg1"/>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327660</xdr:colOff>
      <xdr:row>19</xdr:row>
      <xdr:rowOff>137160</xdr:rowOff>
    </xdr:from>
    <xdr:to>
      <xdr:col>10</xdr:col>
      <xdr:colOff>510540</xdr:colOff>
      <xdr:row>31</xdr:row>
      <xdr:rowOff>22860</xdr:rowOff>
    </xdr:to>
    <xdr:graphicFrame macro="">
      <xdr:nvGraphicFramePr>
        <xdr:cNvPr id="33" name="Chart 32">
          <a:extLst>
            <a:ext uri="{FF2B5EF4-FFF2-40B4-BE49-F238E27FC236}">
              <a16:creationId xmlns:a16="http://schemas.microsoft.com/office/drawing/2014/main" id="{E66D1DBA-F8F6-4660-BD69-C9A6ACF8E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548640</xdr:colOff>
      <xdr:row>7</xdr:row>
      <xdr:rowOff>15240</xdr:rowOff>
    </xdr:from>
    <xdr:to>
      <xdr:col>8</xdr:col>
      <xdr:colOff>601980</xdr:colOff>
      <xdr:row>18</xdr:row>
      <xdr:rowOff>121920</xdr:rowOff>
    </xdr:to>
    <xdr:graphicFrame macro="">
      <xdr:nvGraphicFramePr>
        <xdr:cNvPr id="35" name="Chart 34">
          <a:extLst>
            <a:ext uri="{FF2B5EF4-FFF2-40B4-BE49-F238E27FC236}">
              <a16:creationId xmlns:a16="http://schemas.microsoft.com/office/drawing/2014/main" id="{0D6B73A1-33A4-4D5E-B5DD-17949C779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114300</xdr:colOff>
      <xdr:row>3</xdr:row>
      <xdr:rowOff>0</xdr:rowOff>
    </xdr:from>
    <xdr:to>
      <xdr:col>1</xdr:col>
      <xdr:colOff>495300</xdr:colOff>
      <xdr:row>6</xdr:row>
      <xdr:rowOff>106680</xdr:rowOff>
    </xdr:to>
    <xdr:sp macro="" textlink="">
      <xdr:nvSpPr>
        <xdr:cNvPr id="36" name="Rectangle: Rounded Corners 35">
          <a:extLst>
            <a:ext uri="{FF2B5EF4-FFF2-40B4-BE49-F238E27FC236}">
              <a16:creationId xmlns:a16="http://schemas.microsoft.com/office/drawing/2014/main" id="{5A320FD5-5D55-BC9D-1A7D-18E331163C8F}"/>
            </a:ext>
          </a:extLst>
        </xdr:cNvPr>
        <xdr:cNvSpPr/>
      </xdr:nvSpPr>
      <xdr:spPr>
        <a:xfrm>
          <a:off x="114300" y="548640"/>
          <a:ext cx="990600" cy="655320"/>
        </a:xfrm>
        <a:prstGeom prst="roundRect">
          <a:avLst/>
        </a:prstGeom>
        <a:solidFill>
          <a:schemeClr val="accent1">
            <a:lumMod val="60000"/>
            <a:lumOff val="40000"/>
          </a:schemeClr>
        </a:solidFill>
        <a:ln w="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198120</xdr:colOff>
      <xdr:row>3</xdr:row>
      <xdr:rowOff>53340</xdr:rowOff>
    </xdr:from>
    <xdr:to>
      <xdr:col>1</xdr:col>
      <xdr:colOff>411480</xdr:colOff>
      <xdr:row>4</xdr:row>
      <xdr:rowOff>114300</xdr:rowOff>
    </xdr:to>
    <xdr:sp macro="" textlink="">
      <xdr:nvSpPr>
        <xdr:cNvPr id="37" name="TextBox 36">
          <a:extLst>
            <a:ext uri="{FF2B5EF4-FFF2-40B4-BE49-F238E27FC236}">
              <a16:creationId xmlns:a16="http://schemas.microsoft.com/office/drawing/2014/main" id="{B6D80665-4AA3-1F47-1B64-3DE672A9CE15}"/>
            </a:ext>
          </a:extLst>
        </xdr:cNvPr>
        <xdr:cNvSpPr txBox="1"/>
      </xdr:nvSpPr>
      <xdr:spPr>
        <a:xfrm>
          <a:off x="198120" y="601980"/>
          <a:ext cx="8229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solidFill>
                <a:schemeClr val="tx1"/>
              </a:solidFill>
            </a:rPr>
            <a:t>FILTERS</a:t>
          </a:r>
        </a:p>
      </xdr:txBody>
    </xdr:sp>
    <xdr:clientData/>
  </xdr:twoCellAnchor>
  <xdr:twoCellAnchor editAs="oneCell">
    <xdr:from>
      <xdr:col>0</xdr:col>
      <xdr:colOff>396240</xdr:colOff>
      <xdr:row>4</xdr:row>
      <xdr:rowOff>99060</xdr:rowOff>
    </xdr:from>
    <xdr:to>
      <xdr:col>1</xdr:col>
      <xdr:colOff>121920</xdr:colOff>
      <xdr:row>6</xdr:row>
      <xdr:rowOff>68580</xdr:rowOff>
    </xdr:to>
    <xdr:pic>
      <xdr:nvPicPr>
        <xdr:cNvPr id="38" name="Picture 37">
          <a:extLst>
            <a:ext uri="{FF2B5EF4-FFF2-40B4-BE49-F238E27FC236}">
              <a16:creationId xmlns:a16="http://schemas.microsoft.com/office/drawing/2014/main" id="{3ADD884C-D7D6-7485-5A3A-9E371B4D662D}"/>
            </a:ext>
          </a:extLst>
        </xdr:cNvPr>
        <xdr:cNvPicPr>
          <a:picLocks noChangeAspect="1"/>
        </xdr:cNvPicPr>
      </xdr:nvPicPr>
      <xdr:blipFill>
        <a:blip xmlns:r="http://schemas.openxmlformats.org/officeDocument/2006/relationships" r:embed="rId6"/>
        <a:stretch>
          <a:fillRect/>
        </a:stretch>
      </xdr:blipFill>
      <xdr:spPr>
        <a:xfrm>
          <a:off x="396240" y="830580"/>
          <a:ext cx="335280" cy="335280"/>
        </a:xfrm>
        <a:prstGeom prst="rect">
          <a:avLst/>
        </a:prstGeom>
        <a:solidFill>
          <a:schemeClr val="tx2">
            <a:lumMod val="40000"/>
            <a:lumOff val="60000"/>
          </a:schemeClr>
        </a:solidFill>
      </xdr:spPr>
    </xdr:pic>
    <xdr:clientData/>
  </xdr:twoCellAnchor>
  <xdr:twoCellAnchor>
    <xdr:from>
      <xdr:col>5</xdr:col>
      <xdr:colOff>321944</xdr:colOff>
      <xdr:row>2</xdr:row>
      <xdr:rowOff>110490</xdr:rowOff>
    </xdr:from>
    <xdr:to>
      <xdr:col>8</xdr:col>
      <xdr:colOff>601980</xdr:colOff>
      <xdr:row>6</xdr:row>
      <xdr:rowOff>167640</xdr:rowOff>
    </xdr:to>
    <xdr:sp macro="" textlink="">
      <xdr:nvSpPr>
        <xdr:cNvPr id="24" name="Rounded Rectangle 10">
          <a:extLst>
            <a:ext uri="{FF2B5EF4-FFF2-40B4-BE49-F238E27FC236}">
              <a16:creationId xmlns:a16="http://schemas.microsoft.com/office/drawing/2014/main" id="{B5633DE6-7276-4855-9E14-497C5D399FD0}"/>
            </a:ext>
            <a:ext uri="{147F2762-F138-4A5C-976F-8EAC2B608ADB}">
              <a16:predDERef xmlns:a16="http://schemas.microsoft.com/office/drawing/2014/main" pred="{DA4A2436-4089-4829-B0F0-72D59A93DF11}"/>
            </a:ext>
          </a:extLst>
        </xdr:cNvPr>
        <xdr:cNvSpPr/>
      </xdr:nvSpPr>
      <xdr:spPr>
        <a:xfrm>
          <a:off x="3369944" y="476250"/>
          <a:ext cx="2108836" cy="788670"/>
        </a:xfrm>
        <a:prstGeom prst="roundRect">
          <a:avLst/>
        </a:prstGeom>
        <a:no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a:t>
          </a:r>
        </a:p>
      </xdr:txBody>
    </xdr:sp>
    <xdr:clientData/>
  </xdr:twoCellAnchor>
  <xdr:twoCellAnchor>
    <xdr:from>
      <xdr:col>12</xdr:col>
      <xdr:colOff>360044</xdr:colOff>
      <xdr:row>2</xdr:row>
      <xdr:rowOff>118110</xdr:rowOff>
    </xdr:from>
    <xdr:to>
      <xdr:col>17</xdr:col>
      <xdr:colOff>91440</xdr:colOff>
      <xdr:row>6</xdr:row>
      <xdr:rowOff>175260</xdr:rowOff>
    </xdr:to>
    <xdr:sp macro="" textlink="">
      <xdr:nvSpPr>
        <xdr:cNvPr id="31" name="Rounded Rectangle 10">
          <a:extLst>
            <a:ext uri="{FF2B5EF4-FFF2-40B4-BE49-F238E27FC236}">
              <a16:creationId xmlns:a16="http://schemas.microsoft.com/office/drawing/2014/main" id="{C95D6746-BB83-488C-AAA0-FA8EC4A8AF1C}"/>
            </a:ext>
            <a:ext uri="{147F2762-F138-4A5C-976F-8EAC2B608ADB}">
              <a16:predDERef xmlns:a16="http://schemas.microsoft.com/office/drawing/2014/main" pred="{DA4A2436-4089-4829-B0F0-72D59A93DF11}"/>
            </a:ext>
          </a:extLst>
        </xdr:cNvPr>
        <xdr:cNvSpPr/>
      </xdr:nvSpPr>
      <xdr:spPr>
        <a:xfrm>
          <a:off x="7675244" y="483870"/>
          <a:ext cx="2779396" cy="788670"/>
        </a:xfrm>
        <a:prstGeom prst="roundRect">
          <a:avLst/>
        </a:prstGeom>
        <a:no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a:t>
          </a:r>
        </a:p>
      </xdr:txBody>
    </xdr:sp>
    <xdr:clientData/>
  </xdr:twoCellAnchor>
  <xdr:twoCellAnchor>
    <xdr:from>
      <xdr:col>9</xdr:col>
      <xdr:colOff>40004</xdr:colOff>
      <xdr:row>2</xdr:row>
      <xdr:rowOff>125730</xdr:rowOff>
    </xdr:from>
    <xdr:to>
      <xdr:col>12</xdr:col>
      <xdr:colOff>320040</xdr:colOff>
      <xdr:row>7</xdr:row>
      <xdr:rowOff>0</xdr:rowOff>
    </xdr:to>
    <xdr:sp macro="" textlink="">
      <xdr:nvSpPr>
        <xdr:cNvPr id="39" name="Rounded Rectangle 10">
          <a:extLst>
            <a:ext uri="{FF2B5EF4-FFF2-40B4-BE49-F238E27FC236}">
              <a16:creationId xmlns:a16="http://schemas.microsoft.com/office/drawing/2014/main" id="{1EEC3B96-F0CB-4288-B89A-471F0FE9F1EC}"/>
            </a:ext>
            <a:ext uri="{147F2762-F138-4A5C-976F-8EAC2B608ADB}">
              <a16:predDERef xmlns:a16="http://schemas.microsoft.com/office/drawing/2014/main" pred="{DA4A2436-4089-4829-B0F0-72D59A93DF11}"/>
            </a:ext>
          </a:extLst>
        </xdr:cNvPr>
        <xdr:cNvSpPr/>
      </xdr:nvSpPr>
      <xdr:spPr>
        <a:xfrm>
          <a:off x="5526404" y="491490"/>
          <a:ext cx="2108836" cy="788670"/>
        </a:xfrm>
        <a:prstGeom prst="roundRect">
          <a:avLst/>
        </a:prstGeom>
        <a:noFill/>
        <a:ln w="3175">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100">
              <a:solidFill>
                <a:schemeClr val="lt1"/>
              </a:solidFill>
              <a:latin typeface="+mn-lt"/>
              <a:ea typeface="+mn-lt"/>
              <a:cs typeface="+mn-lt"/>
            </a:rPr>
            <a:t>=</a:t>
          </a:r>
        </a:p>
      </xdr:txBody>
    </xdr:sp>
    <xdr:clientData/>
  </xdr:twoCellAnchor>
  <xdr:twoCellAnchor>
    <xdr:from>
      <xdr:col>13</xdr:col>
      <xdr:colOff>426720</xdr:colOff>
      <xdr:row>2</xdr:row>
      <xdr:rowOff>129540</xdr:rowOff>
    </xdr:from>
    <xdr:to>
      <xdr:col>16</xdr:col>
      <xdr:colOff>160020</xdr:colOff>
      <xdr:row>4</xdr:row>
      <xdr:rowOff>144780</xdr:rowOff>
    </xdr:to>
    <xdr:sp macro="" textlink="">
      <xdr:nvSpPr>
        <xdr:cNvPr id="3" name="TextBox 2">
          <a:extLst>
            <a:ext uri="{FF2B5EF4-FFF2-40B4-BE49-F238E27FC236}">
              <a16:creationId xmlns:a16="http://schemas.microsoft.com/office/drawing/2014/main" id="{74DE03BA-6297-E652-2394-9341CB8A8C56}"/>
            </a:ext>
          </a:extLst>
        </xdr:cNvPr>
        <xdr:cNvSpPr txBox="1"/>
      </xdr:nvSpPr>
      <xdr:spPr>
        <a:xfrm>
          <a:off x="8351520" y="495300"/>
          <a:ext cx="15621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lumMod val="75000"/>
                </a:schemeClr>
              </a:solidFill>
            </a:rPr>
            <a:t>Profit Margin</a:t>
          </a:r>
        </a:p>
      </xdr:txBody>
    </xdr:sp>
    <xdr:clientData/>
  </xdr:twoCellAnchor>
  <xdr:twoCellAnchor>
    <xdr:from>
      <xdr:col>14</xdr:col>
      <xdr:colOff>45719</xdr:colOff>
      <xdr:row>4</xdr:row>
      <xdr:rowOff>30479</xdr:rowOff>
    </xdr:from>
    <xdr:to>
      <xdr:col>15</xdr:col>
      <xdr:colOff>338666</xdr:colOff>
      <xdr:row>6</xdr:row>
      <xdr:rowOff>25399</xdr:rowOff>
    </xdr:to>
    <xdr:sp macro="" textlink="'Pivot Data'!D4">
      <xdr:nvSpPr>
        <xdr:cNvPr id="10" name="TextBox 9">
          <a:extLst>
            <a:ext uri="{FF2B5EF4-FFF2-40B4-BE49-F238E27FC236}">
              <a16:creationId xmlns:a16="http://schemas.microsoft.com/office/drawing/2014/main" id="{ADEA1303-656A-C699-A939-FB7201ACE001}"/>
            </a:ext>
          </a:extLst>
        </xdr:cNvPr>
        <xdr:cNvSpPr txBox="1"/>
      </xdr:nvSpPr>
      <xdr:spPr>
        <a:xfrm>
          <a:off x="8580119" y="775546"/>
          <a:ext cx="902547" cy="367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33866</xdr:colOff>
      <xdr:row>4</xdr:row>
      <xdr:rowOff>76200</xdr:rowOff>
    </xdr:from>
    <xdr:to>
      <xdr:col>15</xdr:col>
      <xdr:colOff>274319</xdr:colOff>
      <xdr:row>6</xdr:row>
      <xdr:rowOff>50800</xdr:rowOff>
    </xdr:to>
    <xdr:sp macro="" textlink="S39">
      <xdr:nvSpPr>
        <xdr:cNvPr id="11" name="TextBox 10">
          <a:extLst>
            <a:ext uri="{FF2B5EF4-FFF2-40B4-BE49-F238E27FC236}">
              <a16:creationId xmlns:a16="http://schemas.microsoft.com/office/drawing/2014/main" id="{8878F54B-212D-FE14-2546-4FD05C2B41A7}"/>
            </a:ext>
          </a:extLst>
        </xdr:cNvPr>
        <xdr:cNvSpPr txBox="1"/>
      </xdr:nvSpPr>
      <xdr:spPr>
        <a:xfrm>
          <a:off x="8568266" y="821267"/>
          <a:ext cx="850053" cy="3471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94A43EC-5DA2-4908-A6BB-8F28AD59D7F4}" type="TxLink">
            <a:rPr lang="en-US" sz="1600" b="1" i="0" u="none" strike="noStrike">
              <a:solidFill>
                <a:srgbClr val="000000"/>
              </a:solidFill>
              <a:latin typeface="Calibri"/>
              <a:ea typeface="Calibri"/>
              <a:cs typeface="Calibri"/>
            </a:rPr>
            <a:pPr/>
            <a:t>16.10%</a:t>
          </a:fld>
          <a:endParaRPr lang="en-IN" sz="1100"/>
        </a:p>
      </xdr:txBody>
    </xdr:sp>
    <xdr:clientData/>
  </xdr:twoCellAnchor>
  <xdr:twoCellAnchor editAs="oneCell">
    <xdr:from>
      <xdr:col>5</xdr:col>
      <xdr:colOff>426720</xdr:colOff>
      <xdr:row>3</xdr:row>
      <xdr:rowOff>60960</xdr:rowOff>
    </xdr:from>
    <xdr:to>
      <xdr:col>6</xdr:col>
      <xdr:colOff>259080</xdr:colOff>
      <xdr:row>5</xdr:row>
      <xdr:rowOff>114300</xdr:rowOff>
    </xdr:to>
    <xdr:pic>
      <xdr:nvPicPr>
        <xdr:cNvPr id="18" name="Picture 17">
          <a:extLst>
            <a:ext uri="{FF2B5EF4-FFF2-40B4-BE49-F238E27FC236}">
              <a16:creationId xmlns:a16="http://schemas.microsoft.com/office/drawing/2014/main" id="{9BA97955-FC62-5D8D-55E0-1778895A0826}"/>
            </a:ext>
          </a:extLst>
        </xdr:cNvPr>
        <xdr:cNvPicPr>
          <a:picLocks noChangeAspect="1"/>
        </xdr:cNvPicPr>
      </xdr:nvPicPr>
      <xdr:blipFill>
        <a:blip xmlns:r="http://schemas.openxmlformats.org/officeDocument/2006/relationships" r:embed="rId7"/>
        <a:stretch>
          <a:fillRect/>
        </a:stretch>
      </xdr:blipFill>
      <xdr:spPr>
        <a:xfrm>
          <a:off x="3474720" y="609600"/>
          <a:ext cx="441960" cy="419100"/>
        </a:xfrm>
        <a:prstGeom prst="rect">
          <a:avLst/>
        </a:prstGeom>
      </xdr:spPr>
    </xdr:pic>
    <xdr:clientData/>
  </xdr:twoCellAnchor>
  <xdr:twoCellAnchor editAs="oneCell">
    <xdr:from>
      <xdr:col>9</xdr:col>
      <xdr:colOff>152400</xdr:colOff>
      <xdr:row>3</xdr:row>
      <xdr:rowOff>60960</xdr:rowOff>
    </xdr:from>
    <xdr:to>
      <xdr:col>10</xdr:col>
      <xdr:colOff>0</xdr:colOff>
      <xdr:row>5</xdr:row>
      <xdr:rowOff>152400</xdr:rowOff>
    </xdr:to>
    <xdr:pic>
      <xdr:nvPicPr>
        <xdr:cNvPr id="21" name="Picture 20">
          <a:extLst>
            <a:ext uri="{FF2B5EF4-FFF2-40B4-BE49-F238E27FC236}">
              <a16:creationId xmlns:a16="http://schemas.microsoft.com/office/drawing/2014/main" id="{90993E1A-494F-EA02-9C60-EFD033EB9B6C}"/>
            </a:ext>
          </a:extLst>
        </xdr:cNvPr>
        <xdr:cNvPicPr>
          <a:picLocks noChangeAspect="1"/>
        </xdr:cNvPicPr>
      </xdr:nvPicPr>
      <xdr:blipFill>
        <a:blip xmlns:r="http://schemas.openxmlformats.org/officeDocument/2006/relationships" r:embed="rId8"/>
        <a:stretch>
          <a:fillRect/>
        </a:stretch>
      </xdr:blipFill>
      <xdr:spPr>
        <a:xfrm>
          <a:off x="5638800" y="609600"/>
          <a:ext cx="457200" cy="457200"/>
        </a:xfrm>
        <a:prstGeom prst="rect">
          <a:avLst/>
        </a:prstGeom>
      </xdr:spPr>
    </xdr:pic>
    <xdr:clientData/>
  </xdr:twoCellAnchor>
  <xdr:twoCellAnchor editAs="oneCell">
    <xdr:from>
      <xdr:col>12</xdr:col>
      <xdr:colOff>533400</xdr:colOff>
      <xdr:row>3</xdr:row>
      <xdr:rowOff>83820</xdr:rowOff>
    </xdr:from>
    <xdr:to>
      <xdr:col>13</xdr:col>
      <xdr:colOff>350520</xdr:colOff>
      <xdr:row>5</xdr:row>
      <xdr:rowOff>144780</xdr:rowOff>
    </xdr:to>
    <xdr:pic>
      <xdr:nvPicPr>
        <xdr:cNvPr id="40" name="Picture 39">
          <a:extLst>
            <a:ext uri="{FF2B5EF4-FFF2-40B4-BE49-F238E27FC236}">
              <a16:creationId xmlns:a16="http://schemas.microsoft.com/office/drawing/2014/main" id="{9EECF258-3498-5F30-B6B8-72C5853856AA}"/>
            </a:ext>
          </a:extLst>
        </xdr:cNvPr>
        <xdr:cNvPicPr>
          <a:picLocks noChangeAspect="1"/>
        </xdr:cNvPicPr>
      </xdr:nvPicPr>
      <xdr:blipFill>
        <a:blip xmlns:r="http://schemas.openxmlformats.org/officeDocument/2006/relationships" r:embed="rId9"/>
        <a:stretch>
          <a:fillRect/>
        </a:stretch>
      </xdr:blipFill>
      <xdr:spPr>
        <a:xfrm>
          <a:off x="7848600" y="632460"/>
          <a:ext cx="426720" cy="426720"/>
        </a:xfrm>
        <a:prstGeom prst="rect">
          <a:avLst/>
        </a:prstGeom>
      </xdr:spPr>
    </xdr:pic>
    <xdr:clientData/>
  </xdr:twoCellAnchor>
  <xdr:twoCellAnchor>
    <xdr:from>
      <xdr:col>1</xdr:col>
      <xdr:colOff>579119</xdr:colOff>
      <xdr:row>31</xdr:row>
      <xdr:rowOff>7620</xdr:rowOff>
    </xdr:from>
    <xdr:to>
      <xdr:col>17</xdr:col>
      <xdr:colOff>118532</xdr:colOff>
      <xdr:row>34</xdr:row>
      <xdr:rowOff>67734</xdr:rowOff>
    </xdr:to>
    <xdr:sp macro="" textlink="">
      <xdr:nvSpPr>
        <xdr:cNvPr id="42" name="Rectangle: Rounded Corners 41">
          <a:extLst>
            <a:ext uri="{FF2B5EF4-FFF2-40B4-BE49-F238E27FC236}">
              <a16:creationId xmlns:a16="http://schemas.microsoft.com/office/drawing/2014/main" id="{3445B4F6-CA0E-F355-C8CC-D4A86003F14C}"/>
            </a:ext>
          </a:extLst>
        </xdr:cNvPr>
        <xdr:cNvSpPr/>
      </xdr:nvSpPr>
      <xdr:spPr>
        <a:xfrm>
          <a:off x="1188719" y="5790353"/>
          <a:ext cx="9293013" cy="618914"/>
        </a:xfrm>
        <a:prstGeom prst="roundRect">
          <a:avLst>
            <a:gd name="adj" fmla="val 10303"/>
          </a:avLst>
        </a:prstGeom>
        <a:solidFill>
          <a:schemeClr val="accent1">
            <a:lumMod val="20000"/>
            <a:lumOff val="80000"/>
          </a:schemeClr>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579120</xdr:colOff>
      <xdr:row>31</xdr:row>
      <xdr:rowOff>30480</xdr:rowOff>
    </xdr:from>
    <xdr:to>
      <xdr:col>4</xdr:col>
      <xdr:colOff>297180</xdr:colOff>
      <xdr:row>34</xdr:row>
      <xdr:rowOff>60960</xdr:rowOff>
    </xdr:to>
    <xdr:sp macro="" textlink="">
      <xdr:nvSpPr>
        <xdr:cNvPr id="44" name="Rectangle: Rounded Corners 43">
          <a:extLst>
            <a:ext uri="{FF2B5EF4-FFF2-40B4-BE49-F238E27FC236}">
              <a16:creationId xmlns:a16="http://schemas.microsoft.com/office/drawing/2014/main" id="{101F6F76-C0E0-5311-6740-C7CD24B1494D}"/>
            </a:ext>
          </a:extLst>
        </xdr:cNvPr>
        <xdr:cNvSpPr/>
      </xdr:nvSpPr>
      <xdr:spPr>
        <a:xfrm>
          <a:off x="1188720" y="5715000"/>
          <a:ext cx="1546860" cy="579120"/>
        </a:xfrm>
        <a:prstGeom prst="roundRect">
          <a:avLst/>
        </a:prstGeom>
        <a:solidFill>
          <a:schemeClr val="tx2">
            <a:lumMod val="50000"/>
          </a:schemeClr>
        </a:solidFill>
        <a:ln w="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350520</xdr:colOff>
      <xdr:row>31</xdr:row>
      <xdr:rowOff>175260</xdr:rowOff>
    </xdr:from>
    <xdr:to>
      <xdr:col>4</xdr:col>
      <xdr:colOff>220980</xdr:colOff>
      <xdr:row>33</xdr:row>
      <xdr:rowOff>114300</xdr:rowOff>
    </xdr:to>
    <xdr:sp macro="" textlink="">
      <xdr:nvSpPr>
        <xdr:cNvPr id="45" name="TextBox 44">
          <a:extLst>
            <a:ext uri="{FF2B5EF4-FFF2-40B4-BE49-F238E27FC236}">
              <a16:creationId xmlns:a16="http://schemas.microsoft.com/office/drawing/2014/main" id="{9418F729-1CFD-6AC8-3F97-DBE3B275FEA8}"/>
            </a:ext>
          </a:extLst>
        </xdr:cNvPr>
        <xdr:cNvSpPr txBox="1"/>
      </xdr:nvSpPr>
      <xdr:spPr>
        <a:xfrm>
          <a:off x="1569720" y="5859780"/>
          <a:ext cx="108966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bg1"/>
              </a:solidFill>
            </a:rPr>
            <a:t> KEY</a:t>
          </a:r>
          <a:r>
            <a:rPr lang="en-IN" sz="1200" b="1" baseline="0">
              <a:solidFill>
                <a:schemeClr val="bg1"/>
              </a:solidFill>
            </a:rPr>
            <a:t> INSIGHTS</a:t>
          </a:r>
          <a:endParaRPr lang="en-IN" sz="1200" b="1">
            <a:solidFill>
              <a:schemeClr val="bg1"/>
            </a:solidFill>
          </a:endParaRPr>
        </a:p>
      </xdr:txBody>
    </xdr:sp>
    <xdr:clientData/>
  </xdr:twoCellAnchor>
  <xdr:twoCellAnchor editAs="oneCell">
    <xdr:from>
      <xdr:col>1</xdr:col>
      <xdr:colOff>533400</xdr:colOff>
      <xdr:row>31</xdr:row>
      <xdr:rowOff>60960</xdr:rowOff>
    </xdr:from>
    <xdr:to>
      <xdr:col>2</xdr:col>
      <xdr:colOff>442005</xdr:colOff>
      <xdr:row>33</xdr:row>
      <xdr:rowOff>132125</xdr:rowOff>
    </xdr:to>
    <xdr:pic>
      <xdr:nvPicPr>
        <xdr:cNvPr id="47" name="Picture 46">
          <a:extLst>
            <a:ext uri="{FF2B5EF4-FFF2-40B4-BE49-F238E27FC236}">
              <a16:creationId xmlns:a16="http://schemas.microsoft.com/office/drawing/2014/main" id="{F88D48DF-8D5F-0D09-0277-BEC6E979AF8E}"/>
            </a:ext>
          </a:extLst>
        </xdr:cNvPr>
        <xdr:cNvPicPr>
          <a:picLocks noChangeAspect="1"/>
        </xdr:cNvPicPr>
      </xdr:nvPicPr>
      <xdr:blipFill>
        <a:blip xmlns:r="http://schemas.openxmlformats.org/officeDocument/2006/relationships" r:embed="rId10"/>
        <a:stretch>
          <a:fillRect/>
        </a:stretch>
      </xdr:blipFill>
      <xdr:spPr>
        <a:xfrm>
          <a:off x="1143000" y="5745480"/>
          <a:ext cx="518205" cy="518205"/>
        </a:xfrm>
        <a:prstGeom prst="rect">
          <a:avLst/>
        </a:prstGeom>
      </xdr:spPr>
    </xdr:pic>
    <xdr:clientData/>
  </xdr:twoCellAnchor>
  <xdr:twoCellAnchor>
    <xdr:from>
      <xdr:col>4</xdr:col>
      <xdr:colOff>388620</xdr:colOff>
      <xdr:row>31</xdr:row>
      <xdr:rowOff>106680</xdr:rowOff>
    </xdr:from>
    <xdr:to>
      <xdr:col>8</xdr:col>
      <xdr:colOff>327660</xdr:colOff>
      <xdr:row>34</xdr:row>
      <xdr:rowOff>45720</xdr:rowOff>
    </xdr:to>
    <xdr:sp macro="" textlink="">
      <xdr:nvSpPr>
        <xdr:cNvPr id="48" name="TextBox 47">
          <a:extLst>
            <a:ext uri="{FF2B5EF4-FFF2-40B4-BE49-F238E27FC236}">
              <a16:creationId xmlns:a16="http://schemas.microsoft.com/office/drawing/2014/main" id="{C12D91BB-5553-3B01-3467-2B512D61E407}"/>
            </a:ext>
          </a:extLst>
        </xdr:cNvPr>
        <xdr:cNvSpPr txBox="1"/>
      </xdr:nvSpPr>
      <xdr:spPr>
        <a:xfrm>
          <a:off x="2827020" y="5791200"/>
          <a:ext cx="237744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TECHNOLOGY </a:t>
          </a:r>
          <a:r>
            <a:rPr lang="en-IN" sz="1100" b="0"/>
            <a:t>category</a:t>
          </a:r>
          <a:r>
            <a:rPr lang="en-IN" sz="1100" b="0" baseline="0"/>
            <a:t> contributed the highest share of total sales</a:t>
          </a:r>
          <a:endParaRPr lang="en-IN" sz="1100" b="1"/>
        </a:p>
      </xdr:txBody>
    </xdr:sp>
    <xdr:clientData/>
  </xdr:twoCellAnchor>
  <xdr:twoCellAnchor>
    <xdr:from>
      <xdr:col>8</xdr:col>
      <xdr:colOff>426721</xdr:colOff>
      <xdr:row>39</xdr:row>
      <xdr:rowOff>30480</xdr:rowOff>
    </xdr:from>
    <xdr:to>
      <xdr:col>8</xdr:col>
      <xdr:colOff>472440</xdr:colOff>
      <xdr:row>39</xdr:row>
      <xdr:rowOff>99060</xdr:rowOff>
    </xdr:to>
    <xdr:sp macro="" textlink="">
      <xdr:nvSpPr>
        <xdr:cNvPr id="49" name="TextBox 48">
          <a:extLst>
            <a:ext uri="{FF2B5EF4-FFF2-40B4-BE49-F238E27FC236}">
              <a16:creationId xmlns:a16="http://schemas.microsoft.com/office/drawing/2014/main" id="{849F3671-D1A7-ED79-939F-EBE8A3289E07}"/>
            </a:ext>
          </a:extLst>
        </xdr:cNvPr>
        <xdr:cNvSpPr txBox="1"/>
      </xdr:nvSpPr>
      <xdr:spPr>
        <a:xfrm flipH="1">
          <a:off x="5303521" y="7178040"/>
          <a:ext cx="45719" cy="685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8</xdr:col>
      <xdr:colOff>373380</xdr:colOff>
      <xdr:row>31</xdr:row>
      <xdr:rowOff>114300</xdr:rowOff>
    </xdr:from>
    <xdr:to>
      <xdr:col>12</xdr:col>
      <xdr:colOff>441960</xdr:colOff>
      <xdr:row>34</xdr:row>
      <xdr:rowOff>45720</xdr:rowOff>
    </xdr:to>
    <xdr:sp macro="" textlink="">
      <xdr:nvSpPr>
        <xdr:cNvPr id="53" name="TextBox 52">
          <a:extLst>
            <a:ext uri="{FF2B5EF4-FFF2-40B4-BE49-F238E27FC236}">
              <a16:creationId xmlns:a16="http://schemas.microsoft.com/office/drawing/2014/main" id="{2C3937DE-EA0B-DA71-80BE-8F5AD60D8DC2}"/>
            </a:ext>
          </a:extLst>
        </xdr:cNvPr>
        <xdr:cNvSpPr txBox="1"/>
      </xdr:nvSpPr>
      <xdr:spPr>
        <a:xfrm>
          <a:off x="5250180" y="5798820"/>
          <a:ext cx="250698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MEDIUM DISCOUNT</a:t>
          </a:r>
          <a:r>
            <a:rPr lang="en-IN" sz="1100" b="0"/>
            <a:t> levels</a:t>
          </a:r>
          <a:r>
            <a:rPr lang="en-IN" sz="1100" b="0" baseline="0"/>
            <a:t> generated better</a:t>
          </a:r>
        </a:p>
        <a:p>
          <a:r>
            <a:rPr lang="en-IN" sz="1100" b="1" baseline="0"/>
            <a:t>PROFITABILITY</a:t>
          </a:r>
          <a:endParaRPr lang="en-IN" sz="1100" b="1"/>
        </a:p>
      </xdr:txBody>
    </xdr:sp>
    <xdr:clientData/>
  </xdr:twoCellAnchor>
  <xdr:twoCellAnchor>
    <xdr:from>
      <xdr:col>12</xdr:col>
      <xdr:colOff>502920</xdr:colOff>
      <xdr:row>31</xdr:row>
      <xdr:rowOff>76200</xdr:rowOff>
    </xdr:from>
    <xdr:to>
      <xdr:col>16</xdr:col>
      <xdr:colOff>571500</xdr:colOff>
      <xdr:row>34</xdr:row>
      <xdr:rowOff>30480</xdr:rowOff>
    </xdr:to>
    <xdr:sp macro="" textlink="">
      <xdr:nvSpPr>
        <xdr:cNvPr id="55" name="TextBox 54">
          <a:extLst>
            <a:ext uri="{FF2B5EF4-FFF2-40B4-BE49-F238E27FC236}">
              <a16:creationId xmlns:a16="http://schemas.microsoft.com/office/drawing/2014/main" id="{F0674C67-E8FA-FCEF-C1AC-EC6B57A4DC34}"/>
            </a:ext>
          </a:extLst>
        </xdr:cNvPr>
        <xdr:cNvSpPr txBox="1"/>
      </xdr:nvSpPr>
      <xdr:spPr>
        <a:xfrm>
          <a:off x="7818120" y="5760720"/>
          <a:ext cx="250698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Sales remained </a:t>
          </a:r>
          <a:r>
            <a:rPr lang="en-IN" sz="1100" b="1"/>
            <a:t>STABLE</a:t>
          </a:r>
          <a:r>
            <a:rPr lang="en-IN" sz="1100" b="1" baseline="0"/>
            <a:t> </a:t>
          </a:r>
          <a:r>
            <a:rPr lang="en-IN" sz="1100"/>
            <a:t> over time with</a:t>
          </a:r>
        </a:p>
        <a:p>
          <a:r>
            <a:rPr lang="en-IN" sz="1100" b="0"/>
            <a:t>moderate</a:t>
          </a:r>
          <a:r>
            <a:rPr lang="en-IN" sz="1100" b="0" baseline="0"/>
            <a:t> fluctuations.</a:t>
          </a:r>
          <a:r>
            <a:rPr lang="en-IN" sz="1100"/>
            <a:t> </a:t>
          </a:r>
        </a:p>
      </xdr:txBody>
    </xdr:sp>
    <xdr:clientData/>
  </xdr:twoCellAnchor>
  <xdr:twoCellAnchor>
    <xdr:from>
      <xdr:col>8</xdr:col>
      <xdr:colOff>205740</xdr:colOff>
      <xdr:row>31</xdr:row>
      <xdr:rowOff>22860</xdr:rowOff>
    </xdr:from>
    <xdr:to>
      <xdr:col>8</xdr:col>
      <xdr:colOff>205740</xdr:colOff>
      <xdr:row>34</xdr:row>
      <xdr:rowOff>83820</xdr:rowOff>
    </xdr:to>
    <xdr:cxnSp macro="">
      <xdr:nvCxnSpPr>
        <xdr:cNvPr id="57" name="Straight Connector 56">
          <a:extLst>
            <a:ext uri="{FF2B5EF4-FFF2-40B4-BE49-F238E27FC236}">
              <a16:creationId xmlns:a16="http://schemas.microsoft.com/office/drawing/2014/main" id="{A401DCBA-3D71-5903-BF54-25B8F9DB0A43}"/>
            </a:ext>
          </a:extLst>
        </xdr:cNvPr>
        <xdr:cNvCxnSpPr/>
      </xdr:nvCxnSpPr>
      <xdr:spPr>
        <a:xfrm>
          <a:off x="5082540" y="5707380"/>
          <a:ext cx="0" cy="609600"/>
        </a:xfrm>
        <a:prstGeom prst="line">
          <a:avLst/>
        </a:prstGeom>
        <a:ln>
          <a:solidFill>
            <a:srgbClr val="00B0F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403860</xdr:colOff>
      <xdr:row>31</xdr:row>
      <xdr:rowOff>7620</xdr:rowOff>
    </xdr:from>
    <xdr:to>
      <xdr:col>12</xdr:col>
      <xdr:colOff>411480</xdr:colOff>
      <xdr:row>34</xdr:row>
      <xdr:rowOff>76200</xdr:rowOff>
    </xdr:to>
    <xdr:cxnSp macro="">
      <xdr:nvCxnSpPr>
        <xdr:cNvPr id="60" name="Straight Connector 59">
          <a:extLst>
            <a:ext uri="{FF2B5EF4-FFF2-40B4-BE49-F238E27FC236}">
              <a16:creationId xmlns:a16="http://schemas.microsoft.com/office/drawing/2014/main" id="{203CA073-F917-239C-31C6-194C023307E8}"/>
            </a:ext>
          </a:extLst>
        </xdr:cNvPr>
        <xdr:cNvCxnSpPr/>
      </xdr:nvCxnSpPr>
      <xdr:spPr>
        <a:xfrm>
          <a:off x="7719060" y="5692140"/>
          <a:ext cx="7620" cy="61722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21167</xdr:colOff>
      <xdr:row>20</xdr:row>
      <xdr:rowOff>25399</xdr:rowOff>
    </xdr:from>
    <xdr:to>
      <xdr:col>17</xdr:col>
      <xdr:colOff>110067</xdr:colOff>
      <xdr:row>31</xdr:row>
      <xdr:rowOff>25399</xdr:rowOff>
    </xdr:to>
    <xdr:graphicFrame macro="">
      <xdr:nvGraphicFramePr>
        <xdr:cNvPr id="41" name="Chart 40">
          <a:extLst>
            <a:ext uri="{FF2B5EF4-FFF2-40B4-BE49-F238E27FC236}">
              <a16:creationId xmlns:a16="http://schemas.microsoft.com/office/drawing/2014/main" id="{AB409605-8B17-4C81-9D23-2BFC61F4C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295275</xdr:colOff>
      <xdr:row>1</xdr:row>
      <xdr:rowOff>0</xdr:rowOff>
    </xdr:from>
    <xdr:to>
      <xdr:col>13</xdr:col>
      <xdr:colOff>647700</xdr:colOff>
      <xdr:row>7</xdr:row>
      <xdr:rowOff>59055</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38C9B90B-F21C-C299-035C-F1CC2C834D8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410700" y="190500"/>
              <a:ext cx="1828800" cy="124777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11</xdr:col>
      <xdr:colOff>323850</xdr:colOff>
      <xdr:row>8</xdr:row>
      <xdr:rowOff>142875</xdr:rowOff>
    </xdr:from>
    <xdr:to>
      <xdr:col>13</xdr:col>
      <xdr:colOff>676275</xdr:colOff>
      <xdr:row>18</xdr:row>
      <xdr:rowOff>142875</xdr:rowOff>
    </xdr:to>
    <mc:AlternateContent xmlns:mc="http://schemas.openxmlformats.org/markup-compatibility/2006" xmlns:a14="http://schemas.microsoft.com/office/drawing/2010/main">
      <mc:Choice Requires="a14">
        <xdr:graphicFrame macro="">
          <xdr:nvGraphicFramePr>
            <xdr:cNvPr id="3" name="Salesperson">
              <a:extLst>
                <a:ext uri="{FF2B5EF4-FFF2-40B4-BE49-F238E27FC236}">
                  <a16:creationId xmlns:a16="http://schemas.microsoft.com/office/drawing/2014/main" id="{EC3204FE-A703-C32C-7BFC-EC50CDF96F5A}"/>
                </a:ext>
                <a:ext uri="{147F2762-F138-4A5C-976F-8EAC2B608ADB}">
                  <a16:predDERef xmlns:a16="http://schemas.microsoft.com/office/drawing/2014/main" pred="{38C9B90B-F21C-C299-035C-F1CC2C834D8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9439275" y="1666875"/>
              <a:ext cx="1828800" cy="19050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iyush" refreshedDate="46153.635353587961" createdVersion="8" refreshedVersion="8" minRefreshableVersion="3" recordCount="1500" xr:uid="{415EFB79-5B01-489B-A5F6-2EB28BD6FBD8}">
  <cacheSource type="worksheet">
    <worksheetSource name="Table1"/>
  </cacheSource>
  <cacheFields count="30">
    <cacheField name="Date" numFmtId="14">
      <sharedItems containsSemiMixedTypes="0" containsNonDate="0" containsDate="1" containsString="0" minDate="2023-01-01T00:00:00" maxDate="2025-07-01T00:00:00"/>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Column1" numFmtId="0">
      <sharedItems/>
    </cacheField>
    <cacheField name="Column2" numFmtId="0">
      <sharedItems/>
    </cacheField>
    <cacheField name="Category" numFmtId="0">
      <sharedItems count="3">
        <s v="Technology"/>
        <s v="Furniture"/>
        <s v="Office Supplies"/>
      </sharedItems>
    </cacheField>
    <cacheField name="Quantity" numFmtId="2">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10">
      <sharedItems containsSemiMixedTypes="0" containsString="0" containsNumber="1" minValue="0" maxValue="0.15"/>
    </cacheField>
    <cacheField name="Salesperson" numFmtId="0">
      <sharedItems count="6">
        <s v="Eva"/>
        <s v="Alice"/>
        <s v="Frank"/>
        <s v="Carlos"/>
        <s v="Diana"/>
        <s v="Bob"/>
      </sharedItems>
    </cacheField>
    <cacheField name="TotalPrice" numFmtId="2">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2">
      <sharedItems containsSemiMixedTypes="0" containsString="0" containsNumber="1" containsInteger="1" minValue="0" maxValue="1"/>
    </cacheField>
    <cacheField name="OrderID" numFmtId="0">
      <sharedItems/>
    </cacheField>
    <cacheField name="CustomerName" numFmtId="0">
      <sharedItems/>
    </cacheField>
    <cacheField name="ShippingCost" numFmtId="2">
      <sharedItems containsSemiMixedTypes="0" containsString="0" containsNumber="1" minValue="5.01" maxValue="49.98"/>
    </cacheField>
    <cacheField name="OrderDate" numFmtId="14">
      <sharedItems containsSemiMixedTypes="0" containsNonDate="0" containsDate="1" containsString="0" minDate="2023-01-01T00:00:00" maxDate="2025-07-01T00:00:00"/>
    </cacheField>
    <cacheField name="DeliveryDate" numFmtId="14">
      <sharedItems containsSemiMixedTypes="0" containsNonDate="0" containsDate="1" containsString="0" minDate="2023-01-08T00:00:00" maxDate="2025-07-11T00:00:00"/>
    </cacheField>
    <cacheField name="RegionManager" numFmtId="0">
      <sharedItems/>
    </cacheField>
    <cacheField name="Net Sales" numFmtId="0">
      <sharedItems containsSemiMixedTypes="0" containsString="0" containsNumber="1" minValue="5.9244999999999992" maxValue="11077"/>
    </cacheField>
    <cacheField name="Sales" numFmtId="0">
      <sharedItems containsSemiMixedTypes="0" containsString="0" containsNumber="1" minValue="8.1999999999999993" maxValue="11526"/>
    </cacheField>
    <cacheField name="Profit" numFmtId="0">
      <sharedItems containsSemiMixedTypes="0" containsString="0" containsNumber="1" minValue="0" maxValue="3142.5681749999994"/>
    </cacheField>
    <cacheField name="Discount Category" numFmtId="0">
      <sharedItems count="4">
        <s v="No Discount"/>
        <s v="Medium"/>
        <s v="High"/>
        <s v="Low" u="1"/>
      </sharedItems>
    </cacheField>
    <cacheField name="Year-Month" numFmtId="17">
      <sharedItems containsSemiMixedTypes="0" containsNonDate="0" containsDate="1" containsString="0" minDate="2023-01-01T00:00:00" maxDate="2025-06-02T00:00:00" count="30">
        <d v="2023-02-01T00:00:00"/>
        <d v="2024-12-01T00:00:00"/>
        <d v="2023-05-01T00:00:00"/>
        <d v="2025-02-01T00:00:00"/>
        <d v="2023-06-01T00:00:00"/>
        <d v="2024-02-01T00:00:00"/>
        <d v="2023-01-01T00:00:00"/>
        <d v="2024-10-01T00:00:00"/>
        <d v="2025-03-01T00:00:00"/>
        <d v="2024-04-01T00:00:00"/>
        <d v="2024-07-01T00:00:00"/>
        <d v="2023-07-01T00:00:00"/>
        <d v="2025-01-01T00:00:00"/>
        <d v="2025-05-01T00:00:00"/>
        <d v="2024-05-01T00:00:00"/>
        <d v="2023-11-01T00:00:00"/>
        <d v="2025-06-01T00:00:00"/>
        <d v="2023-03-01T00:00:00"/>
        <d v="2023-08-01T00:00:00"/>
        <d v="2023-10-01T00:00:00"/>
        <d v="2024-11-01T00:00:00"/>
        <d v="2023-04-01T00:00:00"/>
        <d v="2023-09-01T00:00:00"/>
        <d v="2024-06-01T00:00:00"/>
        <d v="2024-01-01T00:00:00"/>
        <d v="2024-03-01T00:00:00"/>
        <d v="2024-09-01T00:00:00"/>
        <d v="2023-12-01T00:00:00"/>
        <d v="2025-04-01T00:00:00"/>
        <d v="2024-08-01T00:00:00"/>
      </sharedItems>
      <fieldGroup par="29"/>
    </cacheField>
    <cacheField name="Months (Year-Month)" numFmtId="0" databaseField="0">
      <fieldGroup base="26">
        <rangePr groupBy="months" startDate="2023-01-01T00:00:00" endDate="2025-06-02T00:00:00"/>
        <groupItems count="14">
          <s v="&lt;01-01-2023"/>
          <s v="Jan"/>
          <s v="Feb"/>
          <s v="Mar"/>
          <s v="Apr"/>
          <s v="May"/>
          <s v="Jun"/>
          <s v="Jul"/>
          <s v="Aug"/>
          <s v="Sep"/>
          <s v="Oct"/>
          <s v="Nov"/>
          <s v="Dec"/>
          <s v="&gt;02-06-2025"/>
        </groupItems>
      </fieldGroup>
    </cacheField>
    <cacheField name="Quarters (Year-Month)" numFmtId="0" databaseField="0">
      <fieldGroup base="26">
        <rangePr groupBy="quarters" startDate="2023-01-01T00:00:00" endDate="2025-06-02T00:00:00"/>
        <groupItems count="6">
          <s v="&lt;01-01-2023"/>
          <s v="Qtr1"/>
          <s v="Qtr2"/>
          <s v="Qtr3"/>
          <s v="Qtr4"/>
          <s v="&gt;02-06-2025"/>
        </groupItems>
      </fieldGroup>
    </cacheField>
    <cacheField name="Years (Year-Month)" numFmtId="0" databaseField="0">
      <fieldGroup base="26">
        <rangePr groupBy="years" startDate="2023-01-01T00:00:00" endDate="2025-06-02T00:00:00"/>
        <groupItems count="5">
          <s v="&lt;01-01-2023"/>
          <s v="2023"/>
          <s v="2024"/>
          <s v="2025"/>
          <s v="&gt;02-06-2025"/>
        </groupItems>
      </fieldGroup>
    </cacheField>
  </cacheFields>
  <extLst>
    <ext xmlns:x14="http://schemas.microsoft.com/office/spreadsheetml/2009/9/main" uri="{725AE2AE-9491-48be-B2B4-4EB974FC3084}">
      <x14:pivotCacheDefinition pivotCacheId="18577613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3-02-23T00:00:00"/>
    <x v="0"/>
    <x v="0"/>
    <s v="Laptop"/>
    <s v="Laptop"/>
    <x v="0"/>
    <n v="14"/>
    <n v="163.6"/>
    <s v="Store B"/>
    <s v="Wholesale"/>
    <n v="0"/>
    <x v="0"/>
    <n v="2290.4"/>
    <s v="Online"/>
    <s v="FREESHIP"/>
    <n v="0"/>
    <s v="REG100000"/>
    <s v="Cust 6583"/>
    <n v="43.34"/>
    <d v="2023-02-23T00:00:00"/>
    <d v="2023-02-27T00:00:00"/>
    <s v="Eric"/>
    <n v="2290.4"/>
    <n v="2290.4"/>
    <n v="0"/>
    <x v="0"/>
    <x v="0"/>
  </r>
  <r>
    <d v="2024-12-19T00:00:00"/>
    <x v="1"/>
    <x v="1"/>
    <s v="Phone"/>
    <s v="Phone"/>
    <x v="0"/>
    <n v="1"/>
    <n v="544.01"/>
    <s v="Store A"/>
    <s v="Retail"/>
    <n v="0"/>
    <x v="1"/>
    <n v="544.01"/>
    <s v="Gift Card"/>
    <s v="SAVE10"/>
    <n v="0"/>
    <s v="REG100001"/>
    <s v="Cust 2144"/>
    <n v="5.3"/>
    <d v="2024-12-19T00:00:00"/>
    <d v="2024-12-28T00:00:00"/>
    <s v="Sophie"/>
    <n v="544.01"/>
    <n v="544.01"/>
    <n v="0"/>
    <x v="0"/>
    <x v="1"/>
  </r>
  <r>
    <d v="2023-05-10T00:00:00"/>
    <x v="2"/>
    <x v="2"/>
    <s v="Desk"/>
    <s v="Desk"/>
    <x v="1"/>
    <n v="14"/>
    <n v="346.18"/>
    <s v="Store B"/>
    <s v="Wholesale"/>
    <n v="0.1"/>
    <x v="1"/>
    <n v="4361.8680000000004"/>
    <s v="Online"/>
    <s v="WINTER15"/>
    <n v="0"/>
    <s v="REG100002"/>
    <s v="Cust 5998"/>
    <n v="20.46"/>
    <d v="2023-05-10T00:00:00"/>
    <d v="2023-05-19T00:00:00"/>
    <s v="Ryan"/>
    <n v="3925.6812000000004"/>
    <n v="4846.5200000000004"/>
    <n v="920.83879999999999"/>
    <x v="1"/>
    <x v="2"/>
  </r>
  <r>
    <d v="2025-02-26T00:00:00"/>
    <x v="3"/>
    <x v="3"/>
    <s v="Chair"/>
    <s v="Chair"/>
    <x v="1"/>
    <n v="18"/>
    <n v="384.82"/>
    <s v="Store A"/>
    <s v="Wholesale"/>
    <n v="0.15"/>
    <x v="2"/>
    <n v="5887.7460000000001"/>
    <s v="Gift Card"/>
    <s v="FREESHIP"/>
    <n v="0"/>
    <s v="REG100003"/>
    <s v="Cust 7136"/>
    <n v="27.95"/>
    <d v="2025-02-26T00:00:00"/>
    <d v="2025-03-02T00:00:00"/>
    <s v="Cameron"/>
    <n v="5004.5841"/>
    <n v="6926.76"/>
    <n v="1922.1759000000002"/>
    <x v="2"/>
    <x v="3"/>
  </r>
  <r>
    <d v="2023-06-24T00:00:00"/>
    <x v="0"/>
    <x v="2"/>
    <s v="Desk"/>
    <s v="Desk"/>
    <x v="1"/>
    <n v="18"/>
    <n v="237.76"/>
    <s v="Store C"/>
    <s v="Retail"/>
    <n v="0"/>
    <x v="3"/>
    <n v="4279.68"/>
    <s v="Online"/>
    <s v="SAVE10"/>
    <n v="0"/>
    <s v="REG100004"/>
    <s v="Cust 6506"/>
    <n v="5.73"/>
    <d v="2023-06-24T00:00:00"/>
    <d v="2023-06-27T00:00:00"/>
    <s v="Eric"/>
    <n v="4279.68"/>
    <n v="4279.68"/>
    <n v="0"/>
    <x v="0"/>
    <x v="4"/>
  </r>
  <r>
    <d v="2024-02-20T00:00:00"/>
    <x v="3"/>
    <x v="4"/>
    <s v="Monitor"/>
    <s v="Monitor"/>
    <x v="0"/>
    <n v="2"/>
    <n v="385.09"/>
    <s v="Store D"/>
    <s v="Wholesale"/>
    <n v="0.15"/>
    <x v="4"/>
    <n v="654.65299999999991"/>
    <s v="Credit Card"/>
    <m/>
    <n v="0"/>
    <s v="REG100005"/>
    <s v="Cust 3909"/>
    <n v="11.92"/>
    <d v="2024-02-20T00:00:00"/>
    <d v="2024-03-01T00:00:00"/>
    <s v="Cameron"/>
    <n v="556.45504999999991"/>
    <n v="770.18"/>
    <n v="213.72495000000004"/>
    <x v="2"/>
    <x v="5"/>
  </r>
  <r>
    <d v="2023-01-11T00:00:00"/>
    <x v="1"/>
    <x v="3"/>
    <s v="Chair"/>
    <s v="Chair"/>
    <x v="1"/>
    <n v="7"/>
    <n v="17.5"/>
    <s v="Store C"/>
    <s v="Retail"/>
    <n v="0.1"/>
    <x v="1"/>
    <n v="110.25"/>
    <s v="Debit Card"/>
    <s v="WINTER15"/>
    <n v="0"/>
    <s v="REG100006"/>
    <s v="Cust 7887"/>
    <n v="5.0199999999999996"/>
    <d v="2023-01-11T00:00:00"/>
    <d v="2023-01-14T00:00:00"/>
    <s v="Sophie"/>
    <n v="99.225000000000009"/>
    <n v="122.5"/>
    <n v="23.274999999999991"/>
    <x v="1"/>
    <x v="6"/>
  </r>
  <r>
    <d v="2023-01-09T00:00:00"/>
    <x v="3"/>
    <x v="3"/>
    <s v="Chair"/>
    <s v="Chair"/>
    <x v="1"/>
    <n v="3"/>
    <n v="330.22"/>
    <s v="Store C"/>
    <s v="Wholesale"/>
    <n v="0.15"/>
    <x v="3"/>
    <n v="842.06100000000004"/>
    <s v="Cash"/>
    <m/>
    <n v="0"/>
    <s v="REG100007"/>
    <s v="Cust 5301"/>
    <n v="48.01"/>
    <d v="2023-01-09T00:00:00"/>
    <d v="2023-01-11T00:00:00"/>
    <s v="Cameron"/>
    <n v="715.75184999999999"/>
    <n v="990.66000000000008"/>
    <n v="274.90815000000009"/>
    <x v="2"/>
    <x v="6"/>
  </r>
  <r>
    <d v="2024-10-16T00:00:00"/>
    <x v="1"/>
    <x v="3"/>
    <s v="Chair"/>
    <s v="Chair"/>
    <x v="1"/>
    <n v="3"/>
    <n v="432.04"/>
    <s v="Store D"/>
    <s v="Wholesale"/>
    <n v="0.05"/>
    <x v="5"/>
    <n v="1231.3140000000001"/>
    <s v="Debit Card"/>
    <s v="FREESHIP"/>
    <n v="1"/>
    <s v="REG100008"/>
    <s v="Cust 2284"/>
    <n v="42.11"/>
    <d v="2024-10-16T00:00:00"/>
    <d v="2024-10-18T00:00:00"/>
    <s v="Sophie"/>
    <n v="1169.7483"/>
    <n v="1296.1200000000001"/>
    <n v="126.37170000000015"/>
    <x v="1"/>
    <x v="7"/>
  </r>
  <r>
    <d v="2025-03-05T00:00:00"/>
    <x v="4"/>
    <x v="2"/>
    <s v="Desk"/>
    <s v="Desk"/>
    <x v="1"/>
    <n v="5"/>
    <n v="323.27999999999997"/>
    <s v="Store D"/>
    <s v="Retail"/>
    <n v="0.1"/>
    <x v="2"/>
    <n v="1454.76"/>
    <s v="Gift Card"/>
    <s v="SAVE10"/>
    <n v="0"/>
    <s v="REG100009"/>
    <s v="Cust 3732"/>
    <n v="41.1"/>
    <d v="2025-03-05T00:00:00"/>
    <d v="2025-03-13T00:00:00"/>
    <s v="Wendy"/>
    <n v="1309.2840000000001"/>
    <n v="1616.3999999999999"/>
    <n v="307.11599999999976"/>
    <x v="1"/>
    <x v="8"/>
  </r>
  <r>
    <d v="2024-04-10T00:00:00"/>
    <x v="2"/>
    <x v="2"/>
    <s v="Desk"/>
    <s v="Desk"/>
    <x v="1"/>
    <n v="15"/>
    <n v="523.29"/>
    <s v="Store B"/>
    <s v="Wholesale"/>
    <n v="0.15"/>
    <x v="0"/>
    <n v="6671.9474999999993"/>
    <s v="Debit Card"/>
    <m/>
    <n v="0"/>
    <s v="REG100010"/>
    <s v="Cust 1462"/>
    <n v="12.14"/>
    <d v="2024-04-10T00:00:00"/>
    <d v="2024-04-17T00:00:00"/>
    <s v="Ryan"/>
    <n v="5671.1553749999994"/>
    <n v="7849.3499999999995"/>
    <n v="2178.1946250000001"/>
    <x v="2"/>
    <x v="9"/>
  </r>
  <r>
    <d v="2024-07-12T00:00:00"/>
    <x v="0"/>
    <x v="1"/>
    <s v="Phone"/>
    <s v="Phone"/>
    <x v="0"/>
    <n v="19"/>
    <n v="207.35"/>
    <s v="Store D"/>
    <s v="Retail"/>
    <n v="0.1"/>
    <x v="0"/>
    <n v="3545.6849999999999"/>
    <s v="Gift Card"/>
    <m/>
    <n v="1"/>
    <s v="REG100011"/>
    <s v="Cust 4330"/>
    <n v="44.89"/>
    <d v="2024-07-12T00:00:00"/>
    <d v="2024-07-18T00:00:00"/>
    <s v="Eric"/>
    <n v="3191.1165000000001"/>
    <n v="3939.65"/>
    <n v="748.5335"/>
    <x v="1"/>
    <x v="10"/>
  </r>
  <r>
    <d v="2023-07-21T00:00:00"/>
    <x v="3"/>
    <x v="1"/>
    <s v="Phone"/>
    <s v="Phone"/>
    <x v="0"/>
    <n v="1"/>
    <n v="120.53"/>
    <s v="Store B"/>
    <s v="Retail"/>
    <n v="0.05"/>
    <x v="4"/>
    <n v="114.5035"/>
    <s v="Cash"/>
    <s v="WINTER15"/>
    <n v="0"/>
    <s v="REG100012"/>
    <s v="Cust 2372"/>
    <n v="20.350000000000001"/>
    <d v="2023-07-21T00:00:00"/>
    <d v="2023-07-31T00:00:00"/>
    <s v="Cameron"/>
    <n v="108.778325"/>
    <n v="120.53"/>
    <n v="11.751675000000006"/>
    <x v="1"/>
    <x v="11"/>
  </r>
  <r>
    <d v="2025-01-18T00:00:00"/>
    <x v="4"/>
    <x v="5"/>
    <s v="Tablet"/>
    <s v="Tablet"/>
    <x v="0"/>
    <n v="1"/>
    <n v="157.83000000000001"/>
    <s v="Store A"/>
    <s v="Wholesale"/>
    <n v="0.15"/>
    <x v="3"/>
    <n v="134.15549999999999"/>
    <s v="Debit Card"/>
    <m/>
    <n v="0"/>
    <s v="REG100013"/>
    <s v="Cust 4672"/>
    <n v="42.82"/>
    <d v="2025-01-18T00:00:00"/>
    <d v="2025-01-22T00:00:00"/>
    <s v="Wendy"/>
    <n v="114.03217499999998"/>
    <n v="157.83000000000001"/>
    <n v="43.797825000000032"/>
    <x v="2"/>
    <x v="12"/>
  </r>
  <r>
    <d v="2024-12-08T00:00:00"/>
    <x v="2"/>
    <x v="2"/>
    <s v="Desk"/>
    <s v="Desk"/>
    <x v="1"/>
    <n v="15"/>
    <n v="220.3"/>
    <s v="Store B"/>
    <s v="Retail"/>
    <n v="0.15"/>
    <x v="4"/>
    <n v="2808.8249999999998"/>
    <s v="Debit Card"/>
    <m/>
    <n v="0"/>
    <s v="REG100014"/>
    <s v="Cust 4548"/>
    <n v="39.659999999999997"/>
    <d v="2024-12-08T00:00:00"/>
    <d v="2024-12-15T00:00:00"/>
    <s v="Ryan"/>
    <n v="2387.5012499999998"/>
    <n v="3304.5"/>
    <n v="916.9987500000002"/>
    <x v="2"/>
    <x v="1"/>
  </r>
  <r>
    <d v="2025-05-11T00:00:00"/>
    <x v="4"/>
    <x v="3"/>
    <s v="Chair"/>
    <s v="Chair"/>
    <x v="1"/>
    <n v="17"/>
    <n v="162.96"/>
    <s v="Store A"/>
    <s v="Wholesale"/>
    <n v="0.05"/>
    <x v="0"/>
    <n v="2631.8040000000001"/>
    <s v="Gift Card"/>
    <s v="FREESHIP"/>
    <n v="0"/>
    <s v="REG100015"/>
    <s v="Cust 7037"/>
    <n v="8.11"/>
    <d v="2025-05-11T00:00:00"/>
    <d v="2025-05-17T00:00:00"/>
    <s v="Wendy"/>
    <n v="2500.2138"/>
    <n v="2770.32"/>
    <n v="270.10620000000017"/>
    <x v="1"/>
    <x v="13"/>
  </r>
  <r>
    <d v="2023-02-26T00:00:00"/>
    <x v="4"/>
    <x v="0"/>
    <s v="Laptop"/>
    <s v="Laptop"/>
    <x v="0"/>
    <n v="19"/>
    <n v="236.11"/>
    <s v="Store D"/>
    <s v="Wholesale"/>
    <n v="0"/>
    <x v="5"/>
    <n v="4486.09"/>
    <s v="Online"/>
    <s v="WINTER15"/>
    <n v="0"/>
    <s v="REG100016"/>
    <s v="Cust 4975"/>
    <n v="34.11"/>
    <d v="2023-02-26T00:00:00"/>
    <d v="2023-03-04T00:00:00"/>
    <s v="Wendy"/>
    <n v="4486.09"/>
    <n v="4486.09"/>
    <n v="0"/>
    <x v="0"/>
    <x v="0"/>
  </r>
  <r>
    <d v="2024-05-28T00:00:00"/>
    <x v="3"/>
    <x v="2"/>
    <s v="Desk"/>
    <s v="Desk"/>
    <x v="1"/>
    <n v="11"/>
    <n v="573.14"/>
    <s v="Store D"/>
    <s v="Retail"/>
    <n v="0.05"/>
    <x v="4"/>
    <n v="5989.3130000000001"/>
    <s v="Cash"/>
    <s v="SAVE10"/>
    <n v="0"/>
    <s v="REG100017"/>
    <s v="Cust 8014"/>
    <n v="34.71"/>
    <d v="2024-05-28T00:00:00"/>
    <d v="2024-06-01T00:00:00"/>
    <s v="Cameron"/>
    <n v="5689.84735"/>
    <n v="6304.54"/>
    <n v="614.69264999999996"/>
    <x v="1"/>
    <x v="14"/>
  </r>
  <r>
    <d v="2023-11-30T00:00:00"/>
    <x v="0"/>
    <x v="1"/>
    <s v="Phone"/>
    <s v="Phone"/>
    <x v="0"/>
    <n v="20"/>
    <n v="519.04"/>
    <s v="Store B"/>
    <s v="Retail"/>
    <n v="0.15"/>
    <x v="3"/>
    <n v="8823.6799999999985"/>
    <s v="Gift Card"/>
    <s v="FREESHIP"/>
    <n v="0"/>
    <s v="REG100018"/>
    <s v="Cust 1228"/>
    <n v="19.43"/>
    <d v="2023-11-30T00:00:00"/>
    <d v="2023-12-08T00:00:00"/>
    <s v="Eric"/>
    <n v="7500.1279999999988"/>
    <n v="10380.799999999999"/>
    <n v="2880.6720000000005"/>
    <x v="2"/>
    <x v="15"/>
  </r>
  <r>
    <d v="2023-06-22T00:00:00"/>
    <x v="4"/>
    <x v="2"/>
    <s v="Desk"/>
    <s v="Desk"/>
    <x v="1"/>
    <n v="14"/>
    <n v="30.83"/>
    <s v="Store B"/>
    <s v="Retail"/>
    <n v="0"/>
    <x v="3"/>
    <n v="431.62"/>
    <s v="Online"/>
    <s v="WINTER15"/>
    <n v="1"/>
    <s v="REG100019"/>
    <s v="Cust 4247"/>
    <n v="7.1"/>
    <d v="2023-06-22T00:00:00"/>
    <d v="2023-07-02T00:00:00"/>
    <s v="Wendy"/>
    <n v="431.62"/>
    <n v="431.62"/>
    <n v="0"/>
    <x v="0"/>
    <x v="4"/>
  </r>
  <r>
    <d v="2025-06-05T00:00:00"/>
    <x v="4"/>
    <x v="1"/>
    <s v="Phone"/>
    <s v="Phone"/>
    <x v="0"/>
    <n v="10"/>
    <n v="319.05"/>
    <s v="Store D"/>
    <s v="Wholesale"/>
    <n v="0"/>
    <x v="4"/>
    <n v="3190.5"/>
    <s v="Online"/>
    <m/>
    <n v="0"/>
    <s v="REG100020"/>
    <s v="Cust 4199"/>
    <n v="28.43"/>
    <d v="2025-06-05T00:00:00"/>
    <d v="2025-06-08T00:00:00"/>
    <s v="Wendy"/>
    <n v="3190.5"/>
    <n v="3190.5"/>
    <n v="0"/>
    <x v="0"/>
    <x v="16"/>
  </r>
  <r>
    <d v="2023-03-03T00:00:00"/>
    <x v="3"/>
    <x v="3"/>
    <s v="Chair"/>
    <s v="Chair"/>
    <x v="1"/>
    <n v="14"/>
    <n v="312.79000000000002"/>
    <s v="Store A"/>
    <s v="Retail"/>
    <n v="0.05"/>
    <x v="5"/>
    <n v="4160.107"/>
    <s v="Online"/>
    <m/>
    <n v="1"/>
    <s v="REG100021"/>
    <s v="Cust 4186"/>
    <n v="46.83"/>
    <d v="2023-03-03T00:00:00"/>
    <d v="2023-03-08T00:00:00"/>
    <s v="Cameron"/>
    <n v="3952.1016499999996"/>
    <n v="4379.0600000000004"/>
    <n v="426.95835000000079"/>
    <x v="1"/>
    <x v="17"/>
  </r>
  <r>
    <d v="2024-02-18T00:00:00"/>
    <x v="2"/>
    <x v="0"/>
    <s v="Laptop"/>
    <s v="Laptop"/>
    <x v="0"/>
    <n v="14"/>
    <n v="395.45"/>
    <s v="Store C"/>
    <s v="Retail"/>
    <n v="0"/>
    <x v="3"/>
    <n v="5536.3"/>
    <s v="Cash"/>
    <s v="FREESHIP"/>
    <n v="1"/>
    <s v="REG100022"/>
    <s v="Cust 8137"/>
    <n v="36.450000000000003"/>
    <d v="2024-02-18T00:00:00"/>
    <d v="2024-02-22T00:00:00"/>
    <s v="Ryan"/>
    <n v="5536.3"/>
    <n v="5536.3"/>
    <n v="0"/>
    <x v="0"/>
    <x v="5"/>
  </r>
  <r>
    <d v="2023-08-06T00:00:00"/>
    <x v="3"/>
    <x v="0"/>
    <s v="Laptop"/>
    <s v="Laptop"/>
    <x v="0"/>
    <n v="12"/>
    <n v="472.72"/>
    <s v="Store D"/>
    <s v="Retail"/>
    <n v="0.15"/>
    <x v="4"/>
    <n v="4821.7440000000006"/>
    <s v="Credit Card"/>
    <m/>
    <n v="0"/>
    <s v="REG100023"/>
    <s v="Cust 4638"/>
    <n v="27.97"/>
    <d v="2023-08-06T00:00:00"/>
    <d v="2023-08-14T00:00:00"/>
    <s v="Cameron"/>
    <n v="4098.4824000000008"/>
    <n v="5672.64"/>
    <n v="1574.1575999999995"/>
    <x v="2"/>
    <x v="18"/>
  </r>
  <r>
    <d v="2024-05-23T00:00:00"/>
    <x v="2"/>
    <x v="2"/>
    <s v="Desk"/>
    <s v="Desk"/>
    <x v="1"/>
    <n v="5"/>
    <n v="288.01"/>
    <s v="Store A"/>
    <s v="Wholesale"/>
    <n v="0"/>
    <x v="0"/>
    <n v="1440.05"/>
    <s v="Credit Card"/>
    <s v="FREESHIP"/>
    <n v="0"/>
    <s v="REG100024"/>
    <s v="Cust 8538"/>
    <n v="46.69"/>
    <d v="2024-05-23T00:00:00"/>
    <d v="2024-05-30T00:00:00"/>
    <s v="Ryan"/>
    <n v="1440.05"/>
    <n v="1440.05"/>
    <n v="0"/>
    <x v="0"/>
    <x v="14"/>
  </r>
  <r>
    <d v="2023-10-23T00:00:00"/>
    <x v="0"/>
    <x v="1"/>
    <s v="Phone"/>
    <s v="Phone"/>
    <x v="0"/>
    <n v="13"/>
    <n v="562.29"/>
    <s v="Store D"/>
    <s v="Retail"/>
    <n v="0"/>
    <x v="4"/>
    <n v="7309.77"/>
    <s v="Gift Card"/>
    <s v="SAVE10"/>
    <n v="0"/>
    <s v="REG100025"/>
    <s v="Cust 6322"/>
    <n v="38.130000000000003"/>
    <d v="2023-10-23T00:00:00"/>
    <d v="2023-10-28T00:00:00"/>
    <s v="Eric"/>
    <n v="7309.77"/>
    <n v="7309.7699999999995"/>
    <n v="0"/>
    <x v="0"/>
    <x v="19"/>
  </r>
  <r>
    <d v="2025-06-16T00:00:00"/>
    <x v="4"/>
    <x v="1"/>
    <s v="Phone"/>
    <s v="Phone"/>
    <x v="0"/>
    <n v="1"/>
    <n v="101.73"/>
    <s v="Store D"/>
    <s v="Retail"/>
    <n v="0"/>
    <x v="2"/>
    <n v="101.73"/>
    <s v="Debit Card"/>
    <s v="WINTER15"/>
    <n v="0"/>
    <s v="REG100026"/>
    <s v="Cust 2609"/>
    <n v="11.59"/>
    <d v="2025-06-16T00:00:00"/>
    <d v="2025-06-25T00:00:00"/>
    <s v="Wendy"/>
    <n v="101.73"/>
    <n v="101.73"/>
    <n v="0"/>
    <x v="0"/>
    <x v="16"/>
  </r>
  <r>
    <d v="2023-03-03T00:00:00"/>
    <x v="2"/>
    <x v="1"/>
    <s v="Phone"/>
    <s v="Phone"/>
    <x v="0"/>
    <n v="4"/>
    <n v="279.49"/>
    <s v="Store B"/>
    <s v="Retail"/>
    <n v="0"/>
    <x v="4"/>
    <n v="1117.96"/>
    <s v="Credit Card"/>
    <s v="FREESHIP"/>
    <n v="0"/>
    <s v="REG100027"/>
    <s v="Cust 6880"/>
    <n v="24.78"/>
    <d v="2023-03-03T00:00:00"/>
    <d v="2023-03-08T00:00:00"/>
    <s v="Ryan"/>
    <n v="1117.96"/>
    <n v="1117.96"/>
    <n v="0"/>
    <x v="0"/>
    <x v="17"/>
  </r>
  <r>
    <d v="2024-11-18T00:00:00"/>
    <x v="1"/>
    <x v="0"/>
    <s v="Laptop"/>
    <s v="Laptop"/>
    <x v="0"/>
    <n v="1"/>
    <n v="178.55"/>
    <s v="Store A"/>
    <s v="Retail"/>
    <n v="0.15"/>
    <x v="3"/>
    <n v="151.76750000000001"/>
    <s v="Debit Card"/>
    <s v="SAVE10"/>
    <n v="1"/>
    <s v="REG100028"/>
    <s v="Cust 1997"/>
    <n v="7.61"/>
    <d v="2024-11-18T00:00:00"/>
    <d v="2024-11-21T00:00:00"/>
    <s v="Sophie"/>
    <n v="129.002375"/>
    <n v="178.55"/>
    <n v="49.547625000000011"/>
    <x v="2"/>
    <x v="20"/>
  </r>
  <r>
    <d v="2023-05-09T00:00:00"/>
    <x v="3"/>
    <x v="5"/>
    <s v="Tablet"/>
    <s v="Tablet"/>
    <x v="0"/>
    <n v="1"/>
    <n v="472.07"/>
    <s v="Store A"/>
    <s v="Wholesale"/>
    <n v="0.1"/>
    <x v="3"/>
    <n v="424.863"/>
    <s v="Online"/>
    <s v="FREESHIP"/>
    <n v="0"/>
    <s v="REG100029"/>
    <s v="Cust 7072"/>
    <n v="33.17"/>
    <d v="2023-05-09T00:00:00"/>
    <d v="2023-05-17T00:00:00"/>
    <s v="Cameron"/>
    <n v="382.37670000000003"/>
    <n v="472.07"/>
    <n v="89.693299999999965"/>
    <x v="1"/>
    <x v="2"/>
  </r>
  <r>
    <d v="2024-12-07T00:00:00"/>
    <x v="2"/>
    <x v="5"/>
    <s v="Tablet"/>
    <s v="Tablet"/>
    <x v="0"/>
    <n v="12"/>
    <n v="306.29000000000002"/>
    <s v="Store D"/>
    <s v="Retail"/>
    <n v="0"/>
    <x v="2"/>
    <n v="3675.48"/>
    <s v="Debit Card"/>
    <s v="SAVE10"/>
    <n v="0"/>
    <s v="REG100030"/>
    <s v="Cust 7201"/>
    <n v="37.380000000000003"/>
    <d v="2024-12-07T00:00:00"/>
    <d v="2024-12-14T00:00:00"/>
    <s v="Ryan"/>
    <n v="3675.48"/>
    <n v="3675.4800000000005"/>
    <n v="0"/>
    <x v="0"/>
    <x v="1"/>
  </r>
  <r>
    <d v="2024-02-13T00:00:00"/>
    <x v="2"/>
    <x v="1"/>
    <s v="Phone"/>
    <s v="Phone"/>
    <x v="0"/>
    <n v="7"/>
    <n v="434.77"/>
    <s v="Store C"/>
    <s v="Retail"/>
    <n v="0.15"/>
    <x v="2"/>
    <n v="2586.8815"/>
    <s v="Online"/>
    <s v="SAVE10"/>
    <n v="0"/>
    <s v="REG100031"/>
    <s v="Cust 9923"/>
    <n v="12.35"/>
    <d v="2024-02-13T00:00:00"/>
    <d v="2024-02-15T00:00:00"/>
    <s v="Ryan"/>
    <n v="2198.849275"/>
    <n v="3043.39"/>
    <n v="844.54072499999984"/>
    <x v="2"/>
    <x v="5"/>
  </r>
  <r>
    <d v="2025-03-09T00:00:00"/>
    <x v="1"/>
    <x v="2"/>
    <s v="Desk"/>
    <s v="Desk"/>
    <x v="1"/>
    <n v="6"/>
    <n v="64.98"/>
    <s v="Store C"/>
    <s v="Retail"/>
    <n v="0"/>
    <x v="3"/>
    <n v="389.88"/>
    <s v="Debit Card"/>
    <s v="WINTER15"/>
    <n v="0"/>
    <s v="REG100032"/>
    <s v="Cust 2205"/>
    <n v="21.25"/>
    <d v="2025-03-09T00:00:00"/>
    <d v="2025-03-15T00:00:00"/>
    <s v="Sophie"/>
    <n v="389.88"/>
    <n v="389.88"/>
    <n v="0"/>
    <x v="0"/>
    <x v="8"/>
  </r>
  <r>
    <d v="2023-04-05T00:00:00"/>
    <x v="3"/>
    <x v="2"/>
    <s v="Desk"/>
    <s v="Desk"/>
    <x v="1"/>
    <n v="17"/>
    <n v="476.49"/>
    <s v="Store D"/>
    <s v="Retail"/>
    <n v="0"/>
    <x v="1"/>
    <n v="8100.33"/>
    <s v="Gift Card"/>
    <m/>
    <n v="0"/>
    <s v="REG100033"/>
    <s v="Cust 6403"/>
    <n v="17.91"/>
    <d v="2023-04-05T00:00:00"/>
    <d v="2023-04-11T00:00:00"/>
    <s v="Cameron"/>
    <n v="8100.33"/>
    <n v="8100.33"/>
    <n v="0"/>
    <x v="0"/>
    <x v="21"/>
  </r>
  <r>
    <d v="2025-05-08T00:00:00"/>
    <x v="2"/>
    <x v="4"/>
    <s v="Monitor"/>
    <s v="Monitor"/>
    <x v="0"/>
    <n v="4"/>
    <n v="559.72"/>
    <s v="Store D"/>
    <s v="Retail"/>
    <n v="0.15"/>
    <x v="4"/>
    <n v="1903.048"/>
    <s v="Online"/>
    <s v="SAVE10"/>
    <n v="0"/>
    <s v="REG100034"/>
    <s v="Cust 3953"/>
    <n v="41.91"/>
    <d v="2025-05-08T00:00:00"/>
    <d v="2025-05-12T00:00:00"/>
    <s v="Ryan"/>
    <n v="1617.5907999999999"/>
    <n v="2238.88"/>
    <n v="621.28920000000016"/>
    <x v="2"/>
    <x v="13"/>
  </r>
  <r>
    <d v="2023-09-03T00:00:00"/>
    <x v="2"/>
    <x v="5"/>
    <s v="Tablet"/>
    <s v="Tablet"/>
    <x v="0"/>
    <n v="14"/>
    <n v="82.14"/>
    <s v="Store C"/>
    <s v="Retail"/>
    <n v="0"/>
    <x v="1"/>
    <n v="1149.96"/>
    <s v="Credit Card"/>
    <m/>
    <n v="0"/>
    <s v="REG100035"/>
    <s v="Cust 7902"/>
    <n v="12.57"/>
    <d v="2023-09-03T00:00:00"/>
    <d v="2023-09-11T00:00:00"/>
    <s v="Ryan"/>
    <n v="1149.96"/>
    <n v="1149.96"/>
    <n v="0"/>
    <x v="0"/>
    <x v="22"/>
  </r>
  <r>
    <d v="2025-03-21T00:00:00"/>
    <x v="3"/>
    <x v="3"/>
    <s v="Chair"/>
    <s v="Chair"/>
    <x v="1"/>
    <n v="9"/>
    <n v="343.21"/>
    <s v="Store A"/>
    <s v="Retail"/>
    <n v="0.05"/>
    <x v="3"/>
    <n v="2934.4454999999998"/>
    <s v="Debit Card"/>
    <s v="FREESHIP"/>
    <n v="0"/>
    <s v="REG100036"/>
    <s v="Cust 9968"/>
    <n v="40.29"/>
    <d v="2025-03-21T00:00:00"/>
    <d v="2025-03-28T00:00:00"/>
    <s v="Cameron"/>
    <n v="2787.7232249999997"/>
    <n v="3088.89"/>
    <n v="301.16677500000014"/>
    <x v="1"/>
    <x v="8"/>
  </r>
  <r>
    <d v="2025-06-20T00:00:00"/>
    <x v="1"/>
    <x v="3"/>
    <s v="Chair"/>
    <s v="Chair"/>
    <x v="1"/>
    <n v="7"/>
    <n v="301.01"/>
    <s v="Store B"/>
    <s v="Retail"/>
    <n v="0.15"/>
    <x v="4"/>
    <n v="1791.0094999999999"/>
    <s v="Cash"/>
    <s v="SAVE10"/>
    <n v="1"/>
    <s v="REG100037"/>
    <s v="Cust 3787"/>
    <n v="34.97"/>
    <d v="2025-06-20T00:00:00"/>
    <d v="2025-06-30T00:00:00"/>
    <s v="Sophie"/>
    <n v="1522.3580749999999"/>
    <n v="2107.0699999999997"/>
    <n v="584.71192499999984"/>
    <x v="2"/>
    <x v="16"/>
  </r>
  <r>
    <d v="2024-02-15T00:00:00"/>
    <x v="3"/>
    <x v="6"/>
    <s v="Printer"/>
    <s v="Printer"/>
    <x v="2"/>
    <n v="14"/>
    <n v="428.13"/>
    <s v="Store C"/>
    <s v="Retail"/>
    <n v="0.1"/>
    <x v="5"/>
    <n v="5394.4380000000001"/>
    <s v="Cash"/>
    <m/>
    <n v="1"/>
    <s v="REG100038"/>
    <s v="Cust 2469"/>
    <n v="24.77"/>
    <d v="2024-02-15T00:00:00"/>
    <d v="2024-02-25T00:00:00"/>
    <s v="Cameron"/>
    <n v="4854.9942000000001"/>
    <n v="5993.82"/>
    <n v="1138.8257999999996"/>
    <x v="1"/>
    <x v="5"/>
  </r>
  <r>
    <d v="2023-06-09T00:00:00"/>
    <x v="3"/>
    <x v="0"/>
    <s v="Laptop"/>
    <s v="Laptop"/>
    <x v="0"/>
    <n v="2"/>
    <n v="503.28"/>
    <s v="Store D"/>
    <s v="Retail"/>
    <n v="0.15"/>
    <x v="1"/>
    <n v="855.57599999999991"/>
    <s v="Gift Card"/>
    <m/>
    <n v="0"/>
    <s v="REG100039"/>
    <s v="Cust 6468"/>
    <n v="34.79"/>
    <d v="2023-06-09T00:00:00"/>
    <d v="2023-06-17T00:00:00"/>
    <s v="Cameron"/>
    <n v="727.23959999999988"/>
    <n v="1006.56"/>
    <n v="279.32040000000006"/>
    <x v="2"/>
    <x v="4"/>
  </r>
  <r>
    <d v="2023-08-10T00:00:00"/>
    <x v="1"/>
    <x v="6"/>
    <s v="Printer"/>
    <s v="Printer"/>
    <x v="2"/>
    <n v="5"/>
    <n v="470.32"/>
    <s v="Store A"/>
    <s v="Retail"/>
    <n v="0.1"/>
    <x v="0"/>
    <n v="2116.44"/>
    <s v="Debit Card"/>
    <s v="SAVE10"/>
    <n v="0"/>
    <s v="REG100040"/>
    <s v="Cust 5312"/>
    <n v="17.77"/>
    <d v="2023-08-10T00:00:00"/>
    <d v="2023-08-14T00:00:00"/>
    <s v="Sophie"/>
    <n v="1904.796"/>
    <n v="2351.6"/>
    <n v="446.80399999999986"/>
    <x v="1"/>
    <x v="18"/>
  </r>
  <r>
    <d v="2024-06-16T00:00:00"/>
    <x v="3"/>
    <x v="6"/>
    <s v="Printer"/>
    <s v="Printer"/>
    <x v="2"/>
    <n v="20"/>
    <n v="65.17"/>
    <s v="Store C"/>
    <s v="Wholesale"/>
    <n v="0.05"/>
    <x v="0"/>
    <n v="1238.23"/>
    <s v="Gift Card"/>
    <s v="FREESHIP"/>
    <n v="0"/>
    <s v="REG100041"/>
    <s v="Cust 1482"/>
    <n v="21.72"/>
    <d v="2024-06-16T00:00:00"/>
    <d v="2024-06-25T00:00:00"/>
    <s v="Cameron"/>
    <n v="1176.3184999999999"/>
    <n v="1303.4000000000001"/>
    <n v="127.08150000000023"/>
    <x v="1"/>
    <x v="23"/>
  </r>
  <r>
    <d v="2023-07-23T00:00:00"/>
    <x v="1"/>
    <x v="0"/>
    <s v="Laptop"/>
    <s v="Laptop"/>
    <x v="0"/>
    <n v="12"/>
    <n v="36.17"/>
    <s v="Store A"/>
    <s v="Retail"/>
    <n v="0"/>
    <x v="0"/>
    <n v="434.04"/>
    <s v="Online"/>
    <s v="WINTER15"/>
    <n v="0"/>
    <s v="REG100042"/>
    <s v="Cust 7903"/>
    <n v="34.85"/>
    <d v="2023-07-23T00:00:00"/>
    <d v="2023-07-26T00:00:00"/>
    <s v="Sophie"/>
    <n v="434.04"/>
    <n v="434.04"/>
    <n v="0"/>
    <x v="0"/>
    <x v="11"/>
  </r>
  <r>
    <d v="2023-05-20T00:00:00"/>
    <x v="3"/>
    <x v="6"/>
    <s v="Printer"/>
    <s v="Printer"/>
    <x v="2"/>
    <n v="4"/>
    <n v="459.31"/>
    <s v="Store D"/>
    <s v="Wholesale"/>
    <n v="0.15"/>
    <x v="3"/>
    <n v="1561.654"/>
    <s v="Gift Card"/>
    <s v="WINTER15"/>
    <n v="1"/>
    <s v="REG100043"/>
    <s v="Cust 9605"/>
    <n v="27.39"/>
    <d v="2023-05-20T00:00:00"/>
    <d v="2023-05-27T00:00:00"/>
    <s v="Cameron"/>
    <n v="1327.4059"/>
    <n v="1837.24"/>
    <n v="509.83410000000003"/>
    <x v="2"/>
    <x v="2"/>
  </r>
  <r>
    <d v="2023-06-30T00:00:00"/>
    <x v="1"/>
    <x v="0"/>
    <s v="Laptop"/>
    <s v="Laptop"/>
    <x v="0"/>
    <n v="2"/>
    <n v="416.06"/>
    <s v="Store D"/>
    <s v="Retail"/>
    <n v="0.05"/>
    <x v="0"/>
    <n v="790.51400000000001"/>
    <s v="Debit Card"/>
    <s v="SAVE10"/>
    <n v="0"/>
    <s v="REG100044"/>
    <s v="Cust 3298"/>
    <n v="11.62"/>
    <d v="2023-06-30T00:00:00"/>
    <d v="2023-07-04T00:00:00"/>
    <s v="Sophie"/>
    <n v="750.98829999999998"/>
    <n v="832.12"/>
    <n v="81.131700000000023"/>
    <x v="1"/>
    <x v="4"/>
  </r>
  <r>
    <d v="2024-06-04T00:00:00"/>
    <x v="1"/>
    <x v="5"/>
    <s v="Tablet"/>
    <s v="Tablet"/>
    <x v="0"/>
    <n v="16"/>
    <n v="302.58"/>
    <s v="Store D"/>
    <s v="Retail"/>
    <n v="0"/>
    <x v="1"/>
    <n v="4841.28"/>
    <s v="Online"/>
    <s v="WINTER15"/>
    <n v="1"/>
    <s v="REG100045"/>
    <s v="Cust 5533"/>
    <n v="20.76"/>
    <d v="2024-06-04T00:00:00"/>
    <d v="2024-06-14T00:00:00"/>
    <s v="Sophie"/>
    <n v="4841.28"/>
    <n v="4841.28"/>
    <n v="0"/>
    <x v="0"/>
    <x v="23"/>
  </r>
  <r>
    <d v="2025-02-03T00:00:00"/>
    <x v="4"/>
    <x v="3"/>
    <s v="Chair"/>
    <s v="Chair"/>
    <x v="1"/>
    <n v="11"/>
    <n v="33.130000000000003"/>
    <s v="Store A"/>
    <s v="Retail"/>
    <n v="0.15"/>
    <x v="2"/>
    <n v="309.76549999999997"/>
    <s v="Online"/>
    <s v="FREESHIP"/>
    <n v="0"/>
    <s v="REG100046"/>
    <s v="Cust 6362"/>
    <n v="24.95"/>
    <d v="2025-02-03T00:00:00"/>
    <d v="2025-02-05T00:00:00"/>
    <s v="Wendy"/>
    <n v="263.30067499999996"/>
    <n v="364.43"/>
    <n v="101.12932500000005"/>
    <x v="2"/>
    <x v="3"/>
  </r>
  <r>
    <d v="2024-01-09T00:00:00"/>
    <x v="0"/>
    <x v="5"/>
    <s v="Tablet"/>
    <s v="Tablet"/>
    <x v="0"/>
    <n v="8"/>
    <n v="582.52"/>
    <s v="Store D"/>
    <s v="Retail"/>
    <n v="0.15"/>
    <x v="2"/>
    <n v="3961.136"/>
    <s v="Gift Card"/>
    <s v="WINTER15"/>
    <n v="0"/>
    <s v="REG100047"/>
    <s v="Cust 4826"/>
    <n v="6.47"/>
    <d v="2024-01-09T00:00:00"/>
    <d v="2024-01-13T00:00:00"/>
    <s v="Eric"/>
    <n v="3366.9656"/>
    <n v="4660.16"/>
    <n v="1293.1943999999999"/>
    <x v="2"/>
    <x v="24"/>
  </r>
  <r>
    <d v="2024-03-14T00:00:00"/>
    <x v="2"/>
    <x v="2"/>
    <s v="Desk"/>
    <s v="Desk"/>
    <x v="1"/>
    <n v="5"/>
    <n v="165.15"/>
    <s v="Store A"/>
    <s v="Retail"/>
    <n v="0.1"/>
    <x v="0"/>
    <n v="743.17500000000007"/>
    <s v="Gift Card"/>
    <m/>
    <n v="0"/>
    <s v="REG100048"/>
    <s v="Cust 2171"/>
    <n v="20.57"/>
    <d v="2024-03-14T00:00:00"/>
    <d v="2024-03-16T00:00:00"/>
    <s v="Ryan"/>
    <n v="668.85750000000007"/>
    <n v="825.75"/>
    <n v="156.89249999999993"/>
    <x v="1"/>
    <x v="25"/>
  </r>
  <r>
    <d v="2024-09-06T00:00:00"/>
    <x v="4"/>
    <x v="4"/>
    <s v="Monitor"/>
    <s v="Monitor"/>
    <x v="0"/>
    <n v="14"/>
    <n v="242.82"/>
    <s v="Store D"/>
    <s v="Wholesale"/>
    <n v="0.15"/>
    <x v="1"/>
    <n v="2889.558"/>
    <s v="Cash"/>
    <s v="WINTER15"/>
    <n v="1"/>
    <s v="REG100049"/>
    <s v="Cust 4005"/>
    <n v="20.71"/>
    <d v="2024-09-06T00:00:00"/>
    <d v="2024-09-13T00:00:00"/>
    <s v="Wendy"/>
    <n v="2456.1242999999999"/>
    <n v="3399.48"/>
    <n v="943.35570000000007"/>
    <x v="2"/>
    <x v="26"/>
  </r>
  <r>
    <d v="2023-03-17T00:00:00"/>
    <x v="0"/>
    <x v="4"/>
    <s v="Monitor"/>
    <s v="Monitor"/>
    <x v="0"/>
    <n v="13"/>
    <n v="65.989999999999995"/>
    <s v="Store A"/>
    <s v="Wholesale"/>
    <n v="0.1"/>
    <x v="2"/>
    <n v="772.08299999999997"/>
    <s v="Cash"/>
    <s v="WINTER15"/>
    <n v="0"/>
    <s v="REG100050"/>
    <s v="Cust 7032"/>
    <n v="12.87"/>
    <d v="2023-03-17T00:00:00"/>
    <d v="2023-03-20T00:00:00"/>
    <s v="Eric"/>
    <n v="694.87469999999996"/>
    <n v="857.86999999999989"/>
    <n v="162.99529999999993"/>
    <x v="1"/>
    <x v="17"/>
  </r>
  <r>
    <d v="2025-01-17T00:00:00"/>
    <x v="4"/>
    <x v="3"/>
    <s v="Chair"/>
    <s v="Chair"/>
    <x v="1"/>
    <n v="2"/>
    <n v="251.69"/>
    <s v="Store C"/>
    <s v="Wholesale"/>
    <n v="0"/>
    <x v="1"/>
    <n v="503.38"/>
    <s v="Debit Card"/>
    <s v="FREESHIP"/>
    <n v="0"/>
    <s v="REG100051"/>
    <s v="Cust 7167"/>
    <n v="42.49"/>
    <d v="2025-01-17T00:00:00"/>
    <d v="2025-01-24T00:00:00"/>
    <s v="Wendy"/>
    <n v="503.38"/>
    <n v="503.38"/>
    <n v="0"/>
    <x v="0"/>
    <x v="12"/>
  </r>
  <r>
    <d v="2024-09-12T00:00:00"/>
    <x v="1"/>
    <x v="0"/>
    <s v="Laptop"/>
    <s v="Laptop"/>
    <x v="0"/>
    <n v="1"/>
    <n v="269.41000000000003"/>
    <s v="Store B"/>
    <s v="Wholesale"/>
    <n v="0.1"/>
    <x v="0"/>
    <n v="242.46899999999999"/>
    <s v="Cash"/>
    <s v="WINTER15"/>
    <n v="1"/>
    <s v="REG100052"/>
    <s v="Cust 5702"/>
    <n v="19.22"/>
    <d v="2024-09-12T00:00:00"/>
    <d v="2024-09-18T00:00:00"/>
    <s v="Sophie"/>
    <n v="218.22210000000001"/>
    <n v="269.41000000000003"/>
    <n v="51.187900000000013"/>
    <x v="1"/>
    <x v="26"/>
  </r>
  <r>
    <d v="2024-01-05T00:00:00"/>
    <x v="1"/>
    <x v="4"/>
    <s v="Monitor"/>
    <s v="Monitor"/>
    <x v="0"/>
    <n v="2"/>
    <n v="371.3"/>
    <s v="Store B"/>
    <s v="Wholesale"/>
    <n v="0.05"/>
    <x v="5"/>
    <n v="705.47"/>
    <s v="Credit Card"/>
    <s v="SAVE10"/>
    <n v="0"/>
    <s v="REG100053"/>
    <s v="Cust 4944"/>
    <n v="36.51"/>
    <d v="2024-01-05T00:00:00"/>
    <d v="2024-01-15T00:00:00"/>
    <s v="Sophie"/>
    <n v="670.19650000000001"/>
    <n v="742.6"/>
    <n v="72.403500000000008"/>
    <x v="1"/>
    <x v="24"/>
  </r>
  <r>
    <d v="2024-04-19T00:00:00"/>
    <x v="4"/>
    <x v="5"/>
    <s v="Tablet"/>
    <s v="Tablet"/>
    <x v="0"/>
    <n v="11"/>
    <n v="288.24"/>
    <s v="Store A"/>
    <s v="Wholesale"/>
    <n v="0.15"/>
    <x v="4"/>
    <n v="2695.0439999999999"/>
    <s v="Online"/>
    <m/>
    <n v="0"/>
    <s v="REG100054"/>
    <s v="Cust 8149"/>
    <n v="37.39"/>
    <d v="2024-04-19T00:00:00"/>
    <d v="2024-04-25T00:00:00"/>
    <s v="Wendy"/>
    <n v="2290.7873999999997"/>
    <n v="3170.6400000000003"/>
    <n v="879.85260000000062"/>
    <x v="2"/>
    <x v="9"/>
  </r>
  <r>
    <d v="2025-06-11T00:00:00"/>
    <x v="3"/>
    <x v="5"/>
    <s v="Tablet"/>
    <s v="Tablet"/>
    <x v="0"/>
    <n v="11"/>
    <n v="232.75"/>
    <s v="Store D"/>
    <s v="Wholesale"/>
    <n v="0.05"/>
    <x v="0"/>
    <n v="2432.2375000000002"/>
    <s v="Credit Card"/>
    <s v="SAVE10"/>
    <n v="0"/>
    <s v="REG100055"/>
    <s v="Cust 3638"/>
    <n v="36.33"/>
    <d v="2025-06-11T00:00:00"/>
    <d v="2025-06-21T00:00:00"/>
    <s v="Cameron"/>
    <n v="2310.6256250000001"/>
    <n v="2560.25"/>
    <n v="249.62437499999987"/>
    <x v="1"/>
    <x v="16"/>
  </r>
  <r>
    <d v="2025-03-06T00:00:00"/>
    <x v="0"/>
    <x v="1"/>
    <s v="Phone"/>
    <s v="Phone"/>
    <x v="0"/>
    <n v="17"/>
    <n v="146.28"/>
    <s v="Store B"/>
    <s v="Retail"/>
    <n v="0.15"/>
    <x v="3"/>
    <n v="2113.7460000000001"/>
    <s v="Cash"/>
    <s v="SAVE10"/>
    <n v="0"/>
    <s v="REG100056"/>
    <s v="Cust 9973"/>
    <n v="7.84"/>
    <d v="2025-03-06T00:00:00"/>
    <d v="2025-03-15T00:00:00"/>
    <s v="Eric"/>
    <n v="1796.6840999999999"/>
    <n v="2486.7600000000002"/>
    <n v="690.07590000000027"/>
    <x v="2"/>
    <x v="8"/>
  </r>
  <r>
    <d v="2023-05-24T00:00:00"/>
    <x v="0"/>
    <x v="3"/>
    <s v="Chair"/>
    <s v="Chair"/>
    <x v="1"/>
    <n v="5"/>
    <n v="100.38"/>
    <s v="Store C"/>
    <s v="Retail"/>
    <n v="0.1"/>
    <x v="0"/>
    <n v="451.71"/>
    <s v="Gift Card"/>
    <s v="WINTER15"/>
    <n v="1"/>
    <s v="REG100057"/>
    <s v="Cust 4214"/>
    <n v="18.350000000000001"/>
    <d v="2023-05-24T00:00:00"/>
    <d v="2023-05-26T00:00:00"/>
    <s v="Eric"/>
    <n v="406.53899999999999"/>
    <n v="501.9"/>
    <n v="95.36099999999999"/>
    <x v="1"/>
    <x v="2"/>
  </r>
  <r>
    <d v="2023-01-27T00:00:00"/>
    <x v="1"/>
    <x v="1"/>
    <s v="Phone"/>
    <s v="Phone"/>
    <x v="0"/>
    <n v="11"/>
    <n v="375.48"/>
    <s v="Store B"/>
    <s v="Retail"/>
    <n v="0.05"/>
    <x v="5"/>
    <n v="3923.766000000001"/>
    <s v="Debit Card"/>
    <s v="WINTER15"/>
    <n v="0"/>
    <s v="REG100058"/>
    <s v="Cust 2647"/>
    <n v="15.95"/>
    <d v="2023-01-27T00:00:00"/>
    <d v="2023-02-03T00:00:00"/>
    <s v="Sophie"/>
    <n v="3727.5777000000007"/>
    <n v="4130.2800000000007"/>
    <n v="402.70229999999992"/>
    <x v="1"/>
    <x v="6"/>
  </r>
  <r>
    <d v="2024-03-21T00:00:00"/>
    <x v="1"/>
    <x v="0"/>
    <s v="Laptop"/>
    <s v="Laptop"/>
    <x v="0"/>
    <n v="18"/>
    <n v="316.89"/>
    <s v="Store B"/>
    <s v="Wholesale"/>
    <n v="0.05"/>
    <x v="5"/>
    <n v="5418.8190000000004"/>
    <s v="Cash"/>
    <s v="FREESHIP"/>
    <n v="0"/>
    <s v="REG100059"/>
    <s v="Cust 3552"/>
    <n v="15.69"/>
    <d v="2024-03-21T00:00:00"/>
    <d v="2024-03-27T00:00:00"/>
    <s v="Sophie"/>
    <n v="5147.8780500000003"/>
    <n v="5704.0199999999995"/>
    <n v="556.14194999999927"/>
    <x v="1"/>
    <x v="25"/>
  </r>
  <r>
    <d v="2025-01-25T00:00:00"/>
    <x v="4"/>
    <x v="0"/>
    <s v="Laptop"/>
    <s v="Laptop"/>
    <x v="0"/>
    <n v="20"/>
    <n v="295.06"/>
    <s v="Store D"/>
    <s v="Retail"/>
    <n v="0.15"/>
    <x v="2"/>
    <n v="5016.0200000000004"/>
    <s v="Online"/>
    <s v="SAVE10"/>
    <n v="1"/>
    <s v="REG100060"/>
    <s v="Cust 3354"/>
    <n v="13.66"/>
    <d v="2025-01-25T00:00:00"/>
    <d v="2025-01-31T00:00:00"/>
    <s v="Wendy"/>
    <n v="4263.6170000000002"/>
    <n v="5901.2"/>
    <n v="1637.5829999999996"/>
    <x v="2"/>
    <x v="12"/>
  </r>
  <r>
    <d v="2023-06-12T00:00:00"/>
    <x v="3"/>
    <x v="1"/>
    <s v="Phone"/>
    <s v="Phone"/>
    <x v="0"/>
    <n v="8"/>
    <n v="301.68"/>
    <s v="Store D"/>
    <s v="Retail"/>
    <n v="0"/>
    <x v="0"/>
    <n v="2413.44"/>
    <s v="Cash"/>
    <s v="SAVE10"/>
    <n v="0"/>
    <s v="REG100061"/>
    <s v="Cust 3903"/>
    <n v="36.54"/>
    <d v="2023-06-12T00:00:00"/>
    <d v="2023-06-21T00:00:00"/>
    <s v="Cameron"/>
    <n v="2413.44"/>
    <n v="2413.44"/>
    <n v="0"/>
    <x v="0"/>
    <x v="4"/>
  </r>
  <r>
    <d v="2025-03-22T00:00:00"/>
    <x v="3"/>
    <x v="3"/>
    <s v="Chair"/>
    <s v="Chair"/>
    <x v="1"/>
    <n v="3"/>
    <n v="475.39"/>
    <s v="Store B"/>
    <s v="Retail"/>
    <n v="0.1"/>
    <x v="1"/>
    <n v="1283.5530000000001"/>
    <s v="Gift Card"/>
    <m/>
    <n v="0"/>
    <s v="REG100062"/>
    <s v="Cust 5358"/>
    <n v="15.62"/>
    <d v="2025-03-22T00:00:00"/>
    <d v="2025-03-26T00:00:00"/>
    <s v="Cameron"/>
    <n v="1155.1977000000002"/>
    <n v="1426.17"/>
    <n v="270.9722999999999"/>
    <x v="1"/>
    <x v="8"/>
  </r>
  <r>
    <d v="2024-02-24T00:00:00"/>
    <x v="3"/>
    <x v="2"/>
    <s v="Desk"/>
    <s v="Desk"/>
    <x v="1"/>
    <n v="16"/>
    <n v="47.25"/>
    <s v="Store D"/>
    <s v="Retail"/>
    <n v="0.15"/>
    <x v="5"/>
    <n v="642.6"/>
    <s v="Debit Card"/>
    <s v="FREESHIP"/>
    <n v="0"/>
    <s v="REG100063"/>
    <s v="Cust 8144"/>
    <n v="29.5"/>
    <d v="2024-02-24T00:00:00"/>
    <d v="2024-02-27T00:00:00"/>
    <s v="Cameron"/>
    <n v="546.21"/>
    <n v="756"/>
    <n v="209.78999999999996"/>
    <x v="2"/>
    <x v="5"/>
  </r>
  <r>
    <d v="2023-12-09T00:00:00"/>
    <x v="1"/>
    <x v="3"/>
    <s v="Chair"/>
    <s v="Chair"/>
    <x v="1"/>
    <n v="15"/>
    <n v="511.17"/>
    <s v="Store B"/>
    <s v="Wholesale"/>
    <n v="0"/>
    <x v="2"/>
    <n v="7667.55"/>
    <s v="Online"/>
    <s v="FREESHIP"/>
    <n v="0"/>
    <s v="REG100064"/>
    <s v="Cust 6747"/>
    <n v="21.77"/>
    <d v="2023-12-09T00:00:00"/>
    <d v="2023-12-12T00:00:00"/>
    <s v="Sophie"/>
    <n v="7667.55"/>
    <n v="7667.55"/>
    <n v="0"/>
    <x v="0"/>
    <x v="27"/>
  </r>
  <r>
    <d v="2023-10-01T00:00:00"/>
    <x v="3"/>
    <x v="4"/>
    <s v="Monitor"/>
    <s v="Monitor"/>
    <x v="0"/>
    <n v="3"/>
    <n v="66.58"/>
    <s v="Store B"/>
    <s v="Retail"/>
    <n v="0.1"/>
    <x v="2"/>
    <n v="179.76599999999999"/>
    <s v="Debit Card"/>
    <s v="FREESHIP"/>
    <n v="0"/>
    <s v="REG100065"/>
    <s v="Cust 8330"/>
    <n v="22.43"/>
    <d v="2023-10-01T00:00:00"/>
    <d v="2023-10-05T00:00:00"/>
    <s v="Cameron"/>
    <n v="161.7894"/>
    <n v="199.74"/>
    <n v="37.950600000000009"/>
    <x v="1"/>
    <x v="19"/>
  </r>
  <r>
    <d v="2023-07-31T00:00:00"/>
    <x v="4"/>
    <x v="5"/>
    <s v="Tablet"/>
    <s v="Tablet"/>
    <x v="0"/>
    <n v="5"/>
    <n v="490.52"/>
    <s v="Store D"/>
    <s v="Wholesale"/>
    <n v="0.05"/>
    <x v="2"/>
    <n v="2329.9699999999998"/>
    <s v="Online"/>
    <m/>
    <n v="0"/>
    <s v="REG100066"/>
    <s v="Cust 7186"/>
    <n v="12.24"/>
    <d v="2023-07-31T00:00:00"/>
    <d v="2023-08-07T00:00:00"/>
    <s v="Wendy"/>
    <n v="2213.4714999999997"/>
    <n v="2452.6"/>
    <n v="239.12850000000026"/>
    <x v="1"/>
    <x v="11"/>
  </r>
  <r>
    <d v="2024-12-24T00:00:00"/>
    <x v="1"/>
    <x v="3"/>
    <s v="Chair"/>
    <s v="Chair"/>
    <x v="1"/>
    <n v="8"/>
    <n v="405.96"/>
    <s v="Store A"/>
    <s v="Wholesale"/>
    <n v="0.05"/>
    <x v="3"/>
    <n v="3085.2959999999998"/>
    <s v="Credit Card"/>
    <s v="WINTER15"/>
    <n v="0"/>
    <s v="REG100067"/>
    <s v="Cust 8287"/>
    <n v="41.27"/>
    <d v="2024-12-24T00:00:00"/>
    <d v="2024-12-31T00:00:00"/>
    <s v="Sophie"/>
    <n v="2931.0311999999999"/>
    <n v="3247.68"/>
    <n v="316.64879999999994"/>
    <x v="1"/>
    <x v="1"/>
  </r>
  <r>
    <d v="2024-11-15T00:00:00"/>
    <x v="2"/>
    <x v="1"/>
    <s v="Phone"/>
    <s v="Phone"/>
    <x v="0"/>
    <n v="1"/>
    <n v="159.41"/>
    <s v="Store B"/>
    <s v="Retail"/>
    <n v="0.1"/>
    <x v="5"/>
    <n v="143.46899999999999"/>
    <s v="Credit Card"/>
    <s v="FREESHIP"/>
    <n v="0"/>
    <s v="REG100068"/>
    <s v="Cust 3986"/>
    <n v="35.14"/>
    <d v="2024-11-15T00:00:00"/>
    <d v="2024-11-19T00:00:00"/>
    <s v="Ryan"/>
    <n v="129.12209999999999"/>
    <n v="159.41"/>
    <n v="30.287900000000008"/>
    <x v="1"/>
    <x v="20"/>
  </r>
  <r>
    <d v="2025-03-13T00:00:00"/>
    <x v="4"/>
    <x v="4"/>
    <s v="Monitor"/>
    <s v="Monitor"/>
    <x v="0"/>
    <n v="16"/>
    <n v="38.49"/>
    <s v="Store C"/>
    <s v="Retail"/>
    <n v="0.15"/>
    <x v="3"/>
    <n v="523.46400000000006"/>
    <s v="Debit Card"/>
    <s v="SAVE10"/>
    <n v="0"/>
    <s v="REG100069"/>
    <s v="Cust 3213"/>
    <n v="8.3800000000000008"/>
    <d v="2025-03-13T00:00:00"/>
    <d v="2025-03-22T00:00:00"/>
    <s v="Wendy"/>
    <n v="444.94440000000003"/>
    <n v="615.84"/>
    <n v="170.8956"/>
    <x v="2"/>
    <x v="8"/>
  </r>
  <r>
    <d v="2024-03-03T00:00:00"/>
    <x v="0"/>
    <x v="5"/>
    <s v="Tablet"/>
    <s v="Tablet"/>
    <x v="0"/>
    <n v="15"/>
    <n v="328.36"/>
    <s v="Store D"/>
    <s v="Retail"/>
    <n v="0.15"/>
    <x v="1"/>
    <n v="4186.59"/>
    <s v="Gift Card"/>
    <s v="WINTER15"/>
    <n v="0"/>
    <s v="REG100070"/>
    <s v="Cust 1907"/>
    <n v="15.76"/>
    <d v="2024-03-03T00:00:00"/>
    <d v="2024-03-12T00:00:00"/>
    <s v="Eric"/>
    <n v="3558.6015000000002"/>
    <n v="4925.4000000000005"/>
    <n v="1366.7985000000003"/>
    <x v="2"/>
    <x v="25"/>
  </r>
  <r>
    <d v="2023-02-11T00:00:00"/>
    <x v="3"/>
    <x v="5"/>
    <s v="Tablet"/>
    <s v="Tablet"/>
    <x v="0"/>
    <n v="20"/>
    <n v="548.01"/>
    <s v="Store A"/>
    <s v="Wholesale"/>
    <n v="0.1"/>
    <x v="0"/>
    <n v="9864.18"/>
    <s v="Credit Card"/>
    <s v="WINTER15"/>
    <n v="1"/>
    <s v="REG100071"/>
    <s v="Cust 4639"/>
    <n v="5.89"/>
    <d v="2023-02-11T00:00:00"/>
    <d v="2023-02-14T00:00:00"/>
    <s v="Cameron"/>
    <n v="8877.7620000000006"/>
    <n v="10960.2"/>
    <n v="2082.4380000000001"/>
    <x v="1"/>
    <x v="0"/>
  </r>
  <r>
    <d v="2023-10-26T00:00:00"/>
    <x v="1"/>
    <x v="2"/>
    <s v="Desk"/>
    <s v="Desk"/>
    <x v="1"/>
    <n v="13"/>
    <n v="484.45"/>
    <s v="Store B"/>
    <s v="Wholesale"/>
    <n v="0.05"/>
    <x v="3"/>
    <n v="5982.9575000000004"/>
    <s v="Gift Card"/>
    <s v="WINTER15"/>
    <n v="1"/>
    <s v="REG100072"/>
    <s v="Cust 4153"/>
    <n v="6.57"/>
    <d v="2023-10-26T00:00:00"/>
    <d v="2023-11-05T00:00:00"/>
    <s v="Sophie"/>
    <n v="5683.8096249999999"/>
    <n v="6297.8499999999995"/>
    <n v="614.04037499999959"/>
    <x v="1"/>
    <x v="19"/>
  </r>
  <r>
    <d v="2023-10-21T00:00:00"/>
    <x v="1"/>
    <x v="4"/>
    <s v="Monitor"/>
    <s v="Monitor"/>
    <x v="0"/>
    <n v="13"/>
    <n v="195.84"/>
    <s v="Store A"/>
    <s v="Wholesale"/>
    <n v="0.05"/>
    <x v="1"/>
    <n v="2418.6239999999998"/>
    <s v="Credit Card"/>
    <m/>
    <n v="0"/>
    <s v="REG100073"/>
    <s v="Cust 7096"/>
    <n v="33.520000000000003"/>
    <d v="2023-10-21T00:00:00"/>
    <d v="2023-10-28T00:00:00"/>
    <s v="Sophie"/>
    <n v="2297.6927999999998"/>
    <n v="2545.92"/>
    <n v="248.22720000000027"/>
    <x v="1"/>
    <x v="19"/>
  </r>
  <r>
    <d v="2024-01-14T00:00:00"/>
    <x v="3"/>
    <x v="5"/>
    <s v="Tablet"/>
    <s v="Tablet"/>
    <x v="0"/>
    <n v="19"/>
    <n v="29.94"/>
    <s v="Store D"/>
    <s v="Retail"/>
    <n v="0.15"/>
    <x v="4"/>
    <n v="483.53100000000001"/>
    <s v="Debit Card"/>
    <s v="FREESHIP"/>
    <n v="0"/>
    <s v="REG100074"/>
    <s v="Cust 3806"/>
    <n v="33.590000000000003"/>
    <d v="2024-01-14T00:00:00"/>
    <d v="2024-01-20T00:00:00"/>
    <s v="Cameron"/>
    <n v="411.00135"/>
    <n v="568.86"/>
    <n v="157.85865000000001"/>
    <x v="2"/>
    <x v="24"/>
  </r>
  <r>
    <d v="2023-07-27T00:00:00"/>
    <x v="3"/>
    <x v="2"/>
    <s v="Desk"/>
    <s v="Desk"/>
    <x v="1"/>
    <n v="10"/>
    <n v="553.91"/>
    <s v="Store D"/>
    <s v="Wholesale"/>
    <n v="0.1"/>
    <x v="0"/>
    <n v="4985.1899999999996"/>
    <s v="Online"/>
    <m/>
    <n v="0"/>
    <s v="REG100075"/>
    <s v="Cust 9345"/>
    <n v="31.3"/>
    <d v="2023-07-27T00:00:00"/>
    <d v="2023-07-31T00:00:00"/>
    <s v="Cameron"/>
    <n v="4486.6709999999994"/>
    <n v="5539.0999999999995"/>
    <n v="1052.4290000000001"/>
    <x v="1"/>
    <x v="11"/>
  </r>
  <r>
    <d v="2024-10-23T00:00:00"/>
    <x v="1"/>
    <x v="1"/>
    <s v="Phone"/>
    <s v="Phone"/>
    <x v="0"/>
    <n v="14"/>
    <n v="445.52"/>
    <s v="Store B"/>
    <s v="Retail"/>
    <n v="0.1"/>
    <x v="5"/>
    <n v="5613.5519999999997"/>
    <s v="Online"/>
    <s v="SAVE10"/>
    <n v="0"/>
    <s v="REG100076"/>
    <s v="Cust 4456"/>
    <n v="14.41"/>
    <d v="2024-10-23T00:00:00"/>
    <d v="2024-10-25T00:00:00"/>
    <s v="Sophie"/>
    <n v="5052.1967999999997"/>
    <n v="6237.28"/>
    <n v="1185.0832"/>
    <x v="1"/>
    <x v="7"/>
  </r>
  <r>
    <d v="2023-09-26T00:00:00"/>
    <x v="1"/>
    <x v="3"/>
    <s v="Chair"/>
    <s v="Chair"/>
    <x v="1"/>
    <n v="5"/>
    <n v="551.58000000000004"/>
    <s v="Store B"/>
    <s v="Retail"/>
    <n v="0.15"/>
    <x v="1"/>
    <n v="2344.2150000000001"/>
    <s v="Online"/>
    <s v="WINTER15"/>
    <n v="1"/>
    <s v="REG100077"/>
    <s v="Cust 1089"/>
    <n v="7.87"/>
    <d v="2023-09-26T00:00:00"/>
    <d v="2023-10-01T00:00:00"/>
    <s v="Sophie"/>
    <n v="1992.58275"/>
    <n v="2757.9"/>
    <n v="765.31725000000006"/>
    <x v="2"/>
    <x v="22"/>
  </r>
  <r>
    <d v="2023-12-16T00:00:00"/>
    <x v="0"/>
    <x v="1"/>
    <s v="Phone"/>
    <s v="Phone"/>
    <x v="0"/>
    <n v="13"/>
    <n v="241.4"/>
    <s v="Store D"/>
    <s v="Retail"/>
    <n v="0"/>
    <x v="3"/>
    <n v="3138.2"/>
    <s v="Gift Card"/>
    <s v="SAVE10"/>
    <n v="0"/>
    <s v="REG100078"/>
    <s v="Cust 7230"/>
    <n v="49.05"/>
    <d v="2023-12-16T00:00:00"/>
    <d v="2023-12-20T00:00:00"/>
    <s v="Eric"/>
    <n v="3138.2"/>
    <n v="3138.2000000000003"/>
    <n v="0"/>
    <x v="0"/>
    <x v="27"/>
  </r>
  <r>
    <d v="2024-01-02T00:00:00"/>
    <x v="3"/>
    <x v="6"/>
    <s v="Printer"/>
    <s v="Printer"/>
    <x v="2"/>
    <n v="19"/>
    <n v="351.93"/>
    <s v="Store A"/>
    <s v="Wholesale"/>
    <n v="0"/>
    <x v="1"/>
    <n v="6686.67"/>
    <s v="Credit Card"/>
    <m/>
    <n v="0"/>
    <s v="REG100079"/>
    <s v="Cust 6597"/>
    <n v="39.979999999999997"/>
    <d v="2024-01-02T00:00:00"/>
    <d v="2024-01-05T00:00:00"/>
    <s v="Cameron"/>
    <n v="6686.67"/>
    <n v="6686.67"/>
    <n v="0"/>
    <x v="0"/>
    <x v="24"/>
  </r>
  <r>
    <d v="2024-02-16T00:00:00"/>
    <x v="2"/>
    <x v="1"/>
    <s v="Phone"/>
    <s v="Phone"/>
    <x v="0"/>
    <n v="4"/>
    <n v="83.75"/>
    <s v="Store A"/>
    <s v="Retail"/>
    <n v="0.05"/>
    <x v="1"/>
    <n v="318.25"/>
    <s v="Debit Card"/>
    <s v="SAVE10"/>
    <n v="1"/>
    <s v="REG100080"/>
    <s v="Cust 4108"/>
    <n v="38.82"/>
    <d v="2024-02-16T00:00:00"/>
    <d v="2024-02-25T00:00:00"/>
    <s v="Ryan"/>
    <n v="302.33749999999998"/>
    <n v="335"/>
    <n v="32.662500000000023"/>
    <x v="1"/>
    <x v="5"/>
  </r>
  <r>
    <d v="2024-05-03T00:00:00"/>
    <x v="0"/>
    <x v="4"/>
    <s v="Monitor"/>
    <s v="Monitor"/>
    <x v="0"/>
    <n v="5"/>
    <n v="416.95"/>
    <s v="Store A"/>
    <s v="Wholesale"/>
    <n v="0.15"/>
    <x v="2"/>
    <n v="1772.0374999999999"/>
    <s v="Online"/>
    <m/>
    <n v="1"/>
    <s v="REG100081"/>
    <s v="Cust 2883"/>
    <n v="24.03"/>
    <d v="2024-05-03T00:00:00"/>
    <d v="2024-05-12T00:00:00"/>
    <s v="Eric"/>
    <n v="1506.2318749999999"/>
    <n v="2084.75"/>
    <n v="578.51812500000005"/>
    <x v="2"/>
    <x v="14"/>
  </r>
  <r>
    <d v="2023-05-27T00:00:00"/>
    <x v="4"/>
    <x v="4"/>
    <s v="Monitor"/>
    <s v="Monitor"/>
    <x v="0"/>
    <n v="18"/>
    <n v="142.43"/>
    <s v="Store C"/>
    <s v="Retail"/>
    <n v="0.05"/>
    <x v="5"/>
    <n v="2435.5529999999999"/>
    <s v="Credit Card"/>
    <s v="SAVE10"/>
    <n v="1"/>
    <s v="REG100082"/>
    <s v="Cust 5018"/>
    <n v="12.38"/>
    <d v="2023-05-27T00:00:00"/>
    <d v="2023-06-02T00:00:00"/>
    <s v="Wendy"/>
    <n v="2313.7753499999999"/>
    <n v="2563.7400000000002"/>
    <n v="249.96465000000035"/>
    <x v="1"/>
    <x v="2"/>
  </r>
  <r>
    <d v="2023-01-05T00:00:00"/>
    <x v="0"/>
    <x v="2"/>
    <s v="Desk"/>
    <s v="Desk"/>
    <x v="1"/>
    <n v="12"/>
    <n v="582.52"/>
    <s v="Store A"/>
    <s v="Wholesale"/>
    <n v="0"/>
    <x v="5"/>
    <n v="6990.24"/>
    <s v="Credit Card"/>
    <s v="FREESHIP"/>
    <n v="0"/>
    <s v="REG100083"/>
    <s v="Cust 1231"/>
    <n v="41.16"/>
    <d v="2023-01-05T00:00:00"/>
    <d v="2023-01-11T00:00:00"/>
    <s v="Eric"/>
    <n v="6990.24"/>
    <n v="6990.24"/>
    <n v="0"/>
    <x v="0"/>
    <x v="6"/>
  </r>
  <r>
    <d v="2025-05-21T00:00:00"/>
    <x v="0"/>
    <x v="3"/>
    <s v="Chair"/>
    <s v="Chair"/>
    <x v="1"/>
    <n v="20"/>
    <n v="129.56"/>
    <s v="Store A"/>
    <s v="Retail"/>
    <n v="0.15"/>
    <x v="4"/>
    <n v="2202.52"/>
    <s v="Online"/>
    <s v="WINTER15"/>
    <n v="0"/>
    <s v="REG100084"/>
    <s v="Cust 2209"/>
    <n v="40.21"/>
    <d v="2025-05-21T00:00:00"/>
    <d v="2025-05-23T00:00:00"/>
    <s v="Eric"/>
    <n v="1872.1419999999998"/>
    <n v="2591.1999999999998"/>
    <n v="719.05799999999999"/>
    <x v="2"/>
    <x v="13"/>
  </r>
  <r>
    <d v="2023-07-21T00:00:00"/>
    <x v="3"/>
    <x v="5"/>
    <s v="Tablet"/>
    <s v="Tablet"/>
    <x v="0"/>
    <n v="17"/>
    <n v="431.82"/>
    <s v="Store B"/>
    <s v="Retail"/>
    <n v="0"/>
    <x v="0"/>
    <n v="7340.94"/>
    <s v="Gift Card"/>
    <s v="FREESHIP"/>
    <n v="1"/>
    <s v="REG100085"/>
    <s v="Cust 6684"/>
    <n v="37.75"/>
    <d v="2023-07-21T00:00:00"/>
    <d v="2023-07-25T00:00:00"/>
    <s v="Cameron"/>
    <n v="7340.94"/>
    <n v="7340.94"/>
    <n v="0"/>
    <x v="0"/>
    <x v="11"/>
  </r>
  <r>
    <d v="2025-05-25T00:00:00"/>
    <x v="0"/>
    <x v="0"/>
    <s v="Laptop"/>
    <s v="Laptop"/>
    <x v="0"/>
    <n v="15"/>
    <n v="15.85"/>
    <s v="Store C"/>
    <s v="Retail"/>
    <n v="0"/>
    <x v="5"/>
    <n v="237.75"/>
    <s v="Debit Card"/>
    <s v="WINTER15"/>
    <n v="0"/>
    <s v="REG100086"/>
    <s v="Cust 5289"/>
    <n v="23.49"/>
    <d v="2025-05-25T00:00:00"/>
    <d v="2025-06-03T00:00:00"/>
    <s v="Eric"/>
    <n v="237.75"/>
    <n v="237.75"/>
    <n v="0"/>
    <x v="0"/>
    <x v="13"/>
  </r>
  <r>
    <d v="2024-11-16T00:00:00"/>
    <x v="1"/>
    <x v="5"/>
    <s v="Tablet"/>
    <s v="Tablet"/>
    <x v="0"/>
    <n v="20"/>
    <n v="548.34"/>
    <s v="Store B"/>
    <s v="Retail"/>
    <n v="0.1"/>
    <x v="5"/>
    <n v="9870.1200000000008"/>
    <s v="Gift Card"/>
    <s v="WINTER15"/>
    <n v="0"/>
    <s v="REG100087"/>
    <s v="Cust 9159"/>
    <n v="33.47"/>
    <d v="2024-11-16T00:00:00"/>
    <d v="2024-11-22T00:00:00"/>
    <s v="Sophie"/>
    <n v="8883.1080000000002"/>
    <n v="10966.800000000001"/>
    <n v="2083.6920000000009"/>
    <x v="1"/>
    <x v="20"/>
  </r>
  <r>
    <d v="2023-11-19T00:00:00"/>
    <x v="2"/>
    <x v="0"/>
    <s v="Laptop"/>
    <s v="Laptop"/>
    <x v="0"/>
    <n v="16"/>
    <n v="525.83000000000004"/>
    <s v="Store C"/>
    <s v="Wholesale"/>
    <n v="0.05"/>
    <x v="2"/>
    <n v="7992.616"/>
    <s v="Online"/>
    <m/>
    <n v="0"/>
    <s v="REG100088"/>
    <s v="Cust 4844"/>
    <n v="36.47"/>
    <d v="2023-11-19T00:00:00"/>
    <d v="2023-11-25T00:00:00"/>
    <s v="Ryan"/>
    <n v="7592.9852000000001"/>
    <n v="8413.2800000000007"/>
    <n v="820.29480000000058"/>
    <x v="1"/>
    <x v="15"/>
  </r>
  <r>
    <d v="2025-01-12T00:00:00"/>
    <x v="3"/>
    <x v="0"/>
    <s v="Laptop"/>
    <s v="Laptop"/>
    <x v="0"/>
    <n v="15"/>
    <n v="411.38"/>
    <s v="Store A"/>
    <s v="Wholesale"/>
    <n v="0.05"/>
    <x v="5"/>
    <n v="5862.165"/>
    <s v="Online"/>
    <s v="SAVE10"/>
    <n v="0"/>
    <s v="REG100089"/>
    <s v="Cust 3273"/>
    <n v="48.51"/>
    <d v="2025-01-12T00:00:00"/>
    <d v="2025-01-21T00:00:00"/>
    <s v="Cameron"/>
    <n v="5569.0567499999997"/>
    <n v="6170.7"/>
    <n v="601.64325000000008"/>
    <x v="1"/>
    <x v="12"/>
  </r>
  <r>
    <d v="2023-03-29T00:00:00"/>
    <x v="2"/>
    <x v="4"/>
    <s v="Monitor"/>
    <s v="Monitor"/>
    <x v="0"/>
    <n v="19"/>
    <n v="559.95000000000005"/>
    <s v="Store A"/>
    <s v="Wholesale"/>
    <n v="0.1"/>
    <x v="3"/>
    <n v="9575.1450000000004"/>
    <s v="Credit Card"/>
    <s v="WINTER15"/>
    <n v="0"/>
    <s v="REG100090"/>
    <s v="Cust 8160"/>
    <n v="18.3"/>
    <d v="2023-03-29T00:00:00"/>
    <d v="2023-04-03T00:00:00"/>
    <s v="Ryan"/>
    <n v="8617.6305000000011"/>
    <n v="10639.050000000001"/>
    <n v="2021.4195"/>
    <x v="1"/>
    <x v="17"/>
  </r>
  <r>
    <d v="2025-03-01T00:00:00"/>
    <x v="2"/>
    <x v="2"/>
    <s v="Desk"/>
    <s v="Desk"/>
    <x v="1"/>
    <n v="8"/>
    <n v="179.9"/>
    <s v="Store C"/>
    <s v="Retail"/>
    <n v="0.05"/>
    <x v="3"/>
    <n v="1367.24"/>
    <s v="Online"/>
    <s v="SAVE10"/>
    <n v="0"/>
    <s v="REG100091"/>
    <s v="Cust 4439"/>
    <n v="14.8"/>
    <d v="2025-03-01T00:00:00"/>
    <d v="2025-03-05T00:00:00"/>
    <s v="Ryan"/>
    <n v="1298.8779999999999"/>
    <n v="1439.2"/>
    <n v="140.32200000000012"/>
    <x v="1"/>
    <x v="8"/>
  </r>
  <r>
    <d v="2023-10-18T00:00:00"/>
    <x v="2"/>
    <x v="3"/>
    <s v="Chair"/>
    <s v="Chair"/>
    <x v="1"/>
    <n v="12"/>
    <n v="494.15"/>
    <s v="Store B"/>
    <s v="Wholesale"/>
    <n v="0.15"/>
    <x v="4"/>
    <n v="5040.329999999999"/>
    <s v="Online"/>
    <s v="SAVE10"/>
    <n v="1"/>
    <s v="REG100092"/>
    <s v="Cust 1127"/>
    <n v="18.05"/>
    <d v="2023-10-18T00:00:00"/>
    <d v="2023-10-20T00:00:00"/>
    <s v="Ryan"/>
    <n v="4284.2804999999989"/>
    <n v="5929.7999999999993"/>
    <n v="1645.5195000000003"/>
    <x v="2"/>
    <x v="19"/>
  </r>
  <r>
    <d v="2025-04-13T00:00:00"/>
    <x v="0"/>
    <x v="2"/>
    <s v="Desk"/>
    <s v="Desk"/>
    <x v="1"/>
    <n v="10"/>
    <n v="462.99"/>
    <s v="Store C"/>
    <s v="Wholesale"/>
    <n v="0"/>
    <x v="5"/>
    <n v="4629.8999999999996"/>
    <s v="Credit Card"/>
    <s v="WINTER15"/>
    <n v="0"/>
    <s v="REG100093"/>
    <s v="Cust 4696"/>
    <n v="5.01"/>
    <d v="2025-04-13T00:00:00"/>
    <d v="2025-04-15T00:00:00"/>
    <s v="Eric"/>
    <n v="4629.8999999999996"/>
    <n v="4629.8999999999996"/>
    <n v="0"/>
    <x v="0"/>
    <x v="28"/>
  </r>
  <r>
    <d v="2025-05-13T00:00:00"/>
    <x v="3"/>
    <x v="0"/>
    <s v="Laptop"/>
    <s v="Laptop"/>
    <x v="0"/>
    <n v="7"/>
    <n v="460.24"/>
    <s v="Store A"/>
    <s v="Retail"/>
    <n v="0.05"/>
    <x v="1"/>
    <n v="3060.596"/>
    <s v="Cash"/>
    <s v="SAVE10"/>
    <n v="1"/>
    <s v="REG100094"/>
    <s v="Cust 3014"/>
    <n v="11.54"/>
    <d v="2025-05-13T00:00:00"/>
    <d v="2025-05-23T00:00:00"/>
    <s v="Cameron"/>
    <n v="2907.5661999999998"/>
    <n v="3221.6800000000003"/>
    <n v="314.11380000000054"/>
    <x v="1"/>
    <x v="13"/>
  </r>
  <r>
    <d v="2024-04-21T00:00:00"/>
    <x v="4"/>
    <x v="6"/>
    <s v="Printer"/>
    <s v="Printer"/>
    <x v="2"/>
    <n v="17"/>
    <n v="309.52"/>
    <s v="Store B"/>
    <s v="Wholesale"/>
    <n v="0.05"/>
    <x v="0"/>
    <n v="4998.7479999999996"/>
    <s v="Online"/>
    <s v="FREESHIP"/>
    <n v="0"/>
    <s v="REG100095"/>
    <s v="Cust 2539"/>
    <n v="6.11"/>
    <d v="2024-04-21T00:00:00"/>
    <d v="2024-04-27T00:00:00"/>
    <s v="Wendy"/>
    <n v="4748.8105999999998"/>
    <n v="5261.84"/>
    <n v="513.02940000000035"/>
    <x v="1"/>
    <x v="9"/>
  </r>
  <r>
    <d v="2025-01-31T00:00:00"/>
    <x v="3"/>
    <x v="4"/>
    <s v="Monitor"/>
    <s v="Monitor"/>
    <x v="0"/>
    <n v="1"/>
    <n v="323.83"/>
    <s v="Store B"/>
    <s v="Wholesale"/>
    <n v="0.05"/>
    <x v="0"/>
    <n v="307.63850000000002"/>
    <s v="Credit Card"/>
    <s v="WINTER15"/>
    <n v="0"/>
    <s v="REG100096"/>
    <s v="Cust 3916"/>
    <n v="27.48"/>
    <d v="2025-01-31T00:00:00"/>
    <d v="2025-02-08T00:00:00"/>
    <s v="Cameron"/>
    <n v="292.256575"/>
    <n v="323.83"/>
    <n v="31.573424999999986"/>
    <x v="1"/>
    <x v="12"/>
  </r>
  <r>
    <d v="2025-03-14T00:00:00"/>
    <x v="3"/>
    <x v="3"/>
    <s v="Chair"/>
    <s v="Chair"/>
    <x v="1"/>
    <n v="10"/>
    <n v="503.07"/>
    <s v="Store C"/>
    <s v="Retail"/>
    <n v="0"/>
    <x v="5"/>
    <n v="5030.7"/>
    <s v="Credit Card"/>
    <s v="FREESHIP"/>
    <n v="0"/>
    <s v="REG100097"/>
    <s v="Cust 6329"/>
    <n v="44.61"/>
    <d v="2025-03-14T00:00:00"/>
    <d v="2025-03-19T00:00:00"/>
    <s v="Cameron"/>
    <n v="5030.7"/>
    <n v="5030.7"/>
    <n v="0"/>
    <x v="0"/>
    <x v="8"/>
  </r>
  <r>
    <d v="2024-05-26T00:00:00"/>
    <x v="4"/>
    <x v="0"/>
    <s v="Laptop"/>
    <s v="Laptop"/>
    <x v="0"/>
    <n v="20"/>
    <n v="491.68"/>
    <s v="Store D"/>
    <s v="Wholesale"/>
    <n v="0.15"/>
    <x v="1"/>
    <n v="8358.56"/>
    <s v="Online"/>
    <s v="SAVE10"/>
    <n v="1"/>
    <s v="REG100098"/>
    <s v="Cust 4384"/>
    <n v="43.46"/>
    <d v="2024-05-26T00:00:00"/>
    <d v="2024-05-29T00:00:00"/>
    <s v="Wendy"/>
    <n v="7104.7759999999989"/>
    <n v="9833.6"/>
    <n v="2728.8240000000014"/>
    <x v="2"/>
    <x v="14"/>
  </r>
  <r>
    <d v="2023-07-22T00:00:00"/>
    <x v="2"/>
    <x v="1"/>
    <s v="Phone"/>
    <s v="Phone"/>
    <x v="0"/>
    <n v="17"/>
    <n v="468.45"/>
    <s v="Store A"/>
    <s v="Retail"/>
    <n v="0.05"/>
    <x v="3"/>
    <n v="7565.4674999999997"/>
    <s v="Credit Card"/>
    <s v="FREESHIP"/>
    <n v="0"/>
    <s v="REG100099"/>
    <s v="Cust 7756"/>
    <n v="17.88"/>
    <d v="2023-07-22T00:00:00"/>
    <d v="2023-07-26T00:00:00"/>
    <s v="Ryan"/>
    <n v="7187.1941249999991"/>
    <n v="7963.65"/>
    <n v="776.45587500000056"/>
    <x v="1"/>
    <x v="11"/>
  </r>
  <r>
    <d v="2024-03-21T00:00:00"/>
    <x v="2"/>
    <x v="0"/>
    <s v="Laptop"/>
    <s v="Laptop"/>
    <x v="0"/>
    <n v="11"/>
    <n v="401.76"/>
    <s v="Store D"/>
    <s v="Retail"/>
    <n v="0.15"/>
    <x v="2"/>
    <n v="3756.4560000000001"/>
    <s v="Gift Card"/>
    <s v="SAVE10"/>
    <n v="0"/>
    <s v="REG100100"/>
    <s v="Cust 6086"/>
    <n v="48.03"/>
    <d v="2024-03-21T00:00:00"/>
    <d v="2024-03-30T00:00:00"/>
    <s v="Ryan"/>
    <n v="3192.9875999999999"/>
    <n v="4419.3599999999997"/>
    <n v="1226.3723999999997"/>
    <x v="2"/>
    <x v="25"/>
  </r>
  <r>
    <d v="2023-04-05T00:00:00"/>
    <x v="4"/>
    <x v="6"/>
    <s v="Printer"/>
    <s v="Printer"/>
    <x v="2"/>
    <n v="3"/>
    <n v="221"/>
    <s v="Store B"/>
    <s v="Wholesale"/>
    <n v="0"/>
    <x v="2"/>
    <n v="663"/>
    <s v="Cash"/>
    <s v="FREESHIP"/>
    <n v="0"/>
    <s v="REG100101"/>
    <s v="Cust 3845"/>
    <n v="32.31"/>
    <d v="2023-04-05T00:00:00"/>
    <d v="2023-04-08T00:00:00"/>
    <s v="Wendy"/>
    <n v="663"/>
    <n v="663"/>
    <n v="0"/>
    <x v="0"/>
    <x v="21"/>
  </r>
  <r>
    <d v="2024-08-26T00:00:00"/>
    <x v="0"/>
    <x v="4"/>
    <s v="Monitor"/>
    <s v="Monitor"/>
    <x v="0"/>
    <n v="6"/>
    <n v="188.45"/>
    <s v="Store C"/>
    <s v="Wholesale"/>
    <n v="0.05"/>
    <x v="1"/>
    <n v="1074.165"/>
    <s v="Gift Card"/>
    <m/>
    <n v="0"/>
    <s v="REG100102"/>
    <s v="Cust 9996"/>
    <n v="6.77"/>
    <d v="2024-08-26T00:00:00"/>
    <d v="2024-09-01T00:00:00"/>
    <s v="Eric"/>
    <n v="1020.4567499999999"/>
    <n v="1130.6999999999998"/>
    <n v="110.24324999999988"/>
    <x v="1"/>
    <x v="29"/>
  </r>
  <r>
    <d v="2024-07-07T00:00:00"/>
    <x v="2"/>
    <x v="2"/>
    <s v="Desk"/>
    <s v="Desk"/>
    <x v="1"/>
    <n v="3"/>
    <n v="566.20000000000005"/>
    <s v="Store D"/>
    <s v="Retail"/>
    <n v="0"/>
    <x v="5"/>
    <n v="1698.6"/>
    <s v="Gift Card"/>
    <s v="FREESHIP"/>
    <n v="1"/>
    <s v="REG100103"/>
    <s v="Cust 1711"/>
    <n v="28.97"/>
    <d v="2024-07-07T00:00:00"/>
    <d v="2024-07-17T00:00:00"/>
    <s v="Ryan"/>
    <n v="1698.6"/>
    <n v="1698.6000000000001"/>
    <n v="0"/>
    <x v="0"/>
    <x v="10"/>
  </r>
  <r>
    <d v="2023-09-29T00:00:00"/>
    <x v="0"/>
    <x v="4"/>
    <s v="Monitor"/>
    <s v="Monitor"/>
    <x v="0"/>
    <n v="14"/>
    <n v="167.09"/>
    <s v="Store D"/>
    <s v="Retail"/>
    <n v="0.05"/>
    <x v="1"/>
    <n v="2222.297"/>
    <s v="Gift Card"/>
    <s v="SAVE10"/>
    <n v="1"/>
    <s v="REG100104"/>
    <s v="Cust 4522"/>
    <n v="47.05"/>
    <d v="2023-09-29T00:00:00"/>
    <d v="2023-10-08T00:00:00"/>
    <s v="Eric"/>
    <n v="2111.1821500000001"/>
    <n v="2339.2600000000002"/>
    <n v="228.07785000000013"/>
    <x v="1"/>
    <x v="22"/>
  </r>
  <r>
    <d v="2023-10-04T00:00:00"/>
    <x v="4"/>
    <x v="4"/>
    <s v="Monitor"/>
    <s v="Monitor"/>
    <x v="0"/>
    <n v="16"/>
    <n v="36.159999999999997"/>
    <s v="Store C"/>
    <s v="Wholesale"/>
    <n v="0.1"/>
    <x v="3"/>
    <n v="520.70399999999995"/>
    <s v="Debit Card"/>
    <s v="FREESHIP"/>
    <n v="0"/>
    <s v="REG100105"/>
    <s v="Cust 4233"/>
    <n v="26.64"/>
    <d v="2023-10-04T00:00:00"/>
    <d v="2023-10-11T00:00:00"/>
    <s v="Wendy"/>
    <n v="468.63359999999994"/>
    <n v="578.55999999999995"/>
    <n v="109.9264"/>
    <x v="1"/>
    <x v="19"/>
  </r>
  <r>
    <d v="2025-06-09T00:00:00"/>
    <x v="3"/>
    <x v="6"/>
    <s v="Printer"/>
    <s v="Printer"/>
    <x v="2"/>
    <n v="2"/>
    <n v="73.94"/>
    <s v="Store B"/>
    <s v="Wholesale"/>
    <n v="0.05"/>
    <x v="3"/>
    <n v="140.48599999999999"/>
    <s v="Debit Card"/>
    <s v="SAVE10"/>
    <n v="0"/>
    <s v="REG100106"/>
    <s v="Cust 4121"/>
    <n v="28.05"/>
    <d v="2025-06-09T00:00:00"/>
    <d v="2025-06-16T00:00:00"/>
    <s v="Cameron"/>
    <n v="133.46169999999998"/>
    <n v="147.88"/>
    <n v="14.418300000000016"/>
    <x v="1"/>
    <x v="16"/>
  </r>
  <r>
    <d v="2025-06-12T00:00:00"/>
    <x v="0"/>
    <x v="6"/>
    <s v="Printer"/>
    <s v="Printer"/>
    <x v="2"/>
    <n v="16"/>
    <n v="459.49"/>
    <s v="Store A"/>
    <s v="Wholesale"/>
    <n v="0.1"/>
    <x v="0"/>
    <n v="6616.6559999999999"/>
    <s v="Online"/>
    <s v="SAVE10"/>
    <n v="0"/>
    <s v="REG100107"/>
    <s v="Cust 9092"/>
    <n v="26.99"/>
    <d v="2025-06-12T00:00:00"/>
    <d v="2025-06-14T00:00:00"/>
    <s v="Eric"/>
    <n v="5954.9903999999997"/>
    <n v="7351.84"/>
    <n v="1396.8496000000005"/>
    <x v="1"/>
    <x v="16"/>
  </r>
  <r>
    <d v="2024-06-29T00:00:00"/>
    <x v="0"/>
    <x v="3"/>
    <s v="Chair"/>
    <s v="Chair"/>
    <x v="1"/>
    <n v="3"/>
    <n v="168.05"/>
    <s v="Store A"/>
    <s v="Retail"/>
    <n v="0"/>
    <x v="3"/>
    <n v="504.15"/>
    <s v="Cash"/>
    <m/>
    <n v="1"/>
    <s v="REG100108"/>
    <s v="Cust 9090"/>
    <n v="21.08"/>
    <d v="2024-06-29T00:00:00"/>
    <d v="2024-07-06T00:00:00"/>
    <s v="Eric"/>
    <n v="504.15"/>
    <n v="504.15000000000003"/>
    <n v="0"/>
    <x v="0"/>
    <x v="23"/>
  </r>
  <r>
    <d v="2024-03-23T00:00:00"/>
    <x v="2"/>
    <x v="6"/>
    <s v="Printer"/>
    <s v="Printer"/>
    <x v="2"/>
    <n v="14"/>
    <n v="37.54"/>
    <s v="Store B"/>
    <s v="Retail"/>
    <n v="0.15"/>
    <x v="1"/>
    <n v="446.72599999999989"/>
    <s v="Credit Card"/>
    <m/>
    <n v="1"/>
    <s v="REG100109"/>
    <s v="Cust 1983"/>
    <n v="49.6"/>
    <d v="2024-03-23T00:00:00"/>
    <d v="2024-04-02T00:00:00"/>
    <s v="Ryan"/>
    <n v="379.7170999999999"/>
    <n v="525.55999999999995"/>
    <n v="145.84290000000004"/>
    <x v="2"/>
    <x v="25"/>
  </r>
  <r>
    <d v="2024-07-14T00:00:00"/>
    <x v="1"/>
    <x v="5"/>
    <s v="Tablet"/>
    <s v="Tablet"/>
    <x v="0"/>
    <n v="4"/>
    <n v="151.16"/>
    <s v="Store B"/>
    <s v="Wholesale"/>
    <n v="0"/>
    <x v="1"/>
    <n v="604.64"/>
    <s v="Gift Card"/>
    <s v="SAVE10"/>
    <n v="1"/>
    <s v="REG100110"/>
    <s v="Cust 8834"/>
    <n v="41.4"/>
    <d v="2024-07-14T00:00:00"/>
    <d v="2024-07-21T00:00:00"/>
    <s v="Sophie"/>
    <n v="604.64"/>
    <n v="604.64"/>
    <n v="0"/>
    <x v="0"/>
    <x v="10"/>
  </r>
  <r>
    <d v="2024-03-15T00:00:00"/>
    <x v="1"/>
    <x v="5"/>
    <s v="Tablet"/>
    <s v="Tablet"/>
    <x v="0"/>
    <n v="17"/>
    <n v="78.58"/>
    <s v="Store A"/>
    <s v="Wholesale"/>
    <n v="0.1"/>
    <x v="5"/>
    <n v="1202.2739999999999"/>
    <s v="Gift Card"/>
    <s v="WINTER15"/>
    <n v="0"/>
    <s v="REG100111"/>
    <s v="Cust 9780"/>
    <n v="8.02"/>
    <d v="2024-03-15T00:00:00"/>
    <d v="2024-03-25T00:00:00"/>
    <s v="Sophie"/>
    <n v="1082.0465999999999"/>
    <n v="1335.86"/>
    <n v="253.8134"/>
    <x v="1"/>
    <x v="25"/>
  </r>
  <r>
    <d v="2025-04-19T00:00:00"/>
    <x v="3"/>
    <x v="3"/>
    <s v="Chair"/>
    <s v="Chair"/>
    <x v="1"/>
    <n v="15"/>
    <n v="37.33"/>
    <s v="Store B"/>
    <s v="Retail"/>
    <n v="0.05"/>
    <x v="3"/>
    <n v="531.95249999999987"/>
    <s v="Cash"/>
    <m/>
    <n v="1"/>
    <s v="REG100112"/>
    <s v="Cust 1293"/>
    <n v="43.69"/>
    <d v="2025-04-19T00:00:00"/>
    <d v="2025-04-24T00:00:00"/>
    <s v="Cameron"/>
    <n v="505.35487499999988"/>
    <n v="559.94999999999993"/>
    <n v="54.595125000000053"/>
    <x v="1"/>
    <x v="28"/>
  </r>
  <r>
    <d v="2024-02-15T00:00:00"/>
    <x v="4"/>
    <x v="5"/>
    <s v="Tablet"/>
    <s v="Tablet"/>
    <x v="0"/>
    <n v="18"/>
    <n v="537.02"/>
    <s v="Store A"/>
    <s v="Wholesale"/>
    <n v="0.15"/>
    <x v="3"/>
    <n v="8216.4060000000009"/>
    <s v="Debit Card"/>
    <s v="SAVE10"/>
    <n v="0"/>
    <s v="REG100113"/>
    <s v="Cust 3173"/>
    <n v="23.94"/>
    <d v="2024-02-15T00:00:00"/>
    <d v="2024-02-20T00:00:00"/>
    <s v="Wendy"/>
    <n v="6983.9451000000008"/>
    <n v="9666.36"/>
    <n v="2682.4148999999998"/>
    <x v="2"/>
    <x v="5"/>
  </r>
  <r>
    <d v="2024-01-25T00:00:00"/>
    <x v="0"/>
    <x v="2"/>
    <s v="Desk"/>
    <s v="Desk"/>
    <x v="1"/>
    <n v="5"/>
    <n v="215.6"/>
    <s v="Store C"/>
    <s v="Wholesale"/>
    <n v="0"/>
    <x v="2"/>
    <n v="1078"/>
    <s v="Online"/>
    <s v="WINTER15"/>
    <n v="0"/>
    <s v="REG100114"/>
    <s v="Cust 8641"/>
    <n v="28.36"/>
    <d v="2024-01-25T00:00:00"/>
    <d v="2024-02-04T00:00:00"/>
    <s v="Eric"/>
    <n v="1078"/>
    <n v="1078"/>
    <n v="0"/>
    <x v="0"/>
    <x v="24"/>
  </r>
  <r>
    <d v="2025-04-15T00:00:00"/>
    <x v="3"/>
    <x v="0"/>
    <s v="Laptop"/>
    <s v="Laptop"/>
    <x v="0"/>
    <n v="18"/>
    <n v="209.5"/>
    <s v="Store D"/>
    <s v="Wholesale"/>
    <n v="0"/>
    <x v="3"/>
    <n v="3771"/>
    <s v="Credit Card"/>
    <s v="FREESHIP"/>
    <n v="0"/>
    <s v="REG100115"/>
    <s v="Cust 7656"/>
    <n v="38.229999999999997"/>
    <d v="2025-04-15T00:00:00"/>
    <d v="2025-04-23T00:00:00"/>
    <s v="Cameron"/>
    <n v="3771"/>
    <n v="3771"/>
    <n v="0"/>
    <x v="0"/>
    <x v="28"/>
  </r>
  <r>
    <d v="2025-04-15T00:00:00"/>
    <x v="3"/>
    <x v="3"/>
    <s v="Chair"/>
    <s v="Chair"/>
    <x v="1"/>
    <n v="8"/>
    <n v="348.98"/>
    <s v="Store A"/>
    <s v="Retail"/>
    <n v="0.1"/>
    <x v="2"/>
    <n v="2512.6559999999999"/>
    <s v="Online"/>
    <s v="FREESHIP"/>
    <n v="0"/>
    <s v="REG100116"/>
    <s v="Cust 5523"/>
    <n v="19.170000000000002"/>
    <d v="2025-04-15T00:00:00"/>
    <d v="2025-04-20T00:00:00"/>
    <s v="Cameron"/>
    <n v="2261.3904000000002"/>
    <n v="2791.84"/>
    <n v="530.44959999999992"/>
    <x v="1"/>
    <x v="28"/>
  </r>
  <r>
    <d v="2024-08-11T00:00:00"/>
    <x v="4"/>
    <x v="6"/>
    <s v="Printer"/>
    <s v="Printer"/>
    <x v="2"/>
    <n v="2"/>
    <n v="289.14"/>
    <s v="Store C"/>
    <s v="Retail"/>
    <n v="0.05"/>
    <x v="4"/>
    <n v="549.36599999999999"/>
    <s v="Online"/>
    <s v="SAVE10"/>
    <n v="0"/>
    <s v="REG100117"/>
    <s v="Cust 2015"/>
    <n v="5.13"/>
    <d v="2024-08-11T00:00:00"/>
    <d v="2024-08-13T00:00:00"/>
    <s v="Wendy"/>
    <n v="521.89769999999999"/>
    <n v="578.28"/>
    <n v="56.382299999999987"/>
    <x v="1"/>
    <x v="29"/>
  </r>
  <r>
    <d v="2023-12-01T00:00:00"/>
    <x v="1"/>
    <x v="2"/>
    <s v="Desk"/>
    <s v="Desk"/>
    <x v="1"/>
    <n v="5"/>
    <n v="396.93"/>
    <s v="Store B"/>
    <s v="Wholesale"/>
    <n v="0"/>
    <x v="4"/>
    <n v="1984.65"/>
    <s v="Credit Card"/>
    <s v="FREESHIP"/>
    <n v="0"/>
    <s v="REG100118"/>
    <s v="Cust 6895"/>
    <n v="48.63"/>
    <d v="2023-12-01T00:00:00"/>
    <d v="2023-12-08T00:00:00"/>
    <s v="Sophie"/>
    <n v="1984.65"/>
    <n v="1984.65"/>
    <n v="0"/>
    <x v="0"/>
    <x v="27"/>
  </r>
  <r>
    <d v="2023-08-06T00:00:00"/>
    <x v="3"/>
    <x v="0"/>
    <s v="Laptop"/>
    <s v="Laptop"/>
    <x v="0"/>
    <n v="10"/>
    <n v="508.57"/>
    <s v="Store D"/>
    <s v="Retail"/>
    <n v="0.05"/>
    <x v="5"/>
    <n v="4831.415"/>
    <s v="Online"/>
    <s v="SAVE10"/>
    <n v="0"/>
    <s v="REG100119"/>
    <s v="Cust 1797"/>
    <n v="9.35"/>
    <d v="2023-08-06T00:00:00"/>
    <d v="2023-08-11T00:00:00"/>
    <s v="Cameron"/>
    <n v="4589.8442500000001"/>
    <n v="5085.7"/>
    <n v="495.85574999999972"/>
    <x v="1"/>
    <x v="18"/>
  </r>
  <r>
    <d v="2024-01-24T00:00:00"/>
    <x v="3"/>
    <x v="0"/>
    <s v="Laptop"/>
    <s v="Laptop"/>
    <x v="0"/>
    <n v="11"/>
    <n v="259.61"/>
    <s v="Store C"/>
    <s v="Wholesale"/>
    <n v="0.1"/>
    <x v="3"/>
    <n v="2570.1390000000001"/>
    <s v="Cash"/>
    <s v="FREESHIP"/>
    <n v="0"/>
    <s v="REG100120"/>
    <s v="Cust 9969"/>
    <n v="13.73"/>
    <d v="2024-01-24T00:00:00"/>
    <d v="2024-01-31T00:00:00"/>
    <s v="Cameron"/>
    <n v="2313.1251000000002"/>
    <n v="2855.71"/>
    <n v="542.58489999999983"/>
    <x v="1"/>
    <x v="24"/>
  </r>
  <r>
    <d v="2024-03-07T00:00:00"/>
    <x v="3"/>
    <x v="3"/>
    <s v="Chair"/>
    <s v="Chair"/>
    <x v="1"/>
    <n v="9"/>
    <n v="313.29000000000002"/>
    <s v="Store D"/>
    <s v="Retail"/>
    <n v="0"/>
    <x v="3"/>
    <n v="2819.61"/>
    <s v="Online"/>
    <s v="FREESHIP"/>
    <n v="0"/>
    <s v="REG100121"/>
    <s v="Cust 1815"/>
    <n v="14.04"/>
    <d v="2024-03-07T00:00:00"/>
    <d v="2024-03-13T00:00:00"/>
    <s v="Cameron"/>
    <n v="2819.61"/>
    <n v="2819.61"/>
    <n v="0"/>
    <x v="0"/>
    <x v="25"/>
  </r>
  <r>
    <d v="2024-01-22T00:00:00"/>
    <x v="1"/>
    <x v="5"/>
    <s v="Tablet"/>
    <s v="Tablet"/>
    <x v="0"/>
    <n v="5"/>
    <n v="106.57"/>
    <s v="Store C"/>
    <s v="Wholesale"/>
    <n v="0.1"/>
    <x v="3"/>
    <n v="479.56499999999988"/>
    <s v="Debit Card"/>
    <s v="SAVE10"/>
    <n v="1"/>
    <s v="REG100122"/>
    <s v="Cust 7773"/>
    <n v="25.24"/>
    <d v="2024-01-22T00:00:00"/>
    <d v="2024-01-28T00:00:00"/>
    <s v="Sophie"/>
    <n v="431.60849999999988"/>
    <n v="532.84999999999991"/>
    <n v="101.24150000000003"/>
    <x v="1"/>
    <x v="24"/>
  </r>
  <r>
    <d v="2023-02-23T00:00:00"/>
    <x v="0"/>
    <x v="6"/>
    <s v="Printer"/>
    <s v="Printer"/>
    <x v="2"/>
    <n v="1"/>
    <n v="109"/>
    <s v="Store B"/>
    <s v="Retail"/>
    <n v="0.15"/>
    <x v="2"/>
    <n v="92.649999999999991"/>
    <s v="Cash"/>
    <s v="WINTER15"/>
    <n v="1"/>
    <s v="REG100123"/>
    <s v="Cust 1499"/>
    <n v="8.0299999999999994"/>
    <d v="2023-02-23T00:00:00"/>
    <d v="2023-02-27T00:00:00"/>
    <s v="Eric"/>
    <n v="78.752499999999998"/>
    <n v="109"/>
    <n v="30.247500000000002"/>
    <x v="2"/>
    <x v="0"/>
  </r>
  <r>
    <d v="2023-06-14T00:00:00"/>
    <x v="2"/>
    <x v="5"/>
    <s v="Tablet"/>
    <s v="Tablet"/>
    <x v="0"/>
    <n v="8"/>
    <n v="323.8"/>
    <s v="Store B"/>
    <s v="Retail"/>
    <n v="0"/>
    <x v="4"/>
    <n v="2590.4"/>
    <s v="Cash"/>
    <s v="SAVE10"/>
    <n v="1"/>
    <s v="REG100124"/>
    <s v="Cust 3809"/>
    <n v="35.229999999999997"/>
    <d v="2023-06-14T00:00:00"/>
    <d v="2023-06-22T00:00:00"/>
    <s v="Ryan"/>
    <n v="2590.4"/>
    <n v="2590.4"/>
    <n v="0"/>
    <x v="0"/>
    <x v="4"/>
  </r>
  <r>
    <d v="2025-05-13T00:00:00"/>
    <x v="2"/>
    <x v="0"/>
    <s v="Laptop"/>
    <s v="Laptop"/>
    <x v="0"/>
    <n v="16"/>
    <n v="384.32"/>
    <s v="Store A"/>
    <s v="Retail"/>
    <n v="0.05"/>
    <x v="2"/>
    <n v="5841.6639999999998"/>
    <s v="Cash"/>
    <s v="FREESHIP"/>
    <n v="0"/>
    <s v="REG100125"/>
    <s v="Cust 7824"/>
    <n v="21.5"/>
    <d v="2025-05-13T00:00:00"/>
    <d v="2025-05-15T00:00:00"/>
    <s v="Ryan"/>
    <n v="5549.5807999999997"/>
    <n v="6149.12"/>
    <n v="599.53920000000016"/>
    <x v="1"/>
    <x v="13"/>
  </r>
  <r>
    <d v="2024-07-30T00:00:00"/>
    <x v="3"/>
    <x v="6"/>
    <s v="Printer"/>
    <s v="Printer"/>
    <x v="2"/>
    <n v="16"/>
    <n v="163.86"/>
    <s v="Store C"/>
    <s v="Retail"/>
    <n v="0.15"/>
    <x v="4"/>
    <n v="2228.4960000000001"/>
    <s v="Gift Card"/>
    <s v="FREESHIP"/>
    <n v="0"/>
    <s v="REG100126"/>
    <s v="Cust 7258"/>
    <n v="37.950000000000003"/>
    <d v="2024-07-30T00:00:00"/>
    <d v="2024-08-06T00:00:00"/>
    <s v="Cameron"/>
    <n v="1894.2216000000001"/>
    <n v="2621.76"/>
    <n v="727.53840000000014"/>
    <x v="2"/>
    <x v="10"/>
  </r>
  <r>
    <d v="2024-07-18T00:00:00"/>
    <x v="0"/>
    <x v="5"/>
    <s v="Tablet"/>
    <s v="Tablet"/>
    <x v="0"/>
    <n v="5"/>
    <n v="23.41"/>
    <s v="Store B"/>
    <s v="Wholesale"/>
    <n v="0"/>
    <x v="2"/>
    <n v="117.05"/>
    <s v="Credit Card"/>
    <s v="WINTER15"/>
    <n v="0"/>
    <s v="REG100127"/>
    <s v="Cust 1151"/>
    <n v="26.44"/>
    <d v="2024-07-18T00:00:00"/>
    <d v="2024-07-27T00:00:00"/>
    <s v="Eric"/>
    <n v="117.05"/>
    <n v="117.05"/>
    <n v="0"/>
    <x v="0"/>
    <x v="10"/>
  </r>
  <r>
    <d v="2024-08-26T00:00:00"/>
    <x v="0"/>
    <x v="6"/>
    <s v="Printer"/>
    <s v="Printer"/>
    <x v="2"/>
    <n v="20"/>
    <n v="488.9"/>
    <s v="Store C"/>
    <s v="Wholesale"/>
    <n v="0.15"/>
    <x v="0"/>
    <n v="8311.2999999999993"/>
    <s v="Gift Card"/>
    <s v="FREESHIP"/>
    <n v="0"/>
    <s v="REG100128"/>
    <s v="Cust 6486"/>
    <n v="21.77"/>
    <d v="2024-08-26T00:00:00"/>
    <d v="2024-09-01T00:00:00"/>
    <s v="Eric"/>
    <n v="7064.6049999999996"/>
    <n v="9778"/>
    <n v="2713.3950000000004"/>
    <x v="2"/>
    <x v="29"/>
  </r>
  <r>
    <d v="2025-06-08T00:00:00"/>
    <x v="4"/>
    <x v="5"/>
    <s v="Tablet"/>
    <s v="Tablet"/>
    <x v="0"/>
    <n v="7"/>
    <n v="452.56"/>
    <s v="Store A"/>
    <s v="Wholesale"/>
    <n v="0.05"/>
    <x v="2"/>
    <n v="3009.5239999999999"/>
    <s v="Gift Card"/>
    <s v="FREESHIP"/>
    <n v="0"/>
    <s v="REG100129"/>
    <s v="Cust 4034"/>
    <n v="46.97"/>
    <d v="2025-06-08T00:00:00"/>
    <d v="2025-06-15T00:00:00"/>
    <s v="Wendy"/>
    <n v="2859.0477999999998"/>
    <n v="3167.92"/>
    <n v="308.87220000000025"/>
    <x v="1"/>
    <x v="16"/>
  </r>
  <r>
    <d v="2025-05-16T00:00:00"/>
    <x v="2"/>
    <x v="2"/>
    <s v="Desk"/>
    <s v="Desk"/>
    <x v="1"/>
    <n v="11"/>
    <n v="465.24"/>
    <s v="Store A"/>
    <s v="Wholesale"/>
    <n v="0"/>
    <x v="3"/>
    <n v="5117.6400000000003"/>
    <s v="Debit Card"/>
    <m/>
    <n v="1"/>
    <s v="REG100130"/>
    <s v="Cust 9794"/>
    <n v="17.59"/>
    <d v="2025-05-16T00:00:00"/>
    <d v="2025-05-23T00:00:00"/>
    <s v="Ryan"/>
    <n v="5117.6400000000003"/>
    <n v="5117.6400000000003"/>
    <n v="0"/>
    <x v="0"/>
    <x v="13"/>
  </r>
  <r>
    <d v="2024-07-18T00:00:00"/>
    <x v="0"/>
    <x v="1"/>
    <s v="Phone"/>
    <s v="Phone"/>
    <x v="0"/>
    <n v="14"/>
    <n v="442.65"/>
    <s v="Store B"/>
    <s v="Retail"/>
    <n v="0"/>
    <x v="0"/>
    <n v="6197.0999999999995"/>
    <s v="Gift Card"/>
    <s v="SAVE10"/>
    <n v="0"/>
    <s v="REG100131"/>
    <s v="Cust 2414"/>
    <n v="28.76"/>
    <d v="2024-07-18T00:00:00"/>
    <d v="2024-07-24T00:00:00"/>
    <s v="Eric"/>
    <n v="6197.0999999999995"/>
    <n v="6197.0999999999995"/>
    <n v="0"/>
    <x v="0"/>
    <x v="10"/>
  </r>
  <r>
    <d v="2023-09-17T00:00:00"/>
    <x v="4"/>
    <x v="0"/>
    <s v="Laptop"/>
    <s v="Laptop"/>
    <x v="0"/>
    <n v="12"/>
    <n v="469.44"/>
    <s v="Store B"/>
    <s v="Wholesale"/>
    <n v="0"/>
    <x v="5"/>
    <n v="5633.28"/>
    <s v="Online"/>
    <s v="FREESHIP"/>
    <n v="0"/>
    <s v="REG100132"/>
    <s v="Cust 9024"/>
    <n v="33.299999999999997"/>
    <d v="2023-09-17T00:00:00"/>
    <d v="2023-09-26T00:00:00"/>
    <s v="Wendy"/>
    <n v="5633.28"/>
    <n v="5633.28"/>
    <n v="0"/>
    <x v="0"/>
    <x v="22"/>
  </r>
  <r>
    <d v="2023-03-13T00:00:00"/>
    <x v="0"/>
    <x v="4"/>
    <s v="Monitor"/>
    <s v="Monitor"/>
    <x v="0"/>
    <n v="14"/>
    <n v="248.77"/>
    <s v="Store C"/>
    <s v="Wholesale"/>
    <n v="0.05"/>
    <x v="5"/>
    <n v="3308.6410000000001"/>
    <s v="Debit Card"/>
    <s v="FREESHIP"/>
    <n v="1"/>
    <s v="REG100133"/>
    <s v="Cust 2663"/>
    <n v="21.76"/>
    <d v="2023-03-13T00:00:00"/>
    <d v="2023-03-19T00:00:00"/>
    <s v="Eric"/>
    <n v="3143.2089499999997"/>
    <n v="3482.78"/>
    <n v="339.57105000000047"/>
    <x v="1"/>
    <x v="17"/>
  </r>
  <r>
    <d v="2023-03-29T00:00:00"/>
    <x v="1"/>
    <x v="3"/>
    <s v="Chair"/>
    <s v="Chair"/>
    <x v="1"/>
    <n v="4"/>
    <n v="565.29"/>
    <s v="Store D"/>
    <s v="Wholesale"/>
    <n v="0.05"/>
    <x v="1"/>
    <n v="2148.1019999999999"/>
    <s v="Cash"/>
    <m/>
    <n v="0"/>
    <s v="REG100134"/>
    <s v="Cust 2293"/>
    <n v="27.04"/>
    <d v="2023-03-29T00:00:00"/>
    <d v="2023-04-03T00:00:00"/>
    <s v="Sophie"/>
    <n v="2040.6968999999997"/>
    <n v="2261.16"/>
    <n v="220.46310000000017"/>
    <x v="1"/>
    <x v="17"/>
  </r>
  <r>
    <d v="2023-07-14T00:00:00"/>
    <x v="3"/>
    <x v="2"/>
    <s v="Desk"/>
    <s v="Desk"/>
    <x v="1"/>
    <n v="12"/>
    <n v="244.8"/>
    <s v="Store B"/>
    <s v="Wholesale"/>
    <n v="0.05"/>
    <x v="2"/>
    <n v="2790.72"/>
    <s v="Online"/>
    <s v="FREESHIP"/>
    <n v="0"/>
    <s v="REG100135"/>
    <s v="Cust 8963"/>
    <n v="44.75"/>
    <d v="2023-07-14T00:00:00"/>
    <d v="2023-07-23T00:00:00"/>
    <s v="Cameron"/>
    <n v="2651.1839999999997"/>
    <n v="2937.6000000000004"/>
    <n v="286.41600000000062"/>
    <x v="1"/>
    <x v="11"/>
  </r>
  <r>
    <d v="2024-03-22T00:00:00"/>
    <x v="4"/>
    <x v="0"/>
    <s v="Laptop"/>
    <s v="Laptop"/>
    <x v="0"/>
    <n v="13"/>
    <n v="290.93"/>
    <s v="Store C"/>
    <s v="Retail"/>
    <n v="0.05"/>
    <x v="4"/>
    <n v="3592.9854999999998"/>
    <s v="Credit Card"/>
    <s v="FREESHIP"/>
    <n v="0"/>
    <s v="REG100136"/>
    <s v="Cust 9238"/>
    <n v="26.09"/>
    <d v="2024-03-22T00:00:00"/>
    <d v="2024-03-31T00:00:00"/>
    <s v="Wendy"/>
    <n v="3413.3362249999996"/>
    <n v="3782.09"/>
    <n v="368.75377500000059"/>
    <x v="1"/>
    <x v="25"/>
  </r>
  <r>
    <d v="2024-05-14T00:00:00"/>
    <x v="3"/>
    <x v="0"/>
    <s v="Laptop"/>
    <s v="Laptop"/>
    <x v="0"/>
    <n v="11"/>
    <n v="229.49"/>
    <s v="Store C"/>
    <s v="Retail"/>
    <n v="0.1"/>
    <x v="5"/>
    <n v="2271.951"/>
    <s v="Cash"/>
    <m/>
    <n v="0"/>
    <s v="REG100137"/>
    <s v="Cust 1390"/>
    <n v="35.39"/>
    <d v="2024-05-14T00:00:00"/>
    <d v="2024-05-17T00:00:00"/>
    <s v="Cameron"/>
    <n v="2044.7559000000001"/>
    <n v="2524.3900000000003"/>
    <n v="479.63410000000022"/>
    <x v="1"/>
    <x v="14"/>
  </r>
  <r>
    <d v="2023-05-30T00:00:00"/>
    <x v="3"/>
    <x v="4"/>
    <s v="Monitor"/>
    <s v="Monitor"/>
    <x v="0"/>
    <n v="2"/>
    <n v="427.36"/>
    <s v="Store A"/>
    <s v="Wholesale"/>
    <n v="0.05"/>
    <x v="4"/>
    <n v="811.98400000000004"/>
    <s v="Online"/>
    <s v="SAVE10"/>
    <n v="0"/>
    <s v="REG100138"/>
    <s v="Cust 8548"/>
    <n v="19.420000000000002"/>
    <d v="2023-05-30T00:00:00"/>
    <d v="2023-06-02T00:00:00"/>
    <s v="Cameron"/>
    <n v="771.38480000000004"/>
    <n v="854.72"/>
    <n v="83.335199999999986"/>
    <x v="1"/>
    <x v="2"/>
  </r>
  <r>
    <d v="2023-03-19T00:00:00"/>
    <x v="2"/>
    <x v="1"/>
    <s v="Phone"/>
    <s v="Phone"/>
    <x v="0"/>
    <n v="2"/>
    <n v="443.51"/>
    <s v="Store C"/>
    <s v="Wholesale"/>
    <n v="0.05"/>
    <x v="1"/>
    <n v="842.66899999999998"/>
    <s v="Cash"/>
    <m/>
    <n v="0"/>
    <s v="REG100139"/>
    <s v="Cust 2919"/>
    <n v="13.65"/>
    <d v="2023-03-19T00:00:00"/>
    <d v="2023-03-22T00:00:00"/>
    <s v="Ryan"/>
    <n v="800.53554999999994"/>
    <n v="887.02"/>
    <n v="86.484450000000038"/>
    <x v="1"/>
    <x v="17"/>
  </r>
  <r>
    <d v="2023-08-09T00:00:00"/>
    <x v="3"/>
    <x v="2"/>
    <s v="Desk"/>
    <s v="Desk"/>
    <x v="1"/>
    <n v="13"/>
    <n v="280.63"/>
    <s v="Store B"/>
    <s v="Wholesale"/>
    <n v="0.15"/>
    <x v="1"/>
    <n v="3100.9614999999999"/>
    <s v="Credit Card"/>
    <s v="SAVE10"/>
    <n v="0"/>
    <s v="REG100140"/>
    <s v="Cust 5847"/>
    <n v="10.14"/>
    <d v="2023-08-09T00:00:00"/>
    <d v="2023-08-14T00:00:00"/>
    <s v="Cameron"/>
    <n v="2635.8172749999999"/>
    <n v="3648.19"/>
    <n v="1012.3727250000002"/>
    <x v="2"/>
    <x v="18"/>
  </r>
  <r>
    <d v="2024-10-13T00:00:00"/>
    <x v="2"/>
    <x v="3"/>
    <s v="Chair"/>
    <s v="Chair"/>
    <x v="1"/>
    <n v="13"/>
    <n v="416.66"/>
    <s v="Store B"/>
    <s v="Wholesale"/>
    <n v="0.15"/>
    <x v="5"/>
    <n v="4604.0929999999998"/>
    <s v="Credit Card"/>
    <s v="WINTER15"/>
    <n v="0"/>
    <s v="REG100141"/>
    <s v="Cust 5711"/>
    <n v="21.74"/>
    <d v="2024-10-13T00:00:00"/>
    <d v="2024-10-20T00:00:00"/>
    <s v="Ryan"/>
    <n v="3913.4790499999999"/>
    <n v="5416.58"/>
    <n v="1503.10095"/>
    <x v="2"/>
    <x v="7"/>
  </r>
  <r>
    <d v="2025-02-17T00:00:00"/>
    <x v="0"/>
    <x v="3"/>
    <s v="Chair"/>
    <s v="Chair"/>
    <x v="1"/>
    <n v="11"/>
    <n v="589.48"/>
    <s v="Store B"/>
    <s v="Retail"/>
    <n v="0"/>
    <x v="1"/>
    <n v="6484.2800000000007"/>
    <s v="Online"/>
    <s v="WINTER15"/>
    <n v="0"/>
    <s v="REG100142"/>
    <s v="Cust 5461"/>
    <n v="49.93"/>
    <d v="2025-02-17T00:00:00"/>
    <d v="2025-02-25T00:00:00"/>
    <s v="Eric"/>
    <n v="6484.2800000000007"/>
    <n v="6484.2800000000007"/>
    <n v="0"/>
    <x v="0"/>
    <x v="3"/>
  </r>
  <r>
    <d v="2025-06-11T00:00:00"/>
    <x v="2"/>
    <x v="1"/>
    <s v="Phone"/>
    <s v="Phone"/>
    <x v="0"/>
    <n v="18"/>
    <n v="152.84"/>
    <s v="Store C"/>
    <s v="Retail"/>
    <n v="0.15"/>
    <x v="4"/>
    <n v="2338.4520000000002"/>
    <s v="Debit Card"/>
    <s v="FREESHIP"/>
    <n v="1"/>
    <s v="REG100143"/>
    <s v="Cust 8905"/>
    <n v="20.3"/>
    <d v="2025-06-11T00:00:00"/>
    <d v="2025-06-20T00:00:00"/>
    <s v="Ryan"/>
    <n v="1987.6842000000001"/>
    <n v="2751.12"/>
    <n v="763.43579999999974"/>
    <x v="2"/>
    <x v="16"/>
  </r>
  <r>
    <d v="2024-04-29T00:00:00"/>
    <x v="3"/>
    <x v="5"/>
    <s v="Tablet"/>
    <s v="Tablet"/>
    <x v="0"/>
    <n v="4"/>
    <n v="163.66"/>
    <s v="Store B"/>
    <s v="Retail"/>
    <n v="0"/>
    <x v="5"/>
    <n v="654.64"/>
    <s v="Gift Card"/>
    <s v="WINTER15"/>
    <n v="1"/>
    <s v="REG100144"/>
    <s v="Cust 9618"/>
    <n v="31.8"/>
    <d v="2024-04-29T00:00:00"/>
    <d v="2024-05-01T00:00:00"/>
    <s v="Cameron"/>
    <n v="654.64"/>
    <n v="654.64"/>
    <n v="0"/>
    <x v="0"/>
    <x v="9"/>
  </r>
  <r>
    <d v="2023-03-18T00:00:00"/>
    <x v="4"/>
    <x v="0"/>
    <s v="Laptop"/>
    <s v="Laptop"/>
    <x v="0"/>
    <n v="19"/>
    <n v="484.25"/>
    <s v="Store C"/>
    <s v="Wholesale"/>
    <n v="0.15"/>
    <x v="5"/>
    <n v="7820.6374999999998"/>
    <s v="Debit Card"/>
    <s v="FREESHIP"/>
    <n v="1"/>
    <s v="REG100145"/>
    <s v="Cust 5203"/>
    <n v="29.51"/>
    <d v="2023-03-18T00:00:00"/>
    <d v="2023-03-20T00:00:00"/>
    <s v="Wendy"/>
    <n v="6647.5418749999999"/>
    <n v="9200.75"/>
    <n v="2553.2081250000001"/>
    <x v="2"/>
    <x v="17"/>
  </r>
  <r>
    <d v="2024-12-21T00:00:00"/>
    <x v="2"/>
    <x v="3"/>
    <s v="Chair"/>
    <s v="Chair"/>
    <x v="1"/>
    <n v="9"/>
    <n v="380.4"/>
    <s v="Store B"/>
    <s v="Retail"/>
    <n v="0.1"/>
    <x v="3"/>
    <n v="3081.24"/>
    <s v="Credit Card"/>
    <m/>
    <n v="0"/>
    <s v="REG100146"/>
    <s v="Cust 1732"/>
    <n v="31"/>
    <d v="2024-12-21T00:00:00"/>
    <d v="2024-12-27T00:00:00"/>
    <s v="Ryan"/>
    <n v="2773.116"/>
    <n v="3423.6"/>
    <n v="650.48399999999992"/>
    <x v="1"/>
    <x v="1"/>
  </r>
  <r>
    <d v="2023-04-23T00:00:00"/>
    <x v="4"/>
    <x v="3"/>
    <s v="Chair"/>
    <s v="Chair"/>
    <x v="1"/>
    <n v="17"/>
    <n v="332.38"/>
    <s v="Store A"/>
    <s v="Retail"/>
    <n v="0.1"/>
    <x v="2"/>
    <n v="5085.4139999999998"/>
    <s v="Credit Card"/>
    <s v="SAVE10"/>
    <n v="1"/>
    <s v="REG100147"/>
    <s v="Cust 4734"/>
    <n v="33.81"/>
    <d v="2023-04-23T00:00:00"/>
    <d v="2023-05-02T00:00:00"/>
    <s v="Wendy"/>
    <n v="4576.8725999999997"/>
    <n v="5650.46"/>
    <n v="1073.5874000000003"/>
    <x v="1"/>
    <x v="21"/>
  </r>
  <r>
    <d v="2025-05-11T00:00:00"/>
    <x v="3"/>
    <x v="3"/>
    <s v="Chair"/>
    <s v="Chair"/>
    <x v="1"/>
    <n v="15"/>
    <n v="210.94"/>
    <s v="Store C"/>
    <s v="Wholesale"/>
    <n v="0.05"/>
    <x v="2"/>
    <n v="3005.895"/>
    <s v="Online"/>
    <s v="SAVE10"/>
    <n v="0"/>
    <s v="REG100148"/>
    <s v="Cust 5895"/>
    <n v="10.91"/>
    <d v="2025-05-11T00:00:00"/>
    <d v="2025-05-21T00:00:00"/>
    <s v="Cameron"/>
    <n v="2855.60025"/>
    <n v="3164.1"/>
    <n v="308.49974999999995"/>
    <x v="1"/>
    <x v="13"/>
  </r>
  <r>
    <d v="2024-03-03T00:00:00"/>
    <x v="1"/>
    <x v="1"/>
    <s v="Phone"/>
    <s v="Phone"/>
    <x v="0"/>
    <n v="9"/>
    <n v="382.8"/>
    <s v="Store D"/>
    <s v="Wholesale"/>
    <n v="0"/>
    <x v="0"/>
    <n v="3445.2"/>
    <s v="Cash"/>
    <m/>
    <n v="0"/>
    <s v="REG100149"/>
    <s v="Cust 9691"/>
    <n v="47.94"/>
    <d v="2024-03-03T00:00:00"/>
    <d v="2024-03-05T00:00:00"/>
    <s v="Sophie"/>
    <n v="3445.2"/>
    <n v="3445.2000000000003"/>
    <n v="0"/>
    <x v="0"/>
    <x v="25"/>
  </r>
  <r>
    <d v="2025-01-20T00:00:00"/>
    <x v="2"/>
    <x v="4"/>
    <s v="Monitor"/>
    <s v="Monitor"/>
    <x v="0"/>
    <n v="3"/>
    <n v="386.29"/>
    <s v="Store C"/>
    <s v="Retail"/>
    <n v="0.15"/>
    <x v="3"/>
    <n v="985.03950000000009"/>
    <s v="Credit Card"/>
    <s v="FREESHIP"/>
    <n v="0"/>
    <s v="REG100150"/>
    <s v="Cust 5406"/>
    <n v="32.450000000000003"/>
    <d v="2025-01-20T00:00:00"/>
    <d v="2025-01-30T00:00:00"/>
    <s v="Ryan"/>
    <n v="837.28357500000004"/>
    <n v="1158.8700000000001"/>
    <n v="321.58642500000008"/>
    <x v="2"/>
    <x v="12"/>
  </r>
  <r>
    <d v="2025-03-22T00:00:00"/>
    <x v="2"/>
    <x v="5"/>
    <s v="Tablet"/>
    <s v="Tablet"/>
    <x v="0"/>
    <n v="5"/>
    <n v="225.99"/>
    <s v="Store C"/>
    <s v="Retail"/>
    <n v="0"/>
    <x v="0"/>
    <n v="1129.95"/>
    <s v="Online"/>
    <s v="SAVE10"/>
    <n v="1"/>
    <s v="REG100151"/>
    <s v="Cust 5750"/>
    <n v="10.88"/>
    <d v="2025-03-22T00:00:00"/>
    <d v="2025-03-30T00:00:00"/>
    <s v="Ryan"/>
    <n v="1129.95"/>
    <n v="1129.95"/>
    <n v="0"/>
    <x v="0"/>
    <x v="8"/>
  </r>
  <r>
    <d v="2025-03-28T00:00:00"/>
    <x v="1"/>
    <x v="6"/>
    <s v="Printer"/>
    <s v="Printer"/>
    <x v="2"/>
    <n v="20"/>
    <n v="312.56"/>
    <s v="Store D"/>
    <s v="Retail"/>
    <n v="0.15"/>
    <x v="2"/>
    <n v="5313.52"/>
    <s v="Gift Card"/>
    <s v="WINTER15"/>
    <n v="0"/>
    <s v="REG100152"/>
    <s v="Cust 6506"/>
    <n v="47.39"/>
    <d v="2025-03-28T00:00:00"/>
    <d v="2025-03-30T00:00:00"/>
    <s v="Sophie"/>
    <n v="4516.4920000000002"/>
    <n v="6251.2"/>
    <n v="1734.7079999999996"/>
    <x v="2"/>
    <x v="8"/>
  </r>
  <r>
    <d v="2025-02-17T00:00:00"/>
    <x v="2"/>
    <x v="1"/>
    <s v="Phone"/>
    <s v="Phone"/>
    <x v="0"/>
    <n v="13"/>
    <n v="433.77"/>
    <s v="Store C"/>
    <s v="Wholesale"/>
    <n v="0.05"/>
    <x v="2"/>
    <n v="5357.0595000000003"/>
    <s v="Cash"/>
    <s v="FREESHIP"/>
    <n v="0"/>
    <s v="REG100153"/>
    <s v="Cust 8280"/>
    <n v="17.61"/>
    <d v="2025-02-17T00:00:00"/>
    <d v="2025-02-21T00:00:00"/>
    <s v="Ryan"/>
    <n v="5089.2065249999996"/>
    <n v="5639.01"/>
    <n v="549.80347500000062"/>
    <x v="1"/>
    <x v="3"/>
  </r>
  <r>
    <d v="2024-11-08T00:00:00"/>
    <x v="1"/>
    <x v="5"/>
    <s v="Tablet"/>
    <s v="Tablet"/>
    <x v="0"/>
    <n v="20"/>
    <n v="159.33000000000001"/>
    <s v="Store A"/>
    <s v="Wholesale"/>
    <n v="0"/>
    <x v="0"/>
    <n v="3186.6"/>
    <s v="Online"/>
    <s v="FREESHIP"/>
    <n v="0"/>
    <s v="REG100154"/>
    <s v="Cust 4358"/>
    <n v="26.32"/>
    <d v="2024-11-08T00:00:00"/>
    <d v="2024-11-11T00:00:00"/>
    <s v="Sophie"/>
    <n v="3186.6"/>
    <n v="3186.6000000000004"/>
    <n v="0"/>
    <x v="0"/>
    <x v="20"/>
  </r>
  <r>
    <d v="2024-03-17T00:00:00"/>
    <x v="1"/>
    <x v="1"/>
    <s v="Phone"/>
    <s v="Phone"/>
    <x v="0"/>
    <n v="18"/>
    <n v="32.229999999999997"/>
    <s v="Store B"/>
    <s v="Retail"/>
    <n v="0.05"/>
    <x v="5"/>
    <n v="551.13299999999992"/>
    <s v="Credit Card"/>
    <s v="FREESHIP"/>
    <n v="0"/>
    <s v="REG100155"/>
    <s v="Cust 3588"/>
    <n v="6.04"/>
    <d v="2024-03-17T00:00:00"/>
    <d v="2024-03-21T00:00:00"/>
    <s v="Sophie"/>
    <n v="523.57634999999993"/>
    <n v="580.14"/>
    <n v="56.563650000000052"/>
    <x v="1"/>
    <x v="25"/>
  </r>
  <r>
    <d v="2023-08-29T00:00:00"/>
    <x v="1"/>
    <x v="4"/>
    <s v="Monitor"/>
    <s v="Monitor"/>
    <x v="0"/>
    <n v="3"/>
    <n v="527.77"/>
    <s v="Store C"/>
    <s v="Retail"/>
    <n v="0.1"/>
    <x v="5"/>
    <n v="1424.979"/>
    <s v="Cash"/>
    <s v="FREESHIP"/>
    <n v="0"/>
    <s v="REG100156"/>
    <s v="Cust 4539"/>
    <n v="48.66"/>
    <d v="2023-08-29T00:00:00"/>
    <d v="2023-09-01T00:00:00"/>
    <s v="Sophie"/>
    <n v="1282.4811"/>
    <n v="1583.31"/>
    <n v="300.82889999999998"/>
    <x v="1"/>
    <x v="18"/>
  </r>
  <r>
    <d v="2023-06-22T00:00:00"/>
    <x v="1"/>
    <x v="3"/>
    <s v="Chair"/>
    <s v="Chair"/>
    <x v="1"/>
    <n v="14"/>
    <n v="291.08999999999997"/>
    <s v="Store A"/>
    <s v="Retail"/>
    <n v="0"/>
    <x v="3"/>
    <n v="4075.26"/>
    <s v="Cash"/>
    <m/>
    <n v="0"/>
    <s v="REG100157"/>
    <s v="Cust 7067"/>
    <n v="39.979999999999997"/>
    <d v="2023-06-22T00:00:00"/>
    <d v="2023-06-30T00:00:00"/>
    <s v="Sophie"/>
    <n v="4075.26"/>
    <n v="4075.2599999999998"/>
    <n v="0"/>
    <x v="0"/>
    <x v="4"/>
  </r>
  <r>
    <d v="2024-02-24T00:00:00"/>
    <x v="1"/>
    <x v="1"/>
    <s v="Phone"/>
    <s v="Phone"/>
    <x v="0"/>
    <n v="8"/>
    <n v="350.12"/>
    <s v="Store C"/>
    <s v="Retail"/>
    <n v="0"/>
    <x v="1"/>
    <n v="2800.96"/>
    <s v="Gift Card"/>
    <s v="FREESHIP"/>
    <n v="1"/>
    <s v="REG100158"/>
    <s v="Cust 7720"/>
    <n v="31.65"/>
    <d v="2024-02-24T00:00:00"/>
    <d v="2024-03-01T00:00:00"/>
    <s v="Sophie"/>
    <n v="2800.96"/>
    <n v="2800.96"/>
    <n v="0"/>
    <x v="0"/>
    <x v="5"/>
  </r>
  <r>
    <d v="2024-04-10T00:00:00"/>
    <x v="2"/>
    <x v="1"/>
    <s v="Phone"/>
    <s v="Phone"/>
    <x v="0"/>
    <n v="10"/>
    <n v="195.26"/>
    <s v="Store D"/>
    <s v="Retail"/>
    <n v="0.05"/>
    <x v="1"/>
    <n v="1854.97"/>
    <s v="Credit Card"/>
    <s v="WINTER15"/>
    <n v="0"/>
    <s v="REG100159"/>
    <s v="Cust 5668"/>
    <n v="46.91"/>
    <d v="2024-04-10T00:00:00"/>
    <d v="2024-04-15T00:00:00"/>
    <s v="Ryan"/>
    <n v="1762.2214999999999"/>
    <n v="1952.6"/>
    <n v="190.37850000000003"/>
    <x v="1"/>
    <x v="9"/>
  </r>
  <r>
    <d v="2023-05-14T00:00:00"/>
    <x v="1"/>
    <x v="4"/>
    <s v="Monitor"/>
    <s v="Monitor"/>
    <x v="0"/>
    <n v="13"/>
    <n v="291.10000000000002"/>
    <s v="Store A"/>
    <s v="Wholesale"/>
    <n v="0"/>
    <x v="1"/>
    <n v="3784.3"/>
    <s v="Online"/>
    <s v="FREESHIP"/>
    <n v="0"/>
    <s v="REG100160"/>
    <s v="Cust 8367"/>
    <n v="7.66"/>
    <d v="2023-05-14T00:00:00"/>
    <d v="2023-05-19T00:00:00"/>
    <s v="Sophie"/>
    <n v="3784.3"/>
    <n v="3784.3"/>
    <n v="0"/>
    <x v="0"/>
    <x v="2"/>
  </r>
  <r>
    <d v="2023-03-11T00:00:00"/>
    <x v="1"/>
    <x v="4"/>
    <s v="Monitor"/>
    <s v="Monitor"/>
    <x v="0"/>
    <n v="6"/>
    <n v="93.92"/>
    <s v="Store B"/>
    <s v="Wholesale"/>
    <n v="0.15"/>
    <x v="0"/>
    <n v="478.99200000000002"/>
    <s v="Credit Card"/>
    <s v="FREESHIP"/>
    <n v="0"/>
    <s v="REG100161"/>
    <s v="Cust 4438"/>
    <n v="11"/>
    <d v="2023-03-11T00:00:00"/>
    <d v="2023-03-18T00:00:00"/>
    <s v="Sophie"/>
    <n v="407.14319999999998"/>
    <n v="563.52"/>
    <n v="156.3768"/>
    <x v="2"/>
    <x v="17"/>
  </r>
  <r>
    <d v="2024-08-24T00:00:00"/>
    <x v="3"/>
    <x v="6"/>
    <s v="Printer"/>
    <s v="Printer"/>
    <x v="2"/>
    <n v="5"/>
    <n v="15.92"/>
    <s v="Store D"/>
    <s v="Retail"/>
    <n v="0"/>
    <x v="0"/>
    <n v="79.599999999999994"/>
    <s v="Credit Card"/>
    <m/>
    <n v="1"/>
    <s v="REG100162"/>
    <s v="Cust 3481"/>
    <n v="8.66"/>
    <d v="2024-08-24T00:00:00"/>
    <d v="2024-08-26T00:00:00"/>
    <s v="Cameron"/>
    <n v="79.599999999999994"/>
    <n v="79.599999999999994"/>
    <n v="0"/>
    <x v="0"/>
    <x v="29"/>
  </r>
  <r>
    <d v="2024-02-23T00:00:00"/>
    <x v="1"/>
    <x v="4"/>
    <s v="Monitor"/>
    <s v="Monitor"/>
    <x v="0"/>
    <n v="16"/>
    <n v="120.22"/>
    <s v="Store D"/>
    <s v="Retail"/>
    <n v="0.15"/>
    <x v="5"/>
    <n v="1634.992"/>
    <s v="Cash"/>
    <s v="SAVE10"/>
    <n v="0"/>
    <s v="REG100163"/>
    <s v="Cust 1489"/>
    <n v="8.42"/>
    <d v="2024-02-23T00:00:00"/>
    <d v="2024-03-01T00:00:00"/>
    <s v="Sophie"/>
    <n v="1389.7431999999999"/>
    <n v="1923.52"/>
    <n v="533.77680000000009"/>
    <x v="2"/>
    <x v="5"/>
  </r>
  <r>
    <d v="2024-01-30T00:00:00"/>
    <x v="2"/>
    <x v="4"/>
    <s v="Monitor"/>
    <s v="Monitor"/>
    <x v="0"/>
    <n v="11"/>
    <n v="118.8"/>
    <s v="Store A"/>
    <s v="Retail"/>
    <n v="0.05"/>
    <x v="0"/>
    <n v="1241.46"/>
    <s v="Online"/>
    <s v="SAVE10"/>
    <n v="0"/>
    <s v="REG100164"/>
    <s v="Cust 6649"/>
    <n v="39.32"/>
    <d v="2024-01-30T00:00:00"/>
    <d v="2024-02-06T00:00:00"/>
    <s v="Ryan"/>
    <n v="1179.3869999999999"/>
    <n v="1306.8"/>
    <n v="127.41300000000001"/>
    <x v="1"/>
    <x v="24"/>
  </r>
  <r>
    <d v="2024-01-23T00:00:00"/>
    <x v="0"/>
    <x v="5"/>
    <s v="Tablet"/>
    <s v="Tablet"/>
    <x v="0"/>
    <n v="10"/>
    <n v="92.45"/>
    <s v="Store C"/>
    <s v="Wholesale"/>
    <n v="0.1"/>
    <x v="2"/>
    <n v="832.05000000000007"/>
    <s v="Cash"/>
    <s v="WINTER15"/>
    <n v="1"/>
    <s v="REG100165"/>
    <s v="Cust 6114"/>
    <n v="42.61"/>
    <d v="2024-01-23T00:00:00"/>
    <d v="2024-01-29T00:00:00"/>
    <s v="Eric"/>
    <n v="748.84500000000003"/>
    <n v="924.5"/>
    <n v="175.65499999999997"/>
    <x v="1"/>
    <x v="24"/>
  </r>
  <r>
    <d v="2023-01-05T00:00:00"/>
    <x v="2"/>
    <x v="0"/>
    <s v="Laptop"/>
    <s v="Laptop"/>
    <x v="0"/>
    <n v="19"/>
    <n v="463.51"/>
    <s v="Store B"/>
    <s v="Retail"/>
    <n v="0"/>
    <x v="5"/>
    <n v="8806.69"/>
    <s v="Cash"/>
    <s v="FREESHIP"/>
    <n v="0"/>
    <s v="REG100166"/>
    <s v="Cust 9589"/>
    <n v="49.38"/>
    <d v="2023-01-05T00:00:00"/>
    <d v="2023-01-08T00:00:00"/>
    <s v="Ryan"/>
    <n v="8806.69"/>
    <n v="8806.69"/>
    <n v="0"/>
    <x v="0"/>
    <x v="6"/>
  </r>
  <r>
    <d v="2023-12-21T00:00:00"/>
    <x v="2"/>
    <x v="2"/>
    <s v="Desk"/>
    <s v="Desk"/>
    <x v="1"/>
    <n v="7"/>
    <n v="284.7"/>
    <s v="Store D"/>
    <s v="Wholesale"/>
    <n v="0.05"/>
    <x v="5"/>
    <n v="1893.2550000000001"/>
    <s v="Gift Card"/>
    <m/>
    <n v="0"/>
    <s v="REG100167"/>
    <s v="Cust 8184"/>
    <n v="5.36"/>
    <d v="2023-12-21T00:00:00"/>
    <d v="2023-12-30T00:00:00"/>
    <s v="Ryan"/>
    <n v="1798.5922499999999"/>
    <n v="1992.8999999999999"/>
    <n v="194.30774999999994"/>
    <x v="1"/>
    <x v="27"/>
  </r>
  <r>
    <d v="2023-05-25T00:00:00"/>
    <x v="4"/>
    <x v="0"/>
    <s v="Laptop"/>
    <s v="Laptop"/>
    <x v="0"/>
    <n v="20"/>
    <n v="343.25"/>
    <s v="Store C"/>
    <s v="Wholesale"/>
    <n v="0.05"/>
    <x v="1"/>
    <n v="6521.75"/>
    <s v="Debit Card"/>
    <s v="FREESHIP"/>
    <n v="0"/>
    <s v="REG100168"/>
    <s v="Cust 2490"/>
    <n v="28.77"/>
    <d v="2023-05-25T00:00:00"/>
    <d v="2023-06-02T00:00:00"/>
    <s v="Wendy"/>
    <n v="6195.6624999999995"/>
    <n v="6865"/>
    <n v="669.33750000000055"/>
    <x v="1"/>
    <x v="2"/>
  </r>
  <r>
    <d v="2025-06-30T00:00:00"/>
    <x v="3"/>
    <x v="3"/>
    <s v="Chair"/>
    <s v="Chair"/>
    <x v="1"/>
    <n v="6"/>
    <n v="95.24"/>
    <s v="Store D"/>
    <s v="Wholesale"/>
    <n v="0.15"/>
    <x v="4"/>
    <n v="485.72399999999988"/>
    <s v="Gift Card"/>
    <s v="FREESHIP"/>
    <n v="0"/>
    <s v="REG100169"/>
    <s v="Cust 1647"/>
    <n v="18.72"/>
    <d v="2025-06-30T00:00:00"/>
    <d v="2025-07-08T00:00:00"/>
    <s v="Cameron"/>
    <n v="412.86539999999991"/>
    <n v="571.43999999999994"/>
    <n v="158.57460000000003"/>
    <x v="2"/>
    <x v="16"/>
  </r>
  <r>
    <d v="2025-02-12T00:00:00"/>
    <x v="4"/>
    <x v="2"/>
    <s v="Desk"/>
    <s v="Desk"/>
    <x v="1"/>
    <n v="13"/>
    <n v="104.8"/>
    <s v="Store B"/>
    <s v="Retail"/>
    <n v="0.05"/>
    <x v="4"/>
    <n v="1294.28"/>
    <s v="Credit Card"/>
    <s v="WINTER15"/>
    <n v="0"/>
    <s v="REG100170"/>
    <s v="Cust 2017"/>
    <n v="7.79"/>
    <d v="2025-02-12T00:00:00"/>
    <d v="2025-02-19T00:00:00"/>
    <s v="Wendy"/>
    <n v="1229.5659999999998"/>
    <n v="1362.3999999999999"/>
    <n v="132.83400000000006"/>
    <x v="1"/>
    <x v="3"/>
  </r>
  <r>
    <d v="2024-01-03T00:00:00"/>
    <x v="4"/>
    <x v="5"/>
    <s v="Tablet"/>
    <s v="Tablet"/>
    <x v="0"/>
    <n v="12"/>
    <n v="164.31"/>
    <s v="Store B"/>
    <s v="Wholesale"/>
    <n v="0.1"/>
    <x v="0"/>
    <n v="1774.548"/>
    <s v="Cash"/>
    <m/>
    <n v="1"/>
    <s v="REG100171"/>
    <s v="Cust 3446"/>
    <n v="38.9"/>
    <d v="2024-01-03T00:00:00"/>
    <d v="2024-01-07T00:00:00"/>
    <s v="Wendy"/>
    <n v="1597.0932"/>
    <n v="1971.72"/>
    <n v="374.6268"/>
    <x v="1"/>
    <x v="24"/>
  </r>
  <r>
    <d v="2023-02-03T00:00:00"/>
    <x v="1"/>
    <x v="5"/>
    <s v="Tablet"/>
    <s v="Tablet"/>
    <x v="0"/>
    <n v="10"/>
    <n v="325.18"/>
    <s v="Store C"/>
    <s v="Wholesale"/>
    <n v="0.1"/>
    <x v="1"/>
    <n v="2926.62"/>
    <s v="Cash"/>
    <s v="WINTER15"/>
    <n v="0"/>
    <s v="REG100172"/>
    <s v="Cust 4877"/>
    <n v="47.39"/>
    <d v="2023-02-03T00:00:00"/>
    <d v="2023-02-13T00:00:00"/>
    <s v="Sophie"/>
    <n v="2633.9580000000001"/>
    <n v="3251.8"/>
    <n v="617.8420000000001"/>
    <x v="1"/>
    <x v="0"/>
  </r>
  <r>
    <d v="2024-03-01T00:00:00"/>
    <x v="0"/>
    <x v="4"/>
    <s v="Monitor"/>
    <s v="Monitor"/>
    <x v="0"/>
    <n v="17"/>
    <n v="542.82000000000005"/>
    <s v="Store A"/>
    <s v="Wholesale"/>
    <n v="0"/>
    <x v="1"/>
    <n v="9227.94"/>
    <s v="Debit Card"/>
    <s v="WINTER15"/>
    <n v="1"/>
    <s v="REG100173"/>
    <s v="Cust 9112"/>
    <n v="7.13"/>
    <d v="2024-03-01T00:00:00"/>
    <d v="2024-03-08T00:00:00"/>
    <s v="Eric"/>
    <n v="9227.94"/>
    <n v="9227.94"/>
    <n v="0"/>
    <x v="0"/>
    <x v="25"/>
  </r>
  <r>
    <d v="2023-05-24T00:00:00"/>
    <x v="2"/>
    <x v="5"/>
    <s v="Tablet"/>
    <s v="Tablet"/>
    <x v="0"/>
    <n v="14"/>
    <n v="207.48"/>
    <s v="Store C"/>
    <s v="Wholesale"/>
    <n v="0.05"/>
    <x v="0"/>
    <n v="2759.483999999999"/>
    <s v="Online"/>
    <m/>
    <n v="0"/>
    <s v="REG100174"/>
    <s v="Cust 8172"/>
    <n v="5.7"/>
    <d v="2023-05-24T00:00:00"/>
    <d v="2023-06-02T00:00:00"/>
    <s v="Ryan"/>
    <n v="2621.5097999999989"/>
    <n v="2904.72"/>
    <n v="283.2102000000009"/>
    <x v="1"/>
    <x v="2"/>
  </r>
  <r>
    <d v="2025-06-22T00:00:00"/>
    <x v="2"/>
    <x v="6"/>
    <s v="Printer"/>
    <s v="Printer"/>
    <x v="2"/>
    <n v="17"/>
    <n v="527.88"/>
    <s v="Store D"/>
    <s v="Retail"/>
    <n v="0.05"/>
    <x v="5"/>
    <n v="8525.2619999999988"/>
    <s v="Cash"/>
    <s v="WINTER15"/>
    <n v="0"/>
    <s v="REG100175"/>
    <s v="Cust 4597"/>
    <n v="21.32"/>
    <d v="2025-06-22T00:00:00"/>
    <d v="2025-06-28T00:00:00"/>
    <s v="Ryan"/>
    <n v="8098.9988999999987"/>
    <n v="8973.9599999999991"/>
    <n v="874.96110000000044"/>
    <x v="1"/>
    <x v="16"/>
  </r>
  <r>
    <d v="2023-04-10T00:00:00"/>
    <x v="2"/>
    <x v="3"/>
    <s v="Chair"/>
    <s v="Chair"/>
    <x v="1"/>
    <n v="11"/>
    <n v="71.209999999999994"/>
    <s v="Store B"/>
    <s v="Retail"/>
    <n v="0.05"/>
    <x v="4"/>
    <n v="744.14449999999988"/>
    <s v="Online"/>
    <m/>
    <n v="1"/>
    <s v="REG100176"/>
    <s v="Cust 3690"/>
    <n v="44.2"/>
    <d v="2023-04-10T00:00:00"/>
    <d v="2023-04-14T00:00:00"/>
    <s v="Ryan"/>
    <n v="706.93727499999989"/>
    <n v="783.31"/>
    <n v="76.372725000000059"/>
    <x v="1"/>
    <x v="21"/>
  </r>
  <r>
    <d v="2025-03-04T00:00:00"/>
    <x v="3"/>
    <x v="6"/>
    <s v="Printer"/>
    <s v="Printer"/>
    <x v="2"/>
    <n v="8"/>
    <n v="486.07"/>
    <s v="Store B"/>
    <s v="Retail"/>
    <n v="0"/>
    <x v="3"/>
    <n v="3888.56"/>
    <s v="Debit Card"/>
    <s v="FREESHIP"/>
    <n v="0"/>
    <s v="REG100177"/>
    <s v="Cust 2893"/>
    <n v="10.68"/>
    <d v="2025-03-04T00:00:00"/>
    <d v="2025-03-10T00:00:00"/>
    <s v="Cameron"/>
    <n v="3888.56"/>
    <n v="3888.56"/>
    <n v="0"/>
    <x v="0"/>
    <x v="8"/>
  </r>
  <r>
    <d v="2024-07-11T00:00:00"/>
    <x v="0"/>
    <x v="0"/>
    <s v="Laptop"/>
    <s v="Laptop"/>
    <x v="0"/>
    <n v="6"/>
    <n v="555.03"/>
    <s v="Store C"/>
    <s v="Retail"/>
    <n v="0.1"/>
    <x v="2"/>
    <n v="2997.1619999999998"/>
    <s v="Credit Card"/>
    <m/>
    <n v="1"/>
    <s v="REG100178"/>
    <s v="Cust 5602"/>
    <n v="23.69"/>
    <d v="2024-07-11T00:00:00"/>
    <d v="2024-07-20T00:00:00"/>
    <s v="Eric"/>
    <n v="2697.4458"/>
    <n v="3330.18"/>
    <n v="632.73419999999987"/>
    <x v="1"/>
    <x v="10"/>
  </r>
  <r>
    <d v="2024-08-17T00:00:00"/>
    <x v="0"/>
    <x v="2"/>
    <s v="Desk"/>
    <s v="Desk"/>
    <x v="1"/>
    <n v="13"/>
    <n v="421.08"/>
    <s v="Store B"/>
    <s v="Wholesale"/>
    <n v="0"/>
    <x v="5"/>
    <n v="5474.04"/>
    <s v="Cash"/>
    <m/>
    <n v="0"/>
    <s v="REG100179"/>
    <s v="Cust 5616"/>
    <n v="24.51"/>
    <d v="2024-08-17T00:00:00"/>
    <d v="2024-08-20T00:00:00"/>
    <s v="Eric"/>
    <n v="5474.04"/>
    <n v="5474.04"/>
    <n v="0"/>
    <x v="0"/>
    <x v="29"/>
  </r>
  <r>
    <d v="2025-06-30T00:00:00"/>
    <x v="2"/>
    <x v="0"/>
    <s v="Laptop"/>
    <s v="Laptop"/>
    <x v="0"/>
    <n v="16"/>
    <n v="76.17"/>
    <s v="Store D"/>
    <s v="Wholesale"/>
    <n v="0.1"/>
    <x v="1"/>
    <n v="1096.848"/>
    <s v="Cash"/>
    <s v="WINTER15"/>
    <n v="0"/>
    <s v="REG100180"/>
    <s v="Cust 1312"/>
    <n v="41.88"/>
    <d v="2025-06-30T00:00:00"/>
    <d v="2025-07-09T00:00:00"/>
    <s v="Ryan"/>
    <n v="987.16319999999996"/>
    <n v="1218.72"/>
    <n v="231.55680000000007"/>
    <x v="1"/>
    <x v="16"/>
  </r>
  <r>
    <d v="2024-11-06T00:00:00"/>
    <x v="1"/>
    <x v="6"/>
    <s v="Printer"/>
    <s v="Printer"/>
    <x v="2"/>
    <n v="3"/>
    <n v="503.55"/>
    <s v="Store C"/>
    <s v="Wholesale"/>
    <n v="0.1"/>
    <x v="5"/>
    <n v="1359.585"/>
    <s v="Credit Card"/>
    <s v="WINTER15"/>
    <n v="0"/>
    <s v="REG100181"/>
    <s v="Cust 6315"/>
    <n v="37.49"/>
    <d v="2024-11-06T00:00:00"/>
    <d v="2024-11-13T00:00:00"/>
    <s v="Sophie"/>
    <n v="1223.6265000000001"/>
    <n v="1510.65"/>
    <n v="287.02350000000001"/>
    <x v="1"/>
    <x v="20"/>
  </r>
  <r>
    <d v="2025-04-01T00:00:00"/>
    <x v="0"/>
    <x v="5"/>
    <s v="Tablet"/>
    <s v="Tablet"/>
    <x v="0"/>
    <n v="5"/>
    <n v="31.56"/>
    <s v="Store D"/>
    <s v="Retail"/>
    <n v="0"/>
    <x v="4"/>
    <n v="157.80000000000001"/>
    <s v="Online"/>
    <s v="SAVE10"/>
    <n v="1"/>
    <s v="REG100182"/>
    <s v="Cust 1224"/>
    <n v="29.56"/>
    <d v="2025-04-01T00:00:00"/>
    <d v="2025-04-04T00:00:00"/>
    <s v="Eric"/>
    <n v="157.80000000000001"/>
    <n v="157.79999999999998"/>
    <n v="0"/>
    <x v="0"/>
    <x v="28"/>
  </r>
  <r>
    <d v="2024-07-01T00:00:00"/>
    <x v="4"/>
    <x v="0"/>
    <s v="Laptop"/>
    <s v="Laptop"/>
    <x v="0"/>
    <n v="16"/>
    <n v="72.92"/>
    <s v="Store C"/>
    <s v="Wholesale"/>
    <n v="0.05"/>
    <x v="2"/>
    <n v="1108.384"/>
    <s v="Cash"/>
    <s v="FREESHIP"/>
    <n v="0"/>
    <s v="REG100183"/>
    <s v="Cust 7182"/>
    <n v="5.7"/>
    <d v="2024-07-01T00:00:00"/>
    <d v="2024-07-06T00:00:00"/>
    <s v="Wendy"/>
    <n v="1052.9648"/>
    <n v="1166.72"/>
    <n v="113.75520000000006"/>
    <x v="1"/>
    <x v="10"/>
  </r>
  <r>
    <d v="2023-12-09T00:00:00"/>
    <x v="4"/>
    <x v="6"/>
    <s v="Printer"/>
    <s v="Printer"/>
    <x v="2"/>
    <n v="18"/>
    <n v="421.93"/>
    <s v="Store D"/>
    <s v="Retail"/>
    <n v="0.05"/>
    <x v="5"/>
    <n v="7215.0029999999997"/>
    <s v="Gift Card"/>
    <s v="WINTER15"/>
    <n v="0"/>
    <s v="REG100184"/>
    <s v="Cust 7901"/>
    <n v="23.42"/>
    <d v="2023-12-09T00:00:00"/>
    <d v="2023-12-18T00:00:00"/>
    <s v="Wendy"/>
    <n v="6854.2528499999989"/>
    <n v="7594.74"/>
    <n v="740.48715000000084"/>
    <x v="1"/>
    <x v="27"/>
  </r>
  <r>
    <d v="2023-06-27T00:00:00"/>
    <x v="2"/>
    <x v="2"/>
    <s v="Desk"/>
    <s v="Desk"/>
    <x v="1"/>
    <n v="15"/>
    <n v="478.41"/>
    <s v="Store B"/>
    <s v="Retail"/>
    <n v="0.1"/>
    <x v="3"/>
    <n v="6458.5350000000008"/>
    <s v="Debit Card"/>
    <s v="FREESHIP"/>
    <n v="0"/>
    <s v="REG100185"/>
    <s v="Cust 1736"/>
    <n v="35.630000000000003"/>
    <d v="2023-06-27T00:00:00"/>
    <d v="2023-06-30T00:00:00"/>
    <s v="Ryan"/>
    <n v="5812.6815000000006"/>
    <n v="7176.1500000000005"/>
    <n v="1363.4684999999999"/>
    <x v="1"/>
    <x v="4"/>
  </r>
  <r>
    <d v="2023-07-14T00:00:00"/>
    <x v="1"/>
    <x v="3"/>
    <s v="Chair"/>
    <s v="Chair"/>
    <x v="1"/>
    <n v="9"/>
    <n v="501.74"/>
    <s v="Store D"/>
    <s v="Retail"/>
    <n v="0"/>
    <x v="5"/>
    <n v="4515.66"/>
    <s v="Online"/>
    <s v="SAVE10"/>
    <n v="1"/>
    <s v="REG100186"/>
    <s v="Cust 7795"/>
    <n v="39.74"/>
    <d v="2023-07-14T00:00:00"/>
    <d v="2023-07-17T00:00:00"/>
    <s v="Sophie"/>
    <n v="4515.66"/>
    <n v="4515.66"/>
    <n v="0"/>
    <x v="0"/>
    <x v="11"/>
  </r>
  <r>
    <d v="2023-02-08T00:00:00"/>
    <x v="1"/>
    <x v="5"/>
    <s v="Tablet"/>
    <s v="Tablet"/>
    <x v="0"/>
    <n v="7"/>
    <n v="247.53"/>
    <s v="Store C"/>
    <s v="Wholesale"/>
    <n v="0.15"/>
    <x v="1"/>
    <n v="1472.8035"/>
    <s v="Gift Card"/>
    <s v="FREESHIP"/>
    <n v="0"/>
    <s v="REG100187"/>
    <s v="Cust 2471"/>
    <n v="13.63"/>
    <d v="2023-02-08T00:00:00"/>
    <d v="2023-02-16T00:00:00"/>
    <s v="Sophie"/>
    <n v="1251.882975"/>
    <n v="1732.71"/>
    <n v="480.82702500000005"/>
    <x v="2"/>
    <x v="0"/>
  </r>
  <r>
    <d v="2024-06-28T00:00:00"/>
    <x v="4"/>
    <x v="5"/>
    <s v="Tablet"/>
    <s v="Tablet"/>
    <x v="0"/>
    <n v="6"/>
    <n v="176.51"/>
    <s v="Store C"/>
    <s v="Wholesale"/>
    <n v="0.15"/>
    <x v="3"/>
    <n v="900.20099999999991"/>
    <s v="Debit Card"/>
    <s v="FREESHIP"/>
    <n v="1"/>
    <s v="REG100188"/>
    <s v="Cust 3068"/>
    <n v="31.02"/>
    <d v="2024-06-28T00:00:00"/>
    <d v="2024-07-07T00:00:00"/>
    <s v="Wendy"/>
    <n v="765.17084999999986"/>
    <n v="1059.06"/>
    <n v="293.88915000000009"/>
    <x v="2"/>
    <x v="23"/>
  </r>
  <r>
    <d v="2024-04-15T00:00:00"/>
    <x v="4"/>
    <x v="0"/>
    <s v="Laptop"/>
    <s v="Laptop"/>
    <x v="0"/>
    <n v="2"/>
    <n v="143.43"/>
    <s v="Store D"/>
    <s v="Wholesale"/>
    <n v="0"/>
    <x v="5"/>
    <n v="286.86"/>
    <s v="Credit Card"/>
    <m/>
    <n v="0"/>
    <s v="REG100189"/>
    <s v="Cust 3848"/>
    <n v="36.94"/>
    <d v="2024-04-15T00:00:00"/>
    <d v="2024-04-22T00:00:00"/>
    <s v="Wendy"/>
    <n v="286.86"/>
    <n v="286.86"/>
    <n v="0"/>
    <x v="0"/>
    <x v="9"/>
  </r>
  <r>
    <d v="2023-11-27T00:00:00"/>
    <x v="0"/>
    <x v="4"/>
    <s v="Monitor"/>
    <s v="Monitor"/>
    <x v="0"/>
    <n v="12"/>
    <n v="538.5"/>
    <s v="Store C"/>
    <s v="Wholesale"/>
    <n v="0.05"/>
    <x v="1"/>
    <n v="6138.9"/>
    <s v="Cash"/>
    <s v="SAVE10"/>
    <n v="0"/>
    <s v="REG100190"/>
    <s v="Cust 7777"/>
    <n v="18.54"/>
    <d v="2023-11-27T00:00:00"/>
    <d v="2023-12-06T00:00:00"/>
    <s v="Eric"/>
    <n v="5831.954999999999"/>
    <n v="6462"/>
    <n v="630.04500000000098"/>
    <x v="1"/>
    <x v="15"/>
  </r>
  <r>
    <d v="2025-03-27T00:00:00"/>
    <x v="0"/>
    <x v="6"/>
    <s v="Printer"/>
    <s v="Printer"/>
    <x v="2"/>
    <n v="5"/>
    <n v="87.17"/>
    <s v="Store D"/>
    <s v="Wholesale"/>
    <n v="0"/>
    <x v="3"/>
    <n v="435.85"/>
    <s v="Debit Card"/>
    <m/>
    <n v="0"/>
    <s v="REG100191"/>
    <s v="Cust 6613"/>
    <n v="13.01"/>
    <d v="2025-03-27T00:00:00"/>
    <d v="2025-03-29T00:00:00"/>
    <s v="Eric"/>
    <n v="435.85"/>
    <n v="435.85"/>
    <n v="0"/>
    <x v="0"/>
    <x v="8"/>
  </r>
  <r>
    <d v="2023-08-06T00:00:00"/>
    <x v="1"/>
    <x v="4"/>
    <s v="Monitor"/>
    <s v="Monitor"/>
    <x v="0"/>
    <n v="7"/>
    <n v="498.32"/>
    <s v="Store B"/>
    <s v="Wholesale"/>
    <n v="0.1"/>
    <x v="1"/>
    <n v="3139.4160000000002"/>
    <s v="Credit Card"/>
    <s v="WINTER15"/>
    <n v="1"/>
    <s v="REG100192"/>
    <s v="Cust 2326"/>
    <n v="27.65"/>
    <d v="2023-08-06T00:00:00"/>
    <d v="2023-08-10T00:00:00"/>
    <s v="Sophie"/>
    <n v="2825.4744000000001"/>
    <n v="3488.24"/>
    <n v="662.76559999999972"/>
    <x v="1"/>
    <x v="18"/>
  </r>
  <r>
    <d v="2024-12-13T00:00:00"/>
    <x v="1"/>
    <x v="6"/>
    <s v="Printer"/>
    <s v="Printer"/>
    <x v="2"/>
    <n v="15"/>
    <n v="57.14"/>
    <s v="Store B"/>
    <s v="Wholesale"/>
    <n v="0.15"/>
    <x v="3"/>
    <n v="728.53499999999997"/>
    <s v="Debit Card"/>
    <s v="FREESHIP"/>
    <n v="0"/>
    <s v="REG100193"/>
    <s v="Cust 8304"/>
    <n v="7.02"/>
    <d v="2024-12-13T00:00:00"/>
    <d v="2024-12-22T00:00:00"/>
    <s v="Sophie"/>
    <n v="619.25474999999994"/>
    <n v="857.1"/>
    <n v="237.84525000000008"/>
    <x v="2"/>
    <x v="1"/>
  </r>
  <r>
    <d v="2025-01-17T00:00:00"/>
    <x v="3"/>
    <x v="5"/>
    <s v="Tablet"/>
    <s v="Tablet"/>
    <x v="0"/>
    <n v="18"/>
    <n v="124.18"/>
    <s v="Store B"/>
    <s v="Wholesale"/>
    <n v="0.15"/>
    <x v="3"/>
    <n v="1899.954"/>
    <s v="Debit Card"/>
    <s v="SAVE10"/>
    <n v="0"/>
    <s v="REG100194"/>
    <s v="Cust 3630"/>
    <n v="45.77"/>
    <d v="2025-01-17T00:00:00"/>
    <d v="2025-01-26T00:00:00"/>
    <s v="Cameron"/>
    <n v="1614.9608999999998"/>
    <n v="2235.2400000000002"/>
    <n v="620.27910000000043"/>
    <x v="2"/>
    <x v="12"/>
  </r>
  <r>
    <d v="2023-11-26T00:00:00"/>
    <x v="4"/>
    <x v="2"/>
    <s v="Desk"/>
    <s v="Desk"/>
    <x v="1"/>
    <n v="12"/>
    <n v="107.45"/>
    <s v="Store C"/>
    <s v="Retail"/>
    <n v="0.1"/>
    <x v="5"/>
    <n v="1160.46"/>
    <s v="Online"/>
    <s v="FREESHIP"/>
    <n v="0"/>
    <s v="REG100195"/>
    <s v="Cust 8617"/>
    <n v="18.170000000000002"/>
    <d v="2023-11-26T00:00:00"/>
    <d v="2023-12-02T00:00:00"/>
    <s v="Wendy"/>
    <n v="1044.414"/>
    <n v="1289.4000000000001"/>
    <n v="244.9860000000001"/>
    <x v="1"/>
    <x v="15"/>
  </r>
  <r>
    <d v="2023-02-14T00:00:00"/>
    <x v="0"/>
    <x v="3"/>
    <s v="Chair"/>
    <s v="Chair"/>
    <x v="1"/>
    <n v="8"/>
    <n v="411.26"/>
    <s v="Store A"/>
    <s v="Retail"/>
    <n v="0.1"/>
    <x v="2"/>
    <n v="2961.0720000000001"/>
    <s v="Gift Card"/>
    <s v="WINTER15"/>
    <n v="0"/>
    <s v="REG100196"/>
    <s v="Cust 3530"/>
    <n v="28.57"/>
    <d v="2023-02-14T00:00:00"/>
    <d v="2023-02-18T00:00:00"/>
    <s v="Eric"/>
    <n v="2664.9648000000002"/>
    <n v="3290.08"/>
    <n v="625.11519999999973"/>
    <x v="1"/>
    <x v="0"/>
  </r>
  <r>
    <d v="2025-02-02T00:00:00"/>
    <x v="3"/>
    <x v="6"/>
    <s v="Printer"/>
    <s v="Printer"/>
    <x v="2"/>
    <n v="7"/>
    <n v="248.1"/>
    <s v="Store C"/>
    <s v="Retail"/>
    <n v="0"/>
    <x v="4"/>
    <n v="1736.7"/>
    <s v="Cash"/>
    <s v="WINTER15"/>
    <n v="0"/>
    <s v="REG100197"/>
    <s v="Cust 3884"/>
    <n v="31.8"/>
    <d v="2025-02-02T00:00:00"/>
    <d v="2025-02-06T00:00:00"/>
    <s v="Cameron"/>
    <n v="1736.7"/>
    <n v="1736.7"/>
    <n v="0"/>
    <x v="0"/>
    <x v="3"/>
  </r>
  <r>
    <d v="2023-04-11T00:00:00"/>
    <x v="4"/>
    <x v="6"/>
    <s v="Printer"/>
    <s v="Printer"/>
    <x v="2"/>
    <n v="3"/>
    <n v="486.52"/>
    <s v="Store B"/>
    <s v="Wholesale"/>
    <n v="0.1"/>
    <x v="3"/>
    <n v="1313.604"/>
    <s v="Gift Card"/>
    <m/>
    <n v="0"/>
    <s v="REG100198"/>
    <s v="Cust 5739"/>
    <n v="16.5"/>
    <d v="2023-04-11T00:00:00"/>
    <d v="2023-04-20T00:00:00"/>
    <s v="Wendy"/>
    <n v="1182.2436"/>
    <n v="1459.56"/>
    <n v="277.31639999999993"/>
    <x v="1"/>
    <x v="21"/>
  </r>
  <r>
    <d v="2024-07-08T00:00:00"/>
    <x v="2"/>
    <x v="4"/>
    <s v="Monitor"/>
    <s v="Monitor"/>
    <x v="0"/>
    <n v="18"/>
    <n v="415.04"/>
    <s v="Store C"/>
    <s v="Wholesale"/>
    <n v="0.1"/>
    <x v="0"/>
    <n v="6723.6480000000001"/>
    <s v="Cash"/>
    <s v="WINTER15"/>
    <n v="0"/>
    <s v="REG100199"/>
    <s v="Cust 9707"/>
    <n v="33.58"/>
    <d v="2024-07-08T00:00:00"/>
    <d v="2024-07-13T00:00:00"/>
    <s v="Ryan"/>
    <n v="6051.2831999999999"/>
    <n v="7470.72"/>
    <n v="1419.4368000000004"/>
    <x v="1"/>
    <x v="10"/>
  </r>
  <r>
    <d v="2023-02-08T00:00:00"/>
    <x v="3"/>
    <x v="6"/>
    <s v="Printer"/>
    <s v="Printer"/>
    <x v="2"/>
    <n v="19"/>
    <n v="165.38"/>
    <s v="Store B"/>
    <s v="Wholesale"/>
    <n v="0.15"/>
    <x v="1"/>
    <n v="2670.8870000000002"/>
    <s v="Online"/>
    <m/>
    <n v="0"/>
    <s v="REG100200"/>
    <s v="Cust 9288"/>
    <n v="25.2"/>
    <d v="2023-02-08T00:00:00"/>
    <d v="2023-02-14T00:00:00"/>
    <s v="Cameron"/>
    <n v="2270.2539500000003"/>
    <n v="3142.22"/>
    <n v="871.96604999999954"/>
    <x v="2"/>
    <x v="0"/>
  </r>
  <r>
    <d v="2024-04-09T00:00:00"/>
    <x v="4"/>
    <x v="2"/>
    <s v="Desk"/>
    <s v="Desk"/>
    <x v="1"/>
    <n v="2"/>
    <n v="117.47"/>
    <s v="Store C"/>
    <s v="Wholesale"/>
    <n v="0"/>
    <x v="0"/>
    <n v="234.94"/>
    <s v="Credit Card"/>
    <s v="FREESHIP"/>
    <n v="0"/>
    <s v="REG100201"/>
    <s v="Cust 1216"/>
    <n v="6.58"/>
    <d v="2024-04-09T00:00:00"/>
    <d v="2024-04-16T00:00:00"/>
    <s v="Wendy"/>
    <n v="234.94"/>
    <n v="234.94"/>
    <n v="0"/>
    <x v="0"/>
    <x v="9"/>
  </r>
  <r>
    <d v="2023-08-14T00:00:00"/>
    <x v="3"/>
    <x v="6"/>
    <s v="Printer"/>
    <s v="Printer"/>
    <x v="2"/>
    <n v="9"/>
    <n v="461.79"/>
    <s v="Store C"/>
    <s v="Wholesale"/>
    <n v="0.15"/>
    <x v="2"/>
    <n v="3532.6934999999999"/>
    <s v="Gift Card"/>
    <m/>
    <n v="0"/>
    <s v="REG100202"/>
    <s v="Cust 2489"/>
    <n v="47.81"/>
    <d v="2023-08-14T00:00:00"/>
    <d v="2023-08-18T00:00:00"/>
    <s v="Cameron"/>
    <n v="3002.7894749999996"/>
    <n v="4156.1100000000006"/>
    <n v="1153.320525000001"/>
    <x v="2"/>
    <x v="18"/>
  </r>
  <r>
    <d v="2024-09-02T00:00:00"/>
    <x v="4"/>
    <x v="5"/>
    <s v="Tablet"/>
    <s v="Tablet"/>
    <x v="0"/>
    <n v="19"/>
    <n v="208.72"/>
    <s v="Store D"/>
    <s v="Retail"/>
    <n v="0.05"/>
    <x v="2"/>
    <n v="3767.3960000000002"/>
    <s v="Credit Card"/>
    <s v="FREESHIP"/>
    <n v="0"/>
    <s v="REG100203"/>
    <s v="Cust 7171"/>
    <n v="38.409999999999997"/>
    <d v="2024-09-02T00:00:00"/>
    <d v="2024-09-06T00:00:00"/>
    <s v="Wendy"/>
    <n v="3579.0261999999998"/>
    <n v="3965.68"/>
    <n v="386.65380000000005"/>
    <x v="1"/>
    <x v="26"/>
  </r>
  <r>
    <d v="2025-06-29T00:00:00"/>
    <x v="3"/>
    <x v="4"/>
    <s v="Monitor"/>
    <s v="Monitor"/>
    <x v="0"/>
    <n v="16"/>
    <n v="278.13"/>
    <s v="Store A"/>
    <s v="Wholesale"/>
    <n v="0.15"/>
    <x v="1"/>
    <n v="3782.5680000000002"/>
    <s v="Cash"/>
    <s v="SAVE10"/>
    <n v="0"/>
    <s v="REG100204"/>
    <s v="Cust 9125"/>
    <n v="24.29"/>
    <d v="2025-06-29T00:00:00"/>
    <d v="2025-07-04T00:00:00"/>
    <s v="Cameron"/>
    <n v="3215.1828"/>
    <n v="4450.08"/>
    <n v="1234.8971999999999"/>
    <x v="2"/>
    <x v="16"/>
  </r>
  <r>
    <d v="2025-04-02T00:00:00"/>
    <x v="4"/>
    <x v="0"/>
    <s v="Laptop"/>
    <s v="Laptop"/>
    <x v="0"/>
    <n v="2"/>
    <n v="580.19000000000005"/>
    <s v="Store B"/>
    <s v="Wholesale"/>
    <n v="0.05"/>
    <x v="4"/>
    <n v="1102.3610000000001"/>
    <s v="Debit Card"/>
    <s v="WINTER15"/>
    <n v="0"/>
    <s v="REG100205"/>
    <s v="Cust 9697"/>
    <n v="7.33"/>
    <d v="2025-04-02T00:00:00"/>
    <d v="2025-04-08T00:00:00"/>
    <s v="Wendy"/>
    <n v="1047.2429500000001"/>
    <n v="1160.3800000000001"/>
    <n v="113.13705000000004"/>
    <x v="1"/>
    <x v="28"/>
  </r>
  <r>
    <d v="2023-04-27T00:00:00"/>
    <x v="3"/>
    <x v="5"/>
    <s v="Tablet"/>
    <s v="Tablet"/>
    <x v="0"/>
    <n v="8"/>
    <n v="536.42999999999995"/>
    <s v="Store B"/>
    <s v="Retail"/>
    <n v="0"/>
    <x v="3"/>
    <n v="4291.4399999999996"/>
    <s v="Cash"/>
    <m/>
    <n v="1"/>
    <s v="REG100206"/>
    <s v="Cust 8171"/>
    <n v="14.58"/>
    <d v="2023-04-27T00:00:00"/>
    <d v="2023-05-07T00:00:00"/>
    <s v="Cameron"/>
    <n v="4291.4399999999996"/>
    <n v="4291.4399999999996"/>
    <n v="0"/>
    <x v="0"/>
    <x v="21"/>
  </r>
  <r>
    <d v="2024-08-07T00:00:00"/>
    <x v="0"/>
    <x v="1"/>
    <s v="Phone"/>
    <s v="Phone"/>
    <x v="0"/>
    <n v="1"/>
    <n v="94.33"/>
    <s v="Store A"/>
    <s v="Wholesale"/>
    <n v="0"/>
    <x v="3"/>
    <n v="94.33"/>
    <s v="Online"/>
    <m/>
    <n v="0"/>
    <s v="REG100207"/>
    <s v="Cust 2004"/>
    <n v="49.17"/>
    <d v="2024-08-07T00:00:00"/>
    <d v="2024-08-17T00:00:00"/>
    <s v="Eric"/>
    <n v="94.33"/>
    <n v="94.33"/>
    <n v="0"/>
    <x v="0"/>
    <x v="29"/>
  </r>
  <r>
    <d v="2023-04-15T00:00:00"/>
    <x v="4"/>
    <x v="0"/>
    <s v="Laptop"/>
    <s v="Laptop"/>
    <x v="0"/>
    <n v="16"/>
    <n v="489.94"/>
    <s v="Store C"/>
    <s v="Retail"/>
    <n v="0.1"/>
    <x v="2"/>
    <n v="7055.1360000000004"/>
    <s v="Cash"/>
    <s v="SAVE10"/>
    <n v="0"/>
    <s v="REG100208"/>
    <s v="Cust 4214"/>
    <n v="9.69"/>
    <d v="2023-04-15T00:00:00"/>
    <d v="2023-04-25T00:00:00"/>
    <s v="Wendy"/>
    <n v="6349.6224000000002"/>
    <n v="7839.04"/>
    <n v="1489.4175999999998"/>
    <x v="1"/>
    <x v="21"/>
  </r>
  <r>
    <d v="2023-08-12T00:00:00"/>
    <x v="1"/>
    <x v="2"/>
    <s v="Desk"/>
    <s v="Desk"/>
    <x v="1"/>
    <n v="4"/>
    <n v="551.71"/>
    <s v="Store A"/>
    <s v="Retail"/>
    <n v="0.05"/>
    <x v="0"/>
    <n v="2096.498"/>
    <s v="Gift Card"/>
    <m/>
    <n v="1"/>
    <s v="REG100209"/>
    <s v="Cust 9837"/>
    <n v="26.32"/>
    <d v="2023-08-12T00:00:00"/>
    <d v="2023-08-15T00:00:00"/>
    <s v="Sophie"/>
    <n v="1991.6731"/>
    <n v="2206.84"/>
    <n v="215.16690000000017"/>
    <x v="1"/>
    <x v="18"/>
  </r>
  <r>
    <d v="2023-06-19T00:00:00"/>
    <x v="4"/>
    <x v="6"/>
    <s v="Printer"/>
    <s v="Printer"/>
    <x v="2"/>
    <n v="17"/>
    <n v="595.57000000000005"/>
    <s v="Store D"/>
    <s v="Retail"/>
    <n v="0.15"/>
    <x v="5"/>
    <n v="8605.9865000000009"/>
    <s v="Credit Card"/>
    <s v="WINTER15"/>
    <n v="0"/>
    <s v="REG100210"/>
    <s v="Cust 2082"/>
    <n v="9.73"/>
    <d v="2023-06-19T00:00:00"/>
    <d v="2023-06-28T00:00:00"/>
    <s v="Wendy"/>
    <n v="7315.0885250000001"/>
    <n v="10124.69"/>
    <n v="2809.6014750000004"/>
    <x v="2"/>
    <x v="4"/>
  </r>
  <r>
    <d v="2023-12-29T00:00:00"/>
    <x v="0"/>
    <x v="6"/>
    <s v="Printer"/>
    <s v="Printer"/>
    <x v="2"/>
    <n v="1"/>
    <n v="180.12"/>
    <s v="Store A"/>
    <s v="Wholesale"/>
    <n v="0.1"/>
    <x v="0"/>
    <n v="162.108"/>
    <s v="Debit Card"/>
    <m/>
    <n v="0"/>
    <s v="REG100211"/>
    <s v="Cust 3001"/>
    <n v="27.07"/>
    <d v="2023-12-29T00:00:00"/>
    <d v="2024-01-07T00:00:00"/>
    <s v="Eric"/>
    <n v="145.8972"/>
    <n v="180.12"/>
    <n v="34.222800000000007"/>
    <x v="1"/>
    <x v="27"/>
  </r>
  <r>
    <d v="2023-03-26T00:00:00"/>
    <x v="0"/>
    <x v="2"/>
    <s v="Desk"/>
    <s v="Desk"/>
    <x v="1"/>
    <n v="12"/>
    <n v="301.5"/>
    <s v="Store D"/>
    <s v="Retail"/>
    <n v="0.15"/>
    <x v="5"/>
    <n v="3075.3"/>
    <s v="Credit Card"/>
    <s v="FREESHIP"/>
    <n v="1"/>
    <s v="REG100212"/>
    <s v="Cust 6161"/>
    <n v="43.67"/>
    <d v="2023-03-26T00:00:00"/>
    <d v="2023-03-30T00:00:00"/>
    <s v="Eric"/>
    <n v="2614.0050000000001"/>
    <n v="3618"/>
    <n v="1003.9949999999999"/>
    <x v="2"/>
    <x v="17"/>
  </r>
  <r>
    <d v="2023-09-01T00:00:00"/>
    <x v="1"/>
    <x v="1"/>
    <s v="Phone"/>
    <s v="Phone"/>
    <x v="0"/>
    <n v="20"/>
    <n v="273.55"/>
    <s v="Store D"/>
    <s v="Retail"/>
    <n v="0.15"/>
    <x v="2"/>
    <n v="4650.3499999999995"/>
    <s v="Debit Card"/>
    <m/>
    <n v="0"/>
    <s v="REG100213"/>
    <s v="Cust 5220"/>
    <n v="14.76"/>
    <d v="2023-09-01T00:00:00"/>
    <d v="2023-09-07T00:00:00"/>
    <s v="Sophie"/>
    <n v="3952.7974999999992"/>
    <n v="5471"/>
    <n v="1518.2025000000008"/>
    <x v="2"/>
    <x v="22"/>
  </r>
  <r>
    <d v="2024-08-05T00:00:00"/>
    <x v="4"/>
    <x v="5"/>
    <s v="Tablet"/>
    <s v="Tablet"/>
    <x v="0"/>
    <n v="6"/>
    <n v="187.06"/>
    <s v="Store B"/>
    <s v="Wholesale"/>
    <n v="0.1"/>
    <x v="2"/>
    <n v="1010.124"/>
    <s v="Debit Card"/>
    <s v="FREESHIP"/>
    <n v="0"/>
    <s v="REG100214"/>
    <s v="Cust 3386"/>
    <n v="11.03"/>
    <d v="2024-08-05T00:00:00"/>
    <d v="2024-08-13T00:00:00"/>
    <s v="Wendy"/>
    <n v="909.11160000000007"/>
    <n v="1122.3600000000001"/>
    <n v="213.24840000000006"/>
    <x v="1"/>
    <x v="29"/>
  </r>
  <r>
    <d v="2025-01-23T00:00:00"/>
    <x v="2"/>
    <x v="3"/>
    <s v="Chair"/>
    <s v="Chair"/>
    <x v="1"/>
    <n v="16"/>
    <n v="562.52"/>
    <s v="Store D"/>
    <s v="Retail"/>
    <n v="0"/>
    <x v="2"/>
    <n v="9000.32"/>
    <s v="Gift Card"/>
    <m/>
    <n v="0"/>
    <s v="REG100215"/>
    <s v="Cust 1591"/>
    <n v="18.23"/>
    <d v="2025-01-23T00:00:00"/>
    <d v="2025-01-27T00:00:00"/>
    <s v="Ryan"/>
    <n v="9000.32"/>
    <n v="9000.32"/>
    <n v="0"/>
    <x v="0"/>
    <x v="12"/>
  </r>
  <r>
    <d v="2023-05-16T00:00:00"/>
    <x v="0"/>
    <x v="5"/>
    <s v="Tablet"/>
    <s v="Tablet"/>
    <x v="0"/>
    <n v="4"/>
    <n v="85.16"/>
    <s v="Store D"/>
    <s v="Wholesale"/>
    <n v="0.1"/>
    <x v="3"/>
    <n v="306.57600000000002"/>
    <s v="Credit Card"/>
    <m/>
    <n v="0"/>
    <s v="REG100216"/>
    <s v="Cust 3434"/>
    <n v="38.51"/>
    <d v="2023-05-16T00:00:00"/>
    <d v="2023-05-23T00:00:00"/>
    <s v="Eric"/>
    <n v="275.91840000000002"/>
    <n v="340.64"/>
    <n v="64.721599999999967"/>
    <x v="1"/>
    <x v="2"/>
  </r>
  <r>
    <d v="2023-02-14T00:00:00"/>
    <x v="2"/>
    <x v="5"/>
    <s v="Tablet"/>
    <s v="Tablet"/>
    <x v="0"/>
    <n v="12"/>
    <n v="451.51"/>
    <s v="Store B"/>
    <s v="Wholesale"/>
    <n v="0.15"/>
    <x v="3"/>
    <n v="4605.402"/>
    <s v="Online"/>
    <s v="WINTER15"/>
    <n v="0"/>
    <s v="REG100217"/>
    <s v="Cust 1501"/>
    <n v="9.5399999999999991"/>
    <d v="2023-02-14T00:00:00"/>
    <d v="2023-02-22T00:00:00"/>
    <s v="Ryan"/>
    <n v="3914.5916999999999"/>
    <n v="5418.12"/>
    <n v="1503.5282999999999"/>
    <x v="2"/>
    <x v="0"/>
  </r>
  <r>
    <d v="2024-06-03T00:00:00"/>
    <x v="3"/>
    <x v="5"/>
    <s v="Tablet"/>
    <s v="Tablet"/>
    <x v="0"/>
    <n v="1"/>
    <n v="259.87"/>
    <s v="Store D"/>
    <s v="Retail"/>
    <n v="0.15"/>
    <x v="0"/>
    <n v="220.8895"/>
    <s v="Gift Card"/>
    <s v="FREESHIP"/>
    <n v="0"/>
    <s v="REG100218"/>
    <s v="Cust 9683"/>
    <n v="19.2"/>
    <d v="2024-06-03T00:00:00"/>
    <d v="2024-06-12T00:00:00"/>
    <s v="Cameron"/>
    <n v="187.75607499999998"/>
    <n v="259.87"/>
    <n v="72.113925000000023"/>
    <x v="2"/>
    <x v="23"/>
  </r>
  <r>
    <d v="2023-11-08T00:00:00"/>
    <x v="3"/>
    <x v="5"/>
    <s v="Tablet"/>
    <s v="Tablet"/>
    <x v="0"/>
    <n v="20"/>
    <n v="268.25"/>
    <s v="Store D"/>
    <s v="Retail"/>
    <n v="0.05"/>
    <x v="4"/>
    <n v="5096.75"/>
    <s v="Cash"/>
    <s v="FREESHIP"/>
    <n v="0"/>
    <s v="REG100219"/>
    <s v="Cust 5416"/>
    <n v="20.96"/>
    <d v="2023-11-08T00:00:00"/>
    <d v="2023-11-15T00:00:00"/>
    <s v="Cameron"/>
    <n v="4841.9124999999995"/>
    <n v="5365"/>
    <n v="523.08750000000055"/>
    <x v="1"/>
    <x v="15"/>
  </r>
  <r>
    <d v="2023-01-24T00:00:00"/>
    <x v="4"/>
    <x v="1"/>
    <s v="Phone"/>
    <s v="Phone"/>
    <x v="0"/>
    <n v="10"/>
    <n v="266.13"/>
    <s v="Store B"/>
    <s v="Wholesale"/>
    <n v="0"/>
    <x v="4"/>
    <n v="2661.3"/>
    <s v="Gift Card"/>
    <s v="WINTER15"/>
    <n v="0"/>
    <s v="REG100220"/>
    <s v="Cust 2153"/>
    <n v="21.01"/>
    <d v="2023-01-24T00:00:00"/>
    <d v="2023-01-26T00:00:00"/>
    <s v="Wendy"/>
    <n v="2661.3"/>
    <n v="2661.3"/>
    <n v="0"/>
    <x v="0"/>
    <x v="6"/>
  </r>
  <r>
    <d v="2025-03-20T00:00:00"/>
    <x v="4"/>
    <x v="0"/>
    <s v="Laptop"/>
    <s v="Laptop"/>
    <x v="0"/>
    <n v="18"/>
    <n v="493.06"/>
    <s v="Store D"/>
    <s v="Wholesale"/>
    <n v="0.05"/>
    <x v="4"/>
    <n v="8431.3259999999991"/>
    <s v="Cash"/>
    <s v="WINTER15"/>
    <n v="1"/>
    <s v="REG100221"/>
    <s v="Cust 3572"/>
    <n v="46.87"/>
    <d v="2025-03-20T00:00:00"/>
    <d v="2025-03-28T00:00:00"/>
    <s v="Wendy"/>
    <n v="8009.7596999999987"/>
    <n v="8875.08"/>
    <n v="865.32030000000123"/>
    <x v="1"/>
    <x v="8"/>
  </r>
  <r>
    <d v="2024-02-22T00:00:00"/>
    <x v="4"/>
    <x v="4"/>
    <s v="Monitor"/>
    <s v="Monitor"/>
    <x v="0"/>
    <n v="4"/>
    <n v="36.82"/>
    <s v="Store C"/>
    <s v="Wholesale"/>
    <n v="0.05"/>
    <x v="2"/>
    <n v="139.916"/>
    <s v="Credit Card"/>
    <s v="WINTER15"/>
    <n v="1"/>
    <s v="REG100222"/>
    <s v="Cust 6372"/>
    <n v="24.86"/>
    <d v="2024-02-22T00:00:00"/>
    <d v="2024-03-01T00:00:00"/>
    <s v="Wendy"/>
    <n v="132.92019999999999"/>
    <n v="147.28"/>
    <n v="14.359800000000007"/>
    <x v="1"/>
    <x v="5"/>
  </r>
  <r>
    <d v="2025-04-02T00:00:00"/>
    <x v="2"/>
    <x v="6"/>
    <s v="Printer"/>
    <s v="Printer"/>
    <x v="2"/>
    <n v="12"/>
    <n v="413.45"/>
    <s v="Store D"/>
    <s v="Retail"/>
    <n v="0.15"/>
    <x v="5"/>
    <n v="4217.1899999999996"/>
    <s v="Cash"/>
    <s v="FREESHIP"/>
    <n v="0"/>
    <s v="REG100223"/>
    <s v="Cust 6109"/>
    <n v="23.25"/>
    <d v="2025-04-02T00:00:00"/>
    <d v="2025-04-10T00:00:00"/>
    <s v="Ryan"/>
    <n v="3584.6114999999995"/>
    <n v="4961.3999999999996"/>
    <n v="1376.7885000000001"/>
    <x v="2"/>
    <x v="28"/>
  </r>
  <r>
    <d v="2025-06-12T00:00:00"/>
    <x v="2"/>
    <x v="3"/>
    <s v="Chair"/>
    <s v="Chair"/>
    <x v="1"/>
    <n v="19"/>
    <n v="446.25"/>
    <s v="Store B"/>
    <s v="Retail"/>
    <n v="0.1"/>
    <x v="0"/>
    <n v="7630.875"/>
    <s v="Gift Card"/>
    <m/>
    <n v="0"/>
    <s v="REG100224"/>
    <s v="Cust 5234"/>
    <n v="14.88"/>
    <d v="2025-06-12T00:00:00"/>
    <d v="2025-06-18T00:00:00"/>
    <s v="Ryan"/>
    <n v="6867.7875000000004"/>
    <n v="8478.75"/>
    <n v="1610.9624999999996"/>
    <x v="1"/>
    <x v="16"/>
  </r>
  <r>
    <d v="2023-05-13T00:00:00"/>
    <x v="0"/>
    <x v="0"/>
    <s v="Laptop"/>
    <s v="Laptop"/>
    <x v="0"/>
    <n v="7"/>
    <n v="82.77"/>
    <s v="Store D"/>
    <s v="Wholesale"/>
    <n v="0.15"/>
    <x v="2"/>
    <n v="492.48149999999998"/>
    <s v="Debit Card"/>
    <s v="SAVE10"/>
    <n v="1"/>
    <s v="REG100225"/>
    <s v="Cust 5530"/>
    <n v="15.66"/>
    <d v="2023-05-13T00:00:00"/>
    <d v="2023-05-17T00:00:00"/>
    <s v="Eric"/>
    <n v="418.60927499999997"/>
    <n v="579.39"/>
    <n v="160.78072500000002"/>
    <x v="2"/>
    <x v="2"/>
  </r>
  <r>
    <d v="2023-03-25T00:00:00"/>
    <x v="1"/>
    <x v="2"/>
    <s v="Desk"/>
    <s v="Desk"/>
    <x v="1"/>
    <n v="17"/>
    <n v="339.88"/>
    <s v="Store A"/>
    <s v="Retail"/>
    <n v="0"/>
    <x v="1"/>
    <n v="5777.96"/>
    <s v="Cash"/>
    <m/>
    <n v="0"/>
    <s v="REG100226"/>
    <s v="Cust 5398"/>
    <n v="44.86"/>
    <d v="2023-03-25T00:00:00"/>
    <d v="2023-03-28T00:00:00"/>
    <s v="Sophie"/>
    <n v="5777.96"/>
    <n v="5777.96"/>
    <n v="0"/>
    <x v="0"/>
    <x v="17"/>
  </r>
  <r>
    <d v="2024-11-22T00:00:00"/>
    <x v="1"/>
    <x v="6"/>
    <s v="Printer"/>
    <s v="Printer"/>
    <x v="2"/>
    <n v="19"/>
    <n v="364.32"/>
    <s v="Store B"/>
    <s v="Retail"/>
    <n v="0.15"/>
    <x v="2"/>
    <n v="5883.768"/>
    <s v="Debit Card"/>
    <m/>
    <n v="1"/>
    <s v="REG100227"/>
    <s v="Cust 3247"/>
    <n v="39.76"/>
    <d v="2024-11-22T00:00:00"/>
    <d v="2024-11-25T00:00:00"/>
    <s v="Sophie"/>
    <n v="5001.2028"/>
    <n v="6922.08"/>
    <n v="1920.8771999999999"/>
    <x v="2"/>
    <x v="20"/>
  </r>
  <r>
    <d v="2023-07-07T00:00:00"/>
    <x v="0"/>
    <x v="5"/>
    <s v="Tablet"/>
    <s v="Tablet"/>
    <x v="0"/>
    <n v="3"/>
    <n v="71.91"/>
    <s v="Store B"/>
    <s v="Wholesale"/>
    <n v="0"/>
    <x v="1"/>
    <n v="215.73"/>
    <s v="Gift Card"/>
    <s v="WINTER15"/>
    <n v="1"/>
    <s v="REG100228"/>
    <s v="Cust 7137"/>
    <n v="46.25"/>
    <d v="2023-07-07T00:00:00"/>
    <d v="2023-07-17T00:00:00"/>
    <s v="Eric"/>
    <n v="215.73"/>
    <n v="215.73"/>
    <n v="0"/>
    <x v="0"/>
    <x v="11"/>
  </r>
  <r>
    <d v="2024-10-05T00:00:00"/>
    <x v="0"/>
    <x v="5"/>
    <s v="Tablet"/>
    <s v="Tablet"/>
    <x v="0"/>
    <n v="20"/>
    <n v="576.29999999999995"/>
    <s v="Store D"/>
    <s v="Wholesale"/>
    <n v="0.05"/>
    <x v="0"/>
    <n v="10949.7"/>
    <s v="Credit Card"/>
    <m/>
    <n v="0"/>
    <s v="REG100229"/>
    <s v="Cust 4627"/>
    <n v="25.22"/>
    <d v="2024-10-05T00:00:00"/>
    <d v="2024-10-09T00:00:00"/>
    <s v="Eric"/>
    <n v="10402.215"/>
    <n v="11526"/>
    <n v="1123.7849999999999"/>
    <x v="1"/>
    <x v="7"/>
  </r>
  <r>
    <d v="2024-03-31T00:00:00"/>
    <x v="4"/>
    <x v="0"/>
    <s v="Laptop"/>
    <s v="Laptop"/>
    <x v="0"/>
    <n v="7"/>
    <n v="120.6"/>
    <s v="Store B"/>
    <s v="Wholesale"/>
    <n v="0"/>
    <x v="4"/>
    <n v="844.19999999999993"/>
    <s v="Online"/>
    <s v="WINTER15"/>
    <n v="0"/>
    <s v="REG100230"/>
    <s v="Cust 4878"/>
    <n v="43.8"/>
    <d v="2024-03-31T00:00:00"/>
    <d v="2024-04-08T00:00:00"/>
    <s v="Wendy"/>
    <n v="844.19999999999993"/>
    <n v="844.19999999999993"/>
    <n v="0"/>
    <x v="0"/>
    <x v="25"/>
  </r>
  <r>
    <d v="2025-04-01T00:00:00"/>
    <x v="4"/>
    <x v="6"/>
    <s v="Printer"/>
    <s v="Printer"/>
    <x v="2"/>
    <n v="8"/>
    <n v="96.19"/>
    <s v="Store A"/>
    <s v="Wholesale"/>
    <n v="0.05"/>
    <x v="3"/>
    <n v="731.04399999999998"/>
    <s v="Debit Card"/>
    <s v="SAVE10"/>
    <n v="0"/>
    <s v="REG100231"/>
    <s v="Cust 2779"/>
    <n v="34.07"/>
    <d v="2025-04-01T00:00:00"/>
    <d v="2025-04-04T00:00:00"/>
    <s v="Wendy"/>
    <n v="694.4917999999999"/>
    <n v="769.52"/>
    <n v="75.028200000000083"/>
    <x v="1"/>
    <x v="28"/>
  </r>
  <r>
    <d v="2023-08-23T00:00:00"/>
    <x v="4"/>
    <x v="6"/>
    <s v="Printer"/>
    <s v="Printer"/>
    <x v="2"/>
    <n v="14"/>
    <n v="471.17"/>
    <s v="Store A"/>
    <s v="Wholesale"/>
    <n v="0.05"/>
    <x v="3"/>
    <n v="6266.5609999999997"/>
    <s v="Gift Card"/>
    <s v="FREESHIP"/>
    <n v="0"/>
    <s v="REG100232"/>
    <s v="Cust 8606"/>
    <n v="26.38"/>
    <d v="2023-08-23T00:00:00"/>
    <d v="2023-08-26T00:00:00"/>
    <s v="Wendy"/>
    <n v="5953.2329499999996"/>
    <n v="6596.38"/>
    <n v="643.14705000000049"/>
    <x v="1"/>
    <x v="18"/>
  </r>
  <r>
    <d v="2024-08-14T00:00:00"/>
    <x v="1"/>
    <x v="1"/>
    <s v="Phone"/>
    <s v="Phone"/>
    <x v="0"/>
    <n v="20"/>
    <n v="14.33"/>
    <s v="Store D"/>
    <s v="Wholesale"/>
    <n v="0.1"/>
    <x v="3"/>
    <n v="257.94000000000011"/>
    <s v="Debit Card"/>
    <m/>
    <n v="0"/>
    <s v="REG100233"/>
    <s v="Cust 9599"/>
    <n v="6.22"/>
    <d v="2024-08-14T00:00:00"/>
    <d v="2024-08-21T00:00:00"/>
    <s v="Sophie"/>
    <n v="232.1460000000001"/>
    <n v="286.60000000000002"/>
    <n v="54.453999999999922"/>
    <x v="1"/>
    <x v="29"/>
  </r>
  <r>
    <d v="2025-02-14T00:00:00"/>
    <x v="3"/>
    <x v="5"/>
    <s v="Tablet"/>
    <s v="Tablet"/>
    <x v="0"/>
    <n v="18"/>
    <n v="499.61"/>
    <s v="Store B"/>
    <s v="Retail"/>
    <n v="0.15"/>
    <x v="1"/>
    <n v="7644.0329999999994"/>
    <s v="Debit Card"/>
    <m/>
    <n v="0"/>
    <s v="REG100234"/>
    <s v="Cust 4500"/>
    <n v="9.64"/>
    <d v="2025-02-14T00:00:00"/>
    <d v="2025-02-19T00:00:00"/>
    <s v="Cameron"/>
    <n v="6497.4280499999995"/>
    <n v="8992.98"/>
    <n v="2495.55195"/>
    <x v="2"/>
    <x v="3"/>
  </r>
  <r>
    <d v="2023-11-11T00:00:00"/>
    <x v="4"/>
    <x v="4"/>
    <s v="Monitor"/>
    <s v="Monitor"/>
    <x v="0"/>
    <n v="14"/>
    <n v="16.329999999999998"/>
    <s v="Store B"/>
    <s v="Wholesale"/>
    <n v="0.1"/>
    <x v="4"/>
    <n v="205.75800000000001"/>
    <s v="Debit Card"/>
    <s v="WINTER15"/>
    <n v="0"/>
    <s v="REG100235"/>
    <s v="Cust 4173"/>
    <n v="22.72"/>
    <d v="2023-11-11T00:00:00"/>
    <d v="2023-11-16T00:00:00"/>
    <s v="Wendy"/>
    <n v="185.18220000000002"/>
    <n v="228.61999999999998"/>
    <n v="43.437799999999953"/>
    <x v="1"/>
    <x v="15"/>
  </r>
  <r>
    <d v="2024-04-01T00:00:00"/>
    <x v="3"/>
    <x v="2"/>
    <s v="Desk"/>
    <s v="Desk"/>
    <x v="1"/>
    <n v="17"/>
    <n v="480.62"/>
    <s v="Store C"/>
    <s v="Wholesale"/>
    <n v="0.15"/>
    <x v="3"/>
    <n v="6944.9589999999998"/>
    <s v="Online"/>
    <s v="FREESHIP"/>
    <n v="0"/>
    <s v="REG100236"/>
    <s v="Cust 7607"/>
    <n v="37.090000000000003"/>
    <d v="2024-04-01T00:00:00"/>
    <d v="2024-04-09T00:00:00"/>
    <s v="Cameron"/>
    <n v="5903.21515"/>
    <n v="8170.54"/>
    <n v="2267.32485"/>
    <x v="2"/>
    <x v="9"/>
  </r>
  <r>
    <d v="2024-06-13T00:00:00"/>
    <x v="1"/>
    <x v="3"/>
    <s v="Chair"/>
    <s v="Chair"/>
    <x v="1"/>
    <n v="5"/>
    <n v="555.84"/>
    <s v="Store C"/>
    <s v="Retail"/>
    <n v="0.05"/>
    <x v="4"/>
    <n v="2640.24"/>
    <s v="Credit Card"/>
    <m/>
    <n v="0"/>
    <s v="REG100237"/>
    <s v="Cust 4768"/>
    <n v="29.4"/>
    <d v="2024-06-13T00:00:00"/>
    <d v="2024-06-20T00:00:00"/>
    <s v="Sophie"/>
    <n v="2508.2279999999996"/>
    <n v="2779.2000000000003"/>
    <n v="270.97200000000066"/>
    <x v="1"/>
    <x v="23"/>
  </r>
  <r>
    <d v="2023-11-28T00:00:00"/>
    <x v="2"/>
    <x v="3"/>
    <s v="Chair"/>
    <s v="Chair"/>
    <x v="1"/>
    <n v="18"/>
    <n v="174.03"/>
    <s v="Store B"/>
    <s v="Wholesale"/>
    <n v="0.1"/>
    <x v="2"/>
    <n v="2819.2860000000001"/>
    <s v="Online"/>
    <s v="SAVE10"/>
    <n v="0"/>
    <s v="REG100238"/>
    <s v="Cust 5746"/>
    <n v="32.19"/>
    <d v="2023-11-28T00:00:00"/>
    <d v="2023-12-03T00:00:00"/>
    <s v="Ryan"/>
    <n v="2537.3574000000003"/>
    <n v="3132.54"/>
    <n v="595.18259999999964"/>
    <x v="1"/>
    <x v="15"/>
  </r>
  <r>
    <d v="2024-11-11T00:00:00"/>
    <x v="3"/>
    <x v="2"/>
    <s v="Desk"/>
    <s v="Desk"/>
    <x v="1"/>
    <n v="11"/>
    <n v="286.05"/>
    <s v="Store A"/>
    <s v="Retail"/>
    <n v="0.1"/>
    <x v="5"/>
    <n v="2831.895"/>
    <s v="Debit Card"/>
    <m/>
    <n v="1"/>
    <s v="REG100239"/>
    <s v="Cust 3002"/>
    <n v="8.59"/>
    <d v="2024-11-11T00:00:00"/>
    <d v="2024-11-16T00:00:00"/>
    <s v="Cameron"/>
    <n v="2548.7055"/>
    <n v="3146.55"/>
    <n v="597.84450000000015"/>
    <x v="1"/>
    <x v="20"/>
  </r>
  <r>
    <d v="2024-11-04T00:00:00"/>
    <x v="2"/>
    <x v="2"/>
    <s v="Desk"/>
    <s v="Desk"/>
    <x v="1"/>
    <n v="16"/>
    <n v="40.729999999999997"/>
    <s v="Store D"/>
    <s v="Retail"/>
    <n v="0"/>
    <x v="1"/>
    <n v="651.67999999999995"/>
    <s v="Credit Card"/>
    <m/>
    <n v="0"/>
    <s v="REG100240"/>
    <s v="Cust 3237"/>
    <n v="24.72"/>
    <d v="2024-11-04T00:00:00"/>
    <d v="2024-11-08T00:00:00"/>
    <s v="Ryan"/>
    <n v="651.67999999999995"/>
    <n v="651.67999999999995"/>
    <n v="0"/>
    <x v="0"/>
    <x v="20"/>
  </r>
  <r>
    <d v="2023-01-01T00:00:00"/>
    <x v="3"/>
    <x v="3"/>
    <s v="Chair"/>
    <s v="Chair"/>
    <x v="1"/>
    <n v="11"/>
    <n v="468.22"/>
    <s v="Store D"/>
    <s v="Retail"/>
    <n v="0"/>
    <x v="3"/>
    <n v="5150.42"/>
    <s v="Debit Card"/>
    <s v="WINTER15"/>
    <n v="0"/>
    <s v="REG100241"/>
    <s v="Cust 6437"/>
    <n v="19.920000000000002"/>
    <d v="2023-01-01T00:00:00"/>
    <d v="2023-01-11T00:00:00"/>
    <s v="Cameron"/>
    <n v="5150.42"/>
    <n v="5150.42"/>
    <n v="0"/>
    <x v="0"/>
    <x v="6"/>
  </r>
  <r>
    <d v="2025-01-18T00:00:00"/>
    <x v="2"/>
    <x v="5"/>
    <s v="Tablet"/>
    <s v="Tablet"/>
    <x v="0"/>
    <n v="1"/>
    <n v="411.54"/>
    <s v="Store C"/>
    <s v="Retail"/>
    <n v="0.1"/>
    <x v="0"/>
    <n v="370.38600000000002"/>
    <s v="Gift Card"/>
    <s v="WINTER15"/>
    <n v="0"/>
    <s v="REG100242"/>
    <s v="Cust 8806"/>
    <n v="7.46"/>
    <d v="2025-01-18T00:00:00"/>
    <d v="2025-01-20T00:00:00"/>
    <s v="Ryan"/>
    <n v="333.34740000000005"/>
    <n v="411.54"/>
    <n v="78.19259999999997"/>
    <x v="1"/>
    <x v="12"/>
  </r>
  <r>
    <d v="2023-05-02T00:00:00"/>
    <x v="3"/>
    <x v="6"/>
    <s v="Printer"/>
    <s v="Printer"/>
    <x v="2"/>
    <n v="13"/>
    <n v="134.19999999999999"/>
    <s v="Store A"/>
    <s v="Wholesale"/>
    <n v="0.05"/>
    <x v="0"/>
    <n v="1657.37"/>
    <s v="Credit Card"/>
    <s v="WINTER15"/>
    <n v="0"/>
    <s v="REG100243"/>
    <s v="Cust 8678"/>
    <n v="9.6"/>
    <d v="2023-05-02T00:00:00"/>
    <d v="2023-05-10T00:00:00"/>
    <s v="Cameron"/>
    <n v="1574.5014999999999"/>
    <n v="1744.6"/>
    <n v="170.09850000000006"/>
    <x v="1"/>
    <x v="2"/>
  </r>
  <r>
    <d v="2025-05-27T00:00:00"/>
    <x v="4"/>
    <x v="6"/>
    <s v="Printer"/>
    <s v="Printer"/>
    <x v="2"/>
    <n v="10"/>
    <n v="351.23"/>
    <s v="Store B"/>
    <s v="Retail"/>
    <n v="0.15"/>
    <x v="2"/>
    <n v="2985.4549999999999"/>
    <s v="Online"/>
    <m/>
    <n v="0"/>
    <s v="REG100244"/>
    <s v="Cust 9649"/>
    <n v="42.74"/>
    <d v="2025-05-27T00:00:00"/>
    <d v="2025-06-02T00:00:00"/>
    <s v="Wendy"/>
    <n v="2537.6367499999997"/>
    <n v="3512.3"/>
    <n v="974.66325000000052"/>
    <x v="2"/>
    <x v="13"/>
  </r>
  <r>
    <d v="2024-12-27T00:00:00"/>
    <x v="1"/>
    <x v="4"/>
    <s v="Monitor"/>
    <s v="Monitor"/>
    <x v="0"/>
    <n v="14"/>
    <n v="551.14"/>
    <s v="Store C"/>
    <s v="Wholesale"/>
    <n v="0.1"/>
    <x v="4"/>
    <n v="6944.3639999999996"/>
    <s v="Online"/>
    <s v="FREESHIP"/>
    <n v="1"/>
    <s v="REG100245"/>
    <s v="Cust 1960"/>
    <n v="12.35"/>
    <d v="2024-12-27T00:00:00"/>
    <d v="2025-01-05T00:00:00"/>
    <s v="Sophie"/>
    <n v="6249.9276"/>
    <n v="7715.96"/>
    <n v="1466.0324000000001"/>
    <x v="1"/>
    <x v="1"/>
  </r>
  <r>
    <d v="2025-03-18T00:00:00"/>
    <x v="4"/>
    <x v="3"/>
    <s v="Chair"/>
    <s v="Chair"/>
    <x v="1"/>
    <n v="2"/>
    <n v="131.13"/>
    <s v="Store B"/>
    <s v="Retail"/>
    <n v="0.1"/>
    <x v="0"/>
    <n v="236.03399999999999"/>
    <s v="Debit Card"/>
    <m/>
    <n v="0"/>
    <s v="REG100246"/>
    <s v="Cust 3910"/>
    <n v="14.74"/>
    <d v="2025-03-18T00:00:00"/>
    <d v="2025-03-24T00:00:00"/>
    <s v="Wendy"/>
    <n v="212.4306"/>
    <n v="262.26"/>
    <n v="49.829399999999993"/>
    <x v="1"/>
    <x v="8"/>
  </r>
  <r>
    <d v="2024-03-24T00:00:00"/>
    <x v="0"/>
    <x v="0"/>
    <s v="Laptop"/>
    <s v="Laptop"/>
    <x v="0"/>
    <n v="6"/>
    <n v="595.11"/>
    <s v="Store C"/>
    <s v="Wholesale"/>
    <n v="0"/>
    <x v="4"/>
    <n v="3570.66"/>
    <s v="Cash"/>
    <s v="SAVE10"/>
    <n v="1"/>
    <s v="REG100247"/>
    <s v="Cust 4944"/>
    <n v="28.92"/>
    <d v="2024-03-24T00:00:00"/>
    <d v="2024-03-31T00:00:00"/>
    <s v="Eric"/>
    <n v="3570.66"/>
    <n v="3570.66"/>
    <n v="0"/>
    <x v="0"/>
    <x v="25"/>
  </r>
  <r>
    <d v="2024-12-26T00:00:00"/>
    <x v="0"/>
    <x v="0"/>
    <s v="Laptop"/>
    <s v="Laptop"/>
    <x v="0"/>
    <n v="6"/>
    <n v="516.66"/>
    <s v="Store C"/>
    <s v="Wholesale"/>
    <n v="0.05"/>
    <x v="5"/>
    <n v="2944.962"/>
    <s v="Online"/>
    <m/>
    <n v="1"/>
    <s v="REG100248"/>
    <s v="Cust 9618"/>
    <n v="5.15"/>
    <d v="2024-12-26T00:00:00"/>
    <d v="2025-01-03T00:00:00"/>
    <s v="Eric"/>
    <n v="2797.7138999999997"/>
    <n v="3099.96"/>
    <n v="302.2461000000003"/>
    <x v="1"/>
    <x v="1"/>
  </r>
  <r>
    <d v="2023-01-11T00:00:00"/>
    <x v="2"/>
    <x v="2"/>
    <s v="Desk"/>
    <s v="Desk"/>
    <x v="1"/>
    <n v="6"/>
    <n v="202.57"/>
    <s v="Store D"/>
    <s v="Retail"/>
    <n v="0.05"/>
    <x v="0"/>
    <n v="1154.6489999999999"/>
    <s v="Gift Card"/>
    <s v="FREESHIP"/>
    <n v="0"/>
    <s v="REG100249"/>
    <s v="Cust 2279"/>
    <n v="24.39"/>
    <d v="2023-01-11T00:00:00"/>
    <d v="2023-01-14T00:00:00"/>
    <s v="Ryan"/>
    <n v="1096.9165499999999"/>
    <n v="1215.42"/>
    <n v="118.50345000000016"/>
    <x v="1"/>
    <x v="6"/>
  </r>
  <r>
    <d v="2025-06-01T00:00:00"/>
    <x v="1"/>
    <x v="0"/>
    <s v="Laptop"/>
    <s v="Laptop"/>
    <x v="0"/>
    <n v="13"/>
    <n v="306.16000000000003"/>
    <s v="Store A"/>
    <s v="Wholesale"/>
    <n v="0.15"/>
    <x v="2"/>
    <n v="3383.0680000000002"/>
    <s v="Cash"/>
    <s v="SAVE10"/>
    <n v="0"/>
    <s v="REG100250"/>
    <s v="Cust 4689"/>
    <n v="25.16"/>
    <d v="2025-06-01T00:00:00"/>
    <d v="2025-06-10T00:00:00"/>
    <s v="Sophie"/>
    <n v="2875.6078000000002"/>
    <n v="3980.0800000000004"/>
    <n v="1104.4722000000002"/>
    <x v="2"/>
    <x v="16"/>
  </r>
  <r>
    <d v="2024-09-26T00:00:00"/>
    <x v="0"/>
    <x v="2"/>
    <s v="Desk"/>
    <s v="Desk"/>
    <x v="1"/>
    <n v="11"/>
    <n v="472.74"/>
    <s v="Store D"/>
    <s v="Retail"/>
    <n v="0.15"/>
    <x v="3"/>
    <n v="4420.1190000000006"/>
    <s v="Credit Card"/>
    <m/>
    <n v="1"/>
    <s v="REG100251"/>
    <s v="Cust 7381"/>
    <n v="16.8"/>
    <d v="2024-09-26T00:00:00"/>
    <d v="2024-10-01T00:00:00"/>
    <s v="Eric"/>
    <n v="3757.1011500000004"/>
    <n v="5200.1400000000003"/>
    <n v="1443.0388499999999"/>
    <x v="2"/>
    <x v="26"/>
  </r>
  <r>
    <d v="2024-08-10T00:00:00"/>
    <x v="0"/>
    <x v="1"/>
    <s v="Phone"/>
    <s v="Phone"/>
    <x v="0"/>
    <n v="20"/>
    <n v="337.37"/>
    <s v="Store C"/>
    <s v="Retail"/>
    <n v="0.1"/>
    <x v="4"/>
    <n v="6072.66"/>
    <s v="Gift Card"/>
    <m/>
    <n v="0"/>
    <s v="REG100252"/>
    <s v="Cust 2724"/>
    <n v="43.17"/>
    <d v="2024-08-10T00:00:00"/>
    <d v="2024-08-17T00:00:00"/>
    <s v="Eric"/>
    <n v="5465.3940000000002"/>
    <n v="6747.4"/>
    <n v="1282.0059999999994"/>
    <x v="1"/>
    <x v="29"/>
  </r>
  <r>
    <d v="2025-03-02T00:00:00"/>
    <x v="1"/>
    <x v="1"/>
    <s v="Phone"/>
    <s v="Phone"/>
    <x v="0"/>
    <n v="12"/>
    <n v="34.24"/>
    <s v="Store C"/>
    <s v="Retail"/>
    <n v="0.1"/>
    <x v="2"/>
    <n v="369.79199999999997"/>
    <s v="Cash"/>
    <m/>
    <n v="0"/>
    <s v="REG100253"/>
    <s v="Cust 2823"/>
    <n v="17.64"/>
    <d v="2025-03-02T00:00:00"/>
    <d v="2025-03-10T00:00:00"/>
    <s v="Sophie"/>
    <n v="332.81279999999998"/>
    <n v="410.88"/>
    <n v="78.067200000000014"/>
    <x v="1"/>
    <x v="8"/>
  </r>
  <r>
    <d v="2023-02-21T00:00:00"/>
    <x v="0"/>
    <x v="5"/>
    <s v="Tablet"/>
    <s v="Tablet"/>
    <x v="0"/>
    <n v="4"/>
    <n v="477.05"/>
    <s v="Store B"/>
    <s v="Wholesale"/>
    <n v="0"/>
    <x v="3"/>
    <n v="1908.2"/>
    <s v="Credit Card"/>
    <s v="WINTER15"/>
    <n v="0"/>
    <s v="REG100254"/>
    <s v="Cust 9402"/>
    <n v="45.54"/>
    <d v="2023-02-21T00:00:00"/>
    <d v="2023-03-02T00:00:00"/>
    <s v="Eric"/>
    <n v="1908.2"/>
    <n v="1908.2"/>
    <n v="0"/>
    <x v="0"/>
    <x v="0"/>
  </r>
  <r>
    <d v="2024-11-20T00:00:00"/>
    <x v="0"/>
    <x v="0"/>
    <s v="Laptop"/>
    <s v="Laptop"/>
    <x v="0"/>
    <n v="6"/>
    <n v="562.92999999999995"/>
    <s v="Store C"/>
    <s v="Retail"/>
    <n v="0"/>
    <x v="1"/>
    <n v="3377.58"/>
    <s v="Credit Card"/>
    <s v="WINTER15"/>
    <n v="0"/>
    <s v="REG100255"/>
    <s v="Cust 6561"/>
    <n v="43.73"/>
    <d v="2024-11-20T00:00:00"/>
    <d v="2024-11-27T00:00:00"/>
    <s v="Eric"/>
    <n v="3377.58"/>
    <n v="3377.58"/>
    <n v="0"/>
    <x v="0"/>
    <x v="20"/>
  </r>
  <r>
    <d v="2023-08-26T00:00:00"/>
    <x v="0"/>
    <x v="3"/>
    <s v="Chair"/>
    <s v="Chair"/>
    <x v="1"/>
    <n v="20"/>
    <n v="18.29"/>
    <s v="Store B"/>
    <s v="Retail"/>
    <n v="0"/>
    <x v="4"/>
    <n v="365.8"/>
    <s v="Debit Card"/>
    <s v="FREESHIP"/>
    <n v="1"/>
    <s v="REG100256"/>
    <s v="Cust 3116"/>
    <n v="35.369999999999997"/>
    <d v="2023-08-26T00:00:00"/>
    <d v="2023-08-29T00:00:00"/>
    <s v="Eric"/>
    <n v="365.8"/>
    <n v="365.79999999999995"/>
    <n v="0"/>
    <x v="0"/>
    <x v="18"/>
  </r>
  <r>
    <d v="2024-01-01T00:00:00"/>
    <x v="1"/>
    <x v="4"/>
    <s v="Monitor"/>
    <s v="Monitor"/>
    <x v="0"/>
    <n v="7"/>
    <n v="208.86"/>
    <s v="Store B"/>
    <s v="Retail"/>
    <n v="0"/>
    <x v="2"/>
    <n v="1462.02"/>
    <s v="Cash"/>
    <s v="FREESHIP"/>
    <n v="0"/>
    <s v="REG100257"/>
    <s v="Cust 1015"/>
    <n v="20.64"/>
    <d v="2024-01-01T00:00:00"/>
    <d v="2024-01-08T00:00:00"/>
    <s v="Sophie"/>
    <n v="1462.02"/>
    <n v="1462.02"/>
    <n v="0"/>
    <x v="0"/>
    <x v="24"/>
  </r>
  <r>
    <d v="2024-11-24T00:00:00"/>
    <x v="1"/>
    <x v="6"/>
    <s v="Printer"/>
    <s v="Printer"/>
    <x v="2"/>
    <n v="12"/>
    <n v="330.36"/>
    <s v="Store D"/>
    <s v="Retail"/>
    <n v="0.05"/>
    <x v="4"/>
    <n v="3766.1039999999998"/>
    <s v="Cash"/>
    <s v="WINTER15"/>
    <n v="0"/>
    <s v="REG100258"/>
    <s v="Cust 1207"/>
    <n v="48.33"/>
    <d v="2024-11-24T00:00:00"/>
    <d v="2024-11-30T00:00:00"/>
    <s v="Sophie"/>
    <n v="3577.7987999999996"/>
    <n v="3964.32"/>
    <n v="386.52120000000059"/>
    <x v="1"/>
    <x v="20"/>
  </r>
  <r>
    <d v="2024-08-25T00:00:00"/>
    <x v="1"/>
    <x v="5"/>
    <s v="Tablet"/>
    <s v="Tablet"/>
    <x v="0"/>
    <n v="7"/>
    <n v="50.26"/>
    <s v="Store C"/>
    <s v="Retail"/>
    <n v="0.15"/>
    <x v="4"/>
    <n v="299.04700000000003"/>
    <s v="Cash"/>
    <m/>
    <n v="0"/>
    <s v="REG100259"/>
    <s v="Cust 2501"/>
    <n v="17.12"/>
    <d v="2024-08-25T00:00:00"/>
    <d v="2024-09-01T00:00:00"/>
    <s v="Sophie"/>
    <n v="254.18995000000001"/>
    <n v="351.82"/>
    <n v="97.630049999999983"/>
    <x v="2"/>
    <x v="29"/>
  </r>
  <r>
    <d v="2023-06-10T00:00:00"/>
    <x v="1"/>
    <x v="0"/>
    <s v="Laptop"/>
    <s v="Laptop"/>
    <x v="0"/>
    <n v="2"/>
    <n v="374.59"/>
    <s v="Store C"/>
    <s v="Wholesale"/>
    <n v="0.15"/>
    <x v="3"/>
    <n v="636.803"/>
    <s v="Online"/>
    <s v="SAVE10"/>
    <n v="0"/>
    <s v="REG100260"/>
    <s v="Cust 2330"/>
    <n v="34.64"/>
    <d v="2023-06-10T00:00:00"/>
    <d v="2023-06-18T00:00:00"/>
    <s v="Sophie"/>
    <n v="541.28255000000001"/>
    <n v="749.18"/>
    <n v="207.89744999999994"/>
    <x v="2"/>
    <x v="4"/>
  </r>
  <r>
    <d v="2024-12-18T00:00:00"/>
    <x v="2"/>
    <x v="6"/>
    <s v="Printer"/>
    <s v="Printer"/>
    <x v="2"/>
    <n v="7"/>
    <n v="467.6"/>
    <s v="Store A"/>
    <s v="Retail"/>
    <n v="0.1"/>
    <x v="3"/>
    <n v="2945.88"/>
    <s v="Debit Card"/>
    <m/>
    <n v="0"/>
    <s v="REG100261"/>
    <s v="Cust 7436"/>
    <n v="15.64"/>
    <d v="2024-12-18T00:00:00"/>
    <d v="2024-12-26T00:00:00"/>
    <s v="Ryan"/>
    <n v="2651.2920000000004"/>
    <n v="3273.2000000000003"/>
    <n v="621.9079999999999"/>
    <x v="1"/>
    <x v="1"/>
  </r>
  <r>
    <d v="2023-08-28T00:00:00"/>
    <x v="0"/>
    <x v="3"/>
    <s v="Chair"/>
    <s v="Chair"/>
    <x v="1"/>
    <n v="3"/>
    <n v="376.24"/>
    <s v="Store A"/>
    <s v="Retail"/>
    <n v="0.05"/>
    <x v="2"/>
    <n v="1072.2840000000001"/>
    <s v="Debit Card"/>
    <s v="FREESHIP"/>
    <n v="1"/>
    <s v="REG100262"/>
    <s v="Cust 2762"/>
    <n v="6.15"/>
    <d v="2023-08-28T00:00:00"/>
    <d v="2023-09-01T00:00:00"/>
    <s v="Eric"/>
    <n v="1018.6698"/>
    <n v="1128.72"/>
    <n v="110.05020000000002"/>
    <x v="1"/>
    <x v="18"/>
  </r>
  <r>
    <d v="2023-01-22T00:00:00"/>
    <x v="4"/>
    <x v="1"/>
    <s v="Phone"/>
    <s v="Phone"/>
    <x v="0"/>
    <n v="13"/>
    <n v="140.49"/>
    <s v="Store A"/>
    <s v="Retail"/>
    <n v="0"/>
    <x v="0"/>
    <n v="1826.37"/>
    <s v="Debit Card"/>
    <s v="SAVE10"/>
    <n v="0"/>
    <s v="REG100263"/>
    <s v="Cust 3599"/>
    <n v="17.690000000000001"/>
    <d v="2023-01-22T00:00:00"/>
    <d v="2023-01-31T00:00:00"/>
    <s v="Wendy"/>
    <n v="1826.37"/>
    <n v="1826.3700000000001"/>
    <n v="0"/>
    <x v="0"/>
    <x v="6"/>
  </r>
  <r>
    <d v="2023-02-07T00:00:00"/>
    <x v="2"/>
    <x v="4"/>
    <s v="Monitor"/>
    <s v="Monitor"/>
    <x v="0"/>
    <n v="3"/>
    <n v="506.33"/>
    <s v="Store B"/>
    <s v="Retail"/>
    <n v="0.15"/>
    <x v="2"/>
    <n v="1291.1415"/>
    <s v="Debit Card"/>
    <s v="FREESHIP"/>
    <n v="0"/>
    <s v="REG100264"/>
    <s v="Cust 4127"/>
    <n v="25.71"/>
    <d v="2023-02-07T00:00:00"/>
    <d v="2023-02-14T00:00:00"/>
    <s v="Ryan"/>
    <n v="1097.4702749999999"/>
    <n v="1518.99"/>
    <n v="421.51972500000011"/>
    <x v="2"/>
    <x v="0"/>
  </r>
  <r>
    <d v="2023-11-22T00:00:00"/>
    <x v="1"/>
    <x v="4"/>
    <s v="Monitor"/>
    <s v="Monitor"/>
    <x v="0"/>
    <n v="8"/>
    <n v="138.72999999999999"/>
    <s v="Store A"/>
    <s v="Wholesale"/>
    <n v="0.05"/>
    <x v="2"/>
    <n v="1054.348"/>
    <s v="Online"/>
    <s v="WINTER15"/>
    <n v="1"/>
    <s v="REG100265"/>
    <s v="Cust 6855"/>
    <n v="48.51"/>
    <d v="2023-11-22T00:00:00"/>
    <d v="2023-11-29T00:00:00"/>
    <s v="Sophie"/>
    <n v="1001.6306"/>
    <n v="1109.8399999999999"/>
    <n v="108.20939999999996"/>
    <x v="1"/>
    <x v="15"/>
  </r>
  <r>
    <d v="2023-01-25T00:00:00"/>
    <x v="4"/>
    <x v="2"/>
    <s v="Desk"/>
    <s v="Desk"/>
    <x v="1"/>
    <n v="6"/>
    <n v="134.53"/>
    <s v="Store C"/>
    <s v="Retail"/>
    <n v="0.15"/>
    <x v="3"/>
    <n v="686.10300000000007"/>
    <s v="Debit Card"/>
    <s v="FREESHIP"/>
    <n v="1"/>
    <s v="REG100266"/>
    <s v="Cust 7017"/>
    <n v="33.5"/>
    <d v="2023-01-25T00:00:00"/>
    <d v="2023-01-29T00:00:00"/>
    <s v="Wendy"/>
    <n v="583.18754999999999"/>
    <n v="807.18000000000006"/>
    <n v="223.99245000000008"/>
    <x v="2"/>
    <x v="6"/>
  </r>
  <r>
    <d v="2025-03-05T00:00:00"/>
    <x v="1"/>
    <x v="5"/>
    <s v="Tablet"/>
    <s v="Tablet"/>
    <x v="0"/>
    <n v="18"/>
    <n v="375.96"/>
    <s v="Store D"/>
    <s v="Wholesale"/>
    <n v="0.05"/>
    <x v="4"/>
    <n v="6428.9159999999993"/>
    <s v="Debit Card"/>
    <s v="SAVE10"/>
    <n v="0"/>
    <s v="REG100267"/>
    <s v="Cust 6957"/>
    <n v="26.78"/>
    <d v="2025-03-05T00:00:00"/>
    <d v="2025-03-09T00:00:00"/>
    <s v="Sophie"/>
    <n v="6107.4701999999988"/>
    <n v="6767.28"/>
    <n v="659.80980000000091"/>
    <x v="1"/>
    <x v="8"/>
  </r>
  <r>
    <d v="2023-02-02T00:00:00"/>
    <x v="2"/>
    <x v="6"/>
    <s v="Printer"/>
    <s v="Printer"/>
    <x v="2"/>
    <n v="10"/>
    <n v="538.47"/>
    <s v="Store D"/>
    <s v="Retail"/>
    <n v="0.1"/>
    <x v="5"/>
    <n v="4846.2299999999996"/>
    <s v="Gift Card"/>
    <s v="WINTER15"/>
    <n v="1"/>
    <s v="REG100268"/>
    <s v="Cust 9822"/>
    <n v="17.25"/>
    <d v="2023-02-02T00:00:00"/>
    <d v="2023-02-12T00:00:00"/>
    <s v="Ryan"/>
    <n v="4361.607"/>
    <n v="5384.7000000000007"/>
    <n v="1023.0930000000008"/>
    <x v="1"/>
    <x v="0"/>
  </r>
  <r>
    <d v="2023-05-24T00:00:00"/>
    <x v="2"/>
    <x v="5"/>
    <s v="Tablet"/>
    <s v="Tablet"/>
    <x v="0"/>
    <n v="15"/>
    <n v="505.44"/>
    <s v="Store A"/>
    <s v="Wholesale"/>
    <n v="0.1"/>
    <x v="1"/>
    <n v="6823.4400000000014"/>
    <s v="Online"/>
    <s v="SAVE10"/>
    <n v="0"/>
    <s v="REG100269"/>
    <s v="Cust 7425"/>
    <n v="37.5"/>
    <d v="2023-05-24T00:00:00"/>
    <d v="2023-06-01T00:00:00"/>
    <s v="Ryan"/>
    <n v="6141.0960000000014"/>
    <n v="7581.6"/>
    <n v="1440.503999999999"/>
    <x v="1"/>
    <x v="2"/>
  </r>
  <r>
    <d v="2024-05-30T00:00:00"/>
    <x v="1"/>
    <x v="6"/>
    <s v="Printer"/>
    <s v="Printer"/>
    <x v="2"/>
    <n v="4"/>
    <n v="312.08999999999997"/>
    <s v="Store C"/>
    <s v="Wholesale"/>
    <n v="0.15"/>
    <x v="4"/>
    <n v="1061.106"/>
    <s v="Debit Card"/>
    <s v="SAVE10"/>
    <n v="1"/>
    <s v="REG100270"/>
    <s v="Cust 6468"/>
    <n v="17.989999999999998"/>
    <d v="2024-05-30T00:00:00"/>
    <d v="2024-06-06T00:00:00"/>
    <s v="Sophie"/>
    <n v="901.94009999999992"/>
    <n v="1248.3599999999999"/>
    <n v="346.41989999999998"/>
    <x v="2"/>
    <x v="14"/>
  </r>
  <r>
    <d v="2024-01-23T00:00:00"/>
    <x v="4"/>
    <x v="2"/>
    <s v="Desk"/>
    <s v="Desk"/>
    <x v="1"/>
    <n v="15"/>
    <n v="579.58000000000004"/>
    <s v="Store C"/>
    <s v="Retail"/>
    <n v="0.15"/>
    <x v="0"/>
    <n v="7389.6450000000004"/>
    <s v="Credit Card"/>
    <m/>
    <n v="0"/>
    <s v="REG100271"/>
    <s v="Cust 8897"/>
    <n v="31.22"/>
    <d v="2024-01-23T00:00:00"/>
    <d v="2024-01-31T00:00:00"/>
    <s v="Wendy"/>
    <n v="6281.1982500000004"/>
    <n v="8693.7000000000007"/>
    <n v="2412.5017500000004"/>
    <x v="2"/>
    <x v="24"/>
  </r>
  <r>
    <d v="2023-02-06T00:00:00"/>
    <x v="2"/>
    <x v="3"/>
    <s v="Chair"/>
    <s v="Chair"/>
    <x v="1"/>
    <n v="10"/>
    <n v="217.43"/>
    <s v="Store A"/>
    <s v="Retail"/>
    <n v="0.15"/>
    <x v="5"/>
    <n v="1848.155"/>
    <s v="Credit Card"/>
    <s v="FREESHIP"/>
    <n v="0"/>
    <s v="REG100272"/>
    <s v="Cust 9816"/>
    <n v="33.14"/>
    <d v="2023-02-06T00:00:00"/>
    <d v="2023-02-15T00:00:00"/>
    <s v="Ryan"/>
    <n v="1570.93175"/>
    <n v="2174.3000000000002"/>
    <n v="603.36825000000022"/>
    <x v="2"/>
    <x v="0"/>
  </r>
  <r>
    <d v="2024-07-15T00:00:00"/>
    <x v="4"/>
    <x v="1"/>
    <s v="Phone"/>
    <s v="Phone"/>
    <x v="0"/>
    <n v="15"/>
    <n v="476.15"/>
    <s v="Store B"/>
    <s v="Wholesale"/>
    <n v="0.05"/>
    <x v="3"/>
    <n v="6785.1374999999998"/>
    <s v="Online"/>
    <s v="SAVE10"/>
    <n v="0"/>
    <s v="REG100273"/>
    <s v="Cust 8227"/>
    <n v="24.48"/>
    <d v="2024-07-15T00:00:00"/>
    <d v="2024-07-19T00:00:00"/>
    <s v="Wendy"/>
    <n v="6445.8806249999998"/>
    <n v="7142.25"/>
    <n v="696.36937500000022"/>
    <x v="1"/>
    <x v="10"/>
  </r>
  <r>
    <d v="2025-03-06T00:00:00"/>
    <x v="0"/>
    <x v="3"/>
    <s v="Chair"/>
    <s v="Chair"/>
    <x v="1"/>
    <n v="5"/>
    <n v="89.03"/>
    <s v="Store C"/>
    <s v="Wholesale"/>
    <n v="0.1"/>
    <x v="2"/>
    <n v="400.63499999999999"/>
    <s v="Debit Card"/>
    <s v="WINTER15"/>
    <n v="0"/>
    <s v="REG100274"/>
    <s v="Cust 4990"/>
    <n v="22.42"/>
    <d v="2025-03-06T00:00:00"/>
    <d v="2025-03-16T00:00:00"/>
    <s v="Eric"/>
    <n v="360.57150000000001"/>
    <n v="445.15"/>
    <n v="84.578499999999963"/>
    <x v="1"/>
    <x v="8"/>
  </r>
  <r>
    <d v="2023-07-29T00:00:00"/>
    <x v="3"/>
    <x v="1"/>
    <s v="Phone"/>
    <s v="Phone"/>
    <x v="0"/>
    <n v="17"/>
    <n v="6.88"/>
    <s v="Store A"/>
    <s v="Retail"/>
    <n v="0.1"/>
    <x v="2"/>
    <n v="105.264"/>
    <s v="Gift Card"/>
    <m/>
    <n v="0"/>
    <s v="REG100275"/>
    <s v="Cust 5834"/>
    <n v="42.37"/>
    <d v="2023-07-29T00:00:00"/>
    <d v="2023-08-08T00:00:00"/>
    <s v="Cameron"/>
    <n v="94.7376"/>
    <n v="116.96"/>
    <n v="22.222399999999993"/>
    <x v="1"/>
    <x v="11"/>
  </r>
  <r>
    <d v="2023-07-26T00:00:00"/>
    <x v="2"/>
    <x v="6"/>
    <s v="Printer"/>
    <s v="Printer"/>
    <x v="2"/>
    <n v="6"/>
    <n v="355.26"/>
    <s v="Store D"/>
    <s v="Retail"/>
    <n v="0.1"/>
    <x v="5"/>
    <n v="1918.404"/>
    <s v="Online"/>
    <s v="WINTER15"/>
    <n v="0"/>
    <s v="REG100276"/>
    <s v="Cust 7330"/>
    <n v="30.49"/>
    <d v="2023-07-26T00:00:00"/>
    <d v="2023-07-29T00:00:00"/>
    <s v="Ryan"/>
    <n v="1726.5636"/>
    <n v="2131.56"/>
    <n v="404.99639999999999"/>
    <x v="1"/>
    <x v="11"/>
  </r>
  <r>
    <d v="2024-04-10T00:00:00"/>
    <x v="4"/>
    <x v="5"/>
    <s v="Tablet"/>
    <s v="Tablet"/>
    <x v="0"/>
    <n v="8"/>
    <n v="294.76"/>
    <s v="Store C"/>
    <s v="Retail"/>
    <n v="0.1"/>
    <x v="4"/>
    <n v="2122.2719999999999"/>
    <s v="Online"/>
    <s v="SAVE10"/>
    <n v="0"/>
    <s v="REG100277"/>
    <s v="Cust 5273"/>
    <n v="36.04"/>
    <d v="2024-04-10T00:00:00"/>
    <d v="2024-04-13T00:00:00"/>
    <s v="Wendy"/>
    <n v="1910.0447999999999"/>
    <n v="2358.08"/>
    <n v="448.03520000000003"/>
    <x v="1"/>
    <x v="9"/>
  </r>
  <r>
    <d v="2025-01-24T00:00:00"/>
    <x v="2"/>
    <x v="2"/>
    <s v="Desk"/>
    <s v="Desk"/>
    <x v="1"/>
    <n v="16"/>
    <n v="60.69"/>
    <s v="Store A"/>
    <s v="Wholesale"/>
    <n v="0"/>
    <x v="3"/>
    <n v="971.04"/>
    <s v="Credit Card"/>
    <s v="WINTER15"/>
    <n v="0"/>
    <s v="REG100278"/>
    <s v="Cust 6138"/>
    <n v="7.03"/>
    <d v="2025-01-24T00:00:00"/>
    <d v="2025-01-27T00:00:00"/>
    <s v="Ryan"/>
    <n v="971.04"/>
    <n v="971.04"/>
    <n v="0"/>
    <x v="0"/>
    <x v="12"/>
  </r>
  <r>
    <d v="2025-04-27T00:00:00"/>
    <x v="4"/>
    <x v="0"/>
    <s v="Laptop"/>
    <s v="Laptop"/>
    <x v="0"/>
    <n v="2"/>
    <n v="559.63"/>
    <s v="Store B"/>
    <s v="Wholesale"/>
    <n v="0.1"/>
    <x v="4"/>
    <n v="1007.3339999999999"/>
    <s v="Credit Card"/>
    <s v="WINTER15"/>
    <n v="1"/>
    <s v="REG100279"/>
    <s v="Cust 2084"/>
    <n v="42.34"/>
    <d v="2025-04-27T00:00:00"/>
    <d v="2025-05-03T00:00:00"/>
    <s v="Wendy"/>
    <n v="906.60059999999999"/>
    <n v="1119.26"/>
    <n v="212.65940000000001"/>
    <x v="1"/>
    <x v="28"/>
  </r>
  <r>
    <d v="2025-02-20T00:00:00"/>
    <x v="0"/>
    <x v="1"/>
    <s v="Phone"/>
    <s v="Phone"/>
    <x v="0"/>
    <n v="4"/>
    <n v="232.66"/>
    <s v="Store B"/>
    <s v="Wholesale"/>
    <n v="0.1"/>
    <x v="2"/>
    <n v="837.57600000000002"/>
    <s v="Online"/>
    <s v="WINTER15"/>
    <n v="0"/>
    <s v="REG100280"/>
    <s v="Cust 2799"/>
    <n v="11.88"/>
    <d v="2025-02-20T00:00:00"/>
    <d v="2025-02-23T00:00:00"/>
    <s v="Eric"/>
    <n v="753.8184"/>
    <n v="930.64"/>
    <n v="176.82159999999999"/>
    <x v="1"/>
    <x v="3"/>
  </r>
  <r>
    <d v="2023-09-14T00:00:00"/>
    <x v="2"/>
    <x v="6"/>
    <s v="Printer"/>
    <s v="Printer"/>
    <x v="2"/>
    <n v="10"/>
    <n v="230.87"/>
    <s v="Store A"/>
    <s v="Retail"/>
    <n v="0.15"/>
    <x v="5"/>
    <n v="1962.395"/>
    <s v="Debit Card"/>
    <s v="SAVE10"/>
    <n v="0"/>
    <s v="REG100281"/>
    <s v="Cust 5234"/>
    <n v="28.33"/>
    <d v="2023-09-14T00:00:00"/>
    <d v="2023-09-19T00:00:00"/>
    <s v="Ryan"/>
    <n v="1668.03575"/>
    <n v="2308.6999999999998"/>
    <n v="640.66424999999981"/>
    <x v="2"/>
    <x v="22"/>
  </r>
  <r>
    <d v="2024-04-17T00:00:00"/>
    <x v="4"/>
    <x v="5"/>
    <s v="Tablet"/>
    <s v="Tablet"/>
    <x v="0"/>
    <n v="7"/>
    <n v="353.9"/>
    <s v="Store C"/>
    <s v="Wholesale"/>
    <n v="0.15"/>
    <x v="1"/>
    <n v="2105.7049999999999"/>
    <s v="Debit Card"/>
    <s v="SAVE10"/>
    <n v="1"/>
    <s v="REG100282"/>
    <s v="Cust 3051"/>
    <n v="15.74"/>
    <d v="2024-04-17T00:00:00"/>
    <d v="2024-04-27T00:00:00"/>
    <s v="Wendy"/>
    <n v="1789.84925"/>
    <n v="2477.2999999999997"/>
    <n v="687.45074999999974"/>
    <x v="2"/>
    <x v="9"/>
  </r>
  <r>
    <d v="2024-11-14T00:00:00"/>
    <x v="3"/>
    <x v="5"/>
    <s v="Tablet"/>
    <s v="Tablet"/>
    <x v="0"/>
    <n v="12"/>
    <n v="561.07000000000005"/>
    <s v="Store A"/>
    <s v="Retail"/>
    <n v="0"/>
    <x v="1"/>
    <n v="6732.84"/>
    <s v="Gift Card"/>
    <m/>
    <n v="0"/>
    <s v="REG100283"/>
    <s v="Cust 5456"/>
    <n v="35.020000000000003"/>
    <d v="2024-11-14T00:00:00"/>
    <d v="2024-11-18T00:00:00"/>
    <s v="Cameron"/>
    <n v="6732.84"/>
    <n v="6732.84"/>
    <n v="0"/>
    <x v="0"/>
    <x v="20"/>
  </r>
  <r>
    <d v="2024-07-25T00:00:00"/>
    <x v="2"/>
    <x v="3"/>
    <s v="Chair"/>
    <s v="Chair"/>
    <x v="1"/>
    <n v="15"/>
    <n v="247.21"/>
    <s v="Store D"/>
    <s v="Wholesale"/>
    <n v="0.1"/>
    <x v="5"/>
    <n v="3337.335"/>
    <s v="Gift Card"/>
    <m/>
    <n v="0"/>
    <s v="REG100284"/>
    <s v="Cust 6029"/>
    <n v="45.42"/>
    <d v="2024-07-25T00:00:00"/>
    <d v="2024-07-27T00:00:00"/>
    <s v="Ryan"/>
    <n v="3003.6015000000002"/>
    <n v="3708.15"/>
    <n v="704.54849999999988"/>
    <x v="1"/>
    <x v="10"/>
  </r>
  <r>
    <d v="2024-08-05T00:00:00"/>
    <x v="0"/>
    <x v="1"/>
    <s v="Phone"/>
    <s v="Phone"/>
    <x v="0"/>
    <n v="19"/>
    <n v="271.22000000000003"/>
    <s v="Store A"/>
    <s v="Wholesale"/>
    <n v="0.1"/>
    <x v="1"/>
    <n v="4637.8620000000001"/>
    <s v="Credit Card"/>
    <s v="WINTER15"/>
    <n v="0"/>
    <s v="REG100285"/>
    <s v="Cust 4002"/>
    <n v="35.33"/>
    <d v="2024-08-05T00:00:00"/>
    <d v="2024-08-15T00:00:00"/>
    <s v="Eric"/>
    <n v="4174.0758000000005"/>
    <n v="5153.18"/>
    <n v="979.10419999999976"/>
    <x v="1"/>
    <x v="29"/>
  </r>
  <r>
    <d v="2025-01-23T00:00:00"/>
    <x v="4"/>
    <x v="0"/>
    <s v="Laptop"/>
    <s v="Laptop"/>
    <x v="0"/>
    <n v="6"/>
    <n v="532.54"/>
    <s v="Store A"/>
    <s v="Wholesale"/>
    <n v="0"/>
    <x v="4"/>
    <n v="3195.24"/>
    <s v="Debit Card"/>
    <m/>
    <n v="1"/>
    <s v="REG100286"/>
    <s v="Cust 5830"/>
    <n v="25.09"/>
    <d v="2025-01-23T00:00:00"/>
    <d v="2025-02-02T00:00:00"/>
    <s v="Wendy"/>
    <n v="3195.24"/>
    <n v="3195.24"/>
    <n v="0"/>
    <x v="0"/>
    <x v="12"/>
  </r>
  <r>
    <d v="2025-04-27T00:00:00"/>
    <x v="4"/>
    <x v="6"/>
    <s v="Printer"/>
    <s v="Printer"/>
    <x v="2"/>
    <n v="16"/>
    <n v="329.54"/>
    <s v="Store A"/>
    <s v="Wholesale"/>
    <n v="0.15"/>
    <x v="5"/>
    <n v="4481.7440000000006"/>
    <s v="Debit Card"/>
    <s v="FREESHIP"/>
    <n v="1"/>
    <s v="REG100287"/>
    <s v="Cust 8088"/>
    <n v="39.39"/>
    <d v="2025-04-27T00:00:00"/>
    <d v="2025-05-03T00:00:00"/>
    <s v="Wendy"/>
    <n v="3809.4824000000003"/>
    <n v="5272.64"/>
    <n v="1463.1576"/>
    <x v="2"/>
    <x v="28"/>
  </r>
  <r>
    <d v="2024-09-20T00:00:00"/>
    <x v="1"/>
    <x v="1"/>
    <s v="Phone"/>
    <s v="Phone"/>
    <x v="0"/>
    <n v="6"/>
    <n v="170.1"/>
    <s v="Store A"/>
    <s v="Retail"/>
    <n v="0"/>
    <x v="0"/>
    <n v="1020.6"/>
    <s v="Gift Card"/>
    <s v="FREESHIP"/>
    <n v="0"/>
    <s v="REG100288"/>
    <s v="Cust 6455"/>
    <n v="38.61"/>
    <d v="2024-09-20T00:00:00"/>
    <d v="2024-09-23T00:00:00"/>
    <s v="Sophie"/>
    <n v="1020.6"/>
    <n v="1020.5999999999999"/>
    <n v="0"/>
    <x v="0"/>
    <x v="26"/>
  </r>
  <r>
    <d v="2023-09-08T00:00:00"/>
    <x v="4"/>
    <x v="0"/>
    <s v="Laptop"/>
    <s v="Laptop"/>
    <x v="0"/>
    <n v="19"/>
    <n v="212.83"/>
    <s v="Store D"/>
    <s v="Wholesale"/>
    <n v="0.15"/>
    <x v="3"/>
    <n v="3437.2044999999998"/>
    <s v="Online"/>
    <s v="WINTER15"/>
    <n v="0"/>
    <s v="REG100289"/>
    <s v="Cust 4117"/>
    <n v="42.88"/>
    <d v="2023-09-08T00:00:00"/>
    <d v="2023-09-15T00:00:00"/>
    <s v="Wendy"/>
    <n v="2921.6238249999997"/>
    <n v="4043.7700000000004"/>
    <n v="1122.1461750000008"/>
    <x v="2"/>
    <x v="22"/>
  </r>
  <r>
    <d v="2025-04-20T00:00:00"/>
    <x v="1"/>
    <x v="0"/>
    <s v="Laptop"/>
    <s v="Laptop"/>
    <x v="0"/>
    <n v="5"/>
    <n v="578.91999999999996"/>
    <s v="Store A"/>
    <s v="Wholesale"/>
    <n v="0"/>
    <x v="5"/>
    <n v="2894.6"/>
    <s v="Credit Card"/>
    <m/>
    <n v="1"/>
    <s v="REG100290"/>
    <s v="Cust 1385"/>
    <n v="44.09"/>
    <d v="2025-04-20T00:00:00"/>
    <d v="2025-04-28T00:00:00"/>
    <s v="Sophie"/>
    <n v="2894.6"/>
    <n v="2894.6"/>
    <n v="0"/>
    <x v="0"/>
    <x v="28"/>
  </r>
  <r>
    <d v="2024-06-20T00:00:00"/>
    <x v="2"/>
    <x v="1"/>
    <s v="Phone"/>
    <s v="Phone"/>
    <x v="0"/>
    <n v="3"/>
    <n v="456.92"/>
    <s v="Store C"/>
    <s v="Retail"/>
    <n v="0.1"/>
    <x v="2"/>
    <n v="1233.684"/>
    <s v="Gift Card"/>
    <s v="FREESHIP"/>
    <n v="0"/>
    <s v="REG100291"/>
    <s v="Cust 5185"/>
    <n v="17.57"/>
    <d v="2024-06-20T00:00:00"/>
    <d v="2024-06-27T00:00:00"/>
    <s v="Ryan"/>
    <n v="1110.3155999999999"/>
    <n v="1370.76"/>
    <n v="260.44440000000009"/>
    <x v="1"/>
    <x v="23"/>
  </r>
  <r>
    <d v="2023-01-11T00:00:00"/>
    <x v="0"/>
    <x v="5"/>
    <s v="Tablet"/>
    <s v="Tablet"/>
    <x v="0"/>
    <n v="12"/>
    <n v="521.53"/>
    <s v="Store D"/>
    <s v="Retail"/>
    <n v="0"/>
    <x v="0"/>
    <n v="6258.36"/>
    <s v="Credit Card"/>
    <s v="SAVE10"/>
    <n v="1"/>
    <s v="REG100292"/>
    <s v="Cust 8704"/>
    <n v="49.59"/>
    <d v="2023-01-11T00:00:00"/>
    <d v="2023-01-20T00:00:00"/>
    <s v="Eric"/>
    <n v="6258.36"/>
    <n v="6258.36"/>
    <n v="0"/>
    <x v="0"/>
    <x v="6"/>
  </r>
  <r>
    <d v="2023-07-04T00:00:00"/>
    <x v="2"/>
    <x v="2"/>
    <s v="Desk"/>
    <s v="Desk"/>
    <x v="1"/>
    <n v="17"/>
    <n v="468.19"/>
    <s v="Store D"/>
    <s v="Retail"/>
    <n v="0.05"/>
    <x v="4"/>
    <n v="7561.2684999999992"/>
    <s v="Cash"/>
    <m/>
    <n v="0"/>
    <s v="REG100293"/>
    <s v="Cust 3528"/>
    <n v="13.84"/>
    <d v="2023-07-04T00:00:00"/>
    <d v="2023-07-07T00:00:00"/>
    <s v="Ryan"/>
    <n v="7183.2050749999989"/>
    <n v="7959.23"/>
    <n v="776.02492500000062"/>
    <x v="1"/>
    <x v="11"/>
  </r>
  <r>
    <d v="2025-03-08T00:00:00"/>
    <x v="3"/>
    <x v="4"/>
    <s v="Monitor"/>
    <s v="Monitor"/>
    <x v="0"/>
    <n v="9"/>
    <n v="8.81"/>
    <s v="Store D"/>
    <s v="Retail"/>
    <n v="0.15"/>
    <x v="1"/>
    <n v="67.396500000000003"/>
    <s v="Online"/>
    <s v="SAVE10"/>
    <n v="0"/>
    <s v="REG100294"/>
    <s v="Cust 3907"/>
    <n v="42.7"/>
    <d v="2025-03-08T00:00:00"/>
    <d v="2025-03-18T00:00:00"/>
    <s v="Cameron"/>
    <n v="57.287025"/>
    <n v="79.290000000000006"/>
    <n v="22.002975000000006"/>
    <x v="2"/>
    <x v="8"/>
  </r>
  <r>
    <d v="2025-02-10T00:00:00"/>
    <x v="1"/>
    <x v="3"/>
    <s v="Chair"/>
    <s v="Chair"/>
    <x v="1"/>
    <n v="6"/>
    <n v="521.1"/>
    <s v="Store A"/>
    <s v="Wholesale"/>
    <n v="0.15"/>
    <x v="2"/>
    <n v="2657.61"/>
    <s v="Cash"/>
    <m/>
    <n v="0"/>
    <s v="REG100295"/>
    <s v="Cust 9005"/>
    <n v="31.14"/>
    <d v="2025-02-10T00:00:00"/>
    <d v="2025-02-12T00:00:00"/>
    <s v="Sophie"/>
    <n v="2258.9684999999999"/>
    <n v="3126.6000000000004"/>
    <n v="867.63150000000041"/>
    <x v="2"/>
    <x v="3"/>
  </r>
  <r>
    <d v="2025-03-17T00:00:00"/>
    <x v="4"/>
    <x v="4"/>
    <s v="Monitor"/>
    <s v="Monitor"/>
    <x v="0"/>
    <n v="10"/>
    <n v="289.91000000000003"/>
    <s v="Store C"/>
    <s v="Retail"/>
    <n v="0.1"/>
    <x v="4"/>
    <n v="2609.190000000001"/>
    <s v="Cash"/>
    <s v="SAVE10"/>
    <n v="0"/>
    <s v="REG100296"/>
    <s v="Cust 3635"/>
    <n v="32.96"/>
    <d v="2025-03-17T00:00:00"/>
    <d v="2025-03-21T00:00:00"/>
    <s v="Wendy"/>
    <n v="2348.2710000000011"/>
    <n v="2899.1000000000004"/>
    <n v="550.82899999999927"/>
    <x v="1"/>
    <x v="8"/>
  </r>
  <r>
    <d v="2023-11-09T00:00:00"/>
    <x v="0"/>
    <x v="6"/>
    <s v="Printer"/>
    <s v="Printer"/>
    <x v="2"/>
    <n v="3"/>
    <n v="142.27000000000001"/>
    <s v="Store D"/>
    <s v="Retail"/>
    <n v="0.05"/>
    <x v="5"/>
    <n v="405.46949999999998"/>
    <s v="Online"/>
    <s v="SAVE10"/>
    <n v="0"/>
    <s v="REG100297"/>
    <s v="Cust 2122"/>
    <n v="32.799999999999997"/>
    <d v="2023-11-09T00:00:00"/>
    <d v="2023-11-15T00:00:00"/>
    <s v="Eric"/>
    <n v="385.19602499999996"/>
    <n v="426.81000000000006"/>
    <n v="41.613975000000096"/>
    <x v="1"/>
    <x v="15"/>
  </r>
  <r>
    <d v="2023-11-30T00:00:00"/>
    <x v="3"/>
    <x v="6"/>
    <s v="Printer"/>
    <s v="Printer"/>
    <x v="2"/>
    <n v="15"/>
    <n v="354.09"/>
    <s v="Store B"/>
    <s v="Retail"/>
    <n v="0.05"/>
    <x v="3"/>
    <n v="5045.7824999999993"/>
    <s v="Online"/>
    <m/>
    <n v="1"/>
    <s v="REG100298"/>
    <s v="Cust 4467"/>
    <n v="25.3"/>
    <d v="2023-11-30T00:00:00"/>
    <d v="2023-12-08T00:00:00"/>
    <s v="Cameron"/>
    <n v="4793.4933749999991"/>
    <n v="5311.3499999999995"/>
    <n v="517.85662500000035"/>
    <x v="1"/>
    <x v="15"/>
  </r>
  <r>
    <d v="2024-08-15T00:00:00"/>
    <x v="1"/>
    <x v="5"/>
    <s v="Tablet"/>
    <s v="Tablet"/>
    <x v="0"/>
    <n v="20"/>
    <n v="358.57"/>
    <s v="Store B"/>
    <s v="Wholesale"/>
    <n v="0"/>
    <x v="1"/>
    <n v="7171.4"/>
    <s v="Debit Card"/>
    <s v="FREESHIP"/>
    <n v="1"/>
    <s v="REG100299"/>
    <s v="Cust 6146"/>
    <n v="21.11"/>
    <d v="2024-08-15T00:00:00"/>
    <d v="2024-08-20T00:00:00"/>
    <s v="Sophie"/>
    <n v="7171.4"/>
    <n v="7171.4"/>
    <n v="0"/>
    <x v="0"/>
    <x v="29"/>
  </r>
  <r>
    <d v="2023-03-21T00:00:00"/>
    <x v="4"/>
    <x v="5"/>
    <s v="Tablet"/>
    <s v="Tablet"/>
    <x v="0"/>
    <n v="16"/>
    <n v="33.18"/>
    <s v="Store C"/>
    <s v="Retail"/>
    <n v="0.05"/>
    <x v="0"/>
    <n v="504.33600000000001"/>
    <s v="Online"/>
    <s v="SAVE10"/>
    <n v="0"/>
    <s v="REG100300"/>
    <s v="Cust 4001"/>
    <n v="22.94"/>
    <d v="2023-03-21T00:00:00"/>
    <d v="2023-03-26T00:00:00"/>
    <s v="Wendy"/>
    <n v="479.11919999999998"/>
    <n v="530.88"/>
    <n v="51.760800000000017"/>
    <x v="1"/>
    <x v="17"/>
  </r>
  <r>
    <d v="2023-10-26T00:00:00"/>
    <x v="4"/>
    <x v="4"/>
    <s v="Monitor"/>
    <s v="Monitor"/>
    <x v="0"/>
    <n v="2"/>
    <n v="124.4"/>
    <s v="Store B"/>
    <s v="Retail"/>
    <n v="0"/>
    <x v="0"/>
    <n v="248.8"/>
    <s v="Online"/>
    <m/>
    <n v="0"/>
    <s v="REG100301"/>
    <s v="Cust 3365"/>
    <n v="37.049999999999997"/>
    <d v="2023-10-26T00:00:00"/>
    <d v="2023-10-31T00:00:00"/>
    <s v="Wendy"/>
    <n v="248.8"/>
    <n v="248.8"/>
    <n v="0"/>
    <x v="0"/>
    <x v="19"/>
  </r>
  <r>
    <d v="2023-11-03T00:00:00"/>
    <x v="4"/>
    <x v="1"/>
    <s v="Phone"/>
    <s v="Phone"/>
    <x v="0"/>
    <n v="12"/>
    <n v="17.760000000000002"/>
    <s v="Store D"/>
    <s v="Retail"/>
    <n v="0.1"/>
    <x v="3"/>
    <n v="191.80799999999999"/>
    <s v="Online"/>
    <s v="FREESHIP"/>
    <n v="0"/>
    <s v="REG100302"/>
    <s v="Cust 2194"/>
    <n v="12.18"/>
    <d v="2023-11-03T00:00:00"/>
    <d v="2023-11-11T00:00:00"/>
    <s v="Wendy"/>
    <n v="172.62719999999999"/>
    <n v="213.12"/>
    <n v="40.492800000000017"/>
    <x v="1"/>
    <x v="15"/>
  </r>
  <r>
    <d v="2025-01-30T00:00:00"/>
    <x v="2"/>
    <x v="3"/>
    <s v="Chair"/>
    <s v="Chair"/>
    <x v="1"/>
    <n v="16"/>
    <n v="345.53"/>
    <s v="Store C"/>
    <s v="Retail"/>
    <n v="0.15"/>
    <x v="2"/>
    <n v="4699.2079999999996"/>
    <s v="Gift Card"/>
    <s v="SAVE10"/>
    <n v="0"/>
    <s v="REG100303"/>
    <s v="Cust 7942"/>
    <n v="13.43"/>
    <d v="2025-01-30T00:00:00"/>
    <d v="2025-02-05T00:00:00"/>
    <s v="Ryan"/>
    <n v="3994.3267999999994"/>
    <n v="5528.48"/>
    <n v="1534.1532000000002"/>
    <x v="2"/>
    <x v="12"/>
  </r>
  <r>
    <d v="2024-01-25T00:00:00"/>
    <x v="4"/>
    <x v="0"/>
    <s v="Laptop"/>
    <s v="Laptop"/>
    <x v="0"/>
    <n v="13"/>
    <n v="453.48"/>
    <s v="Store A"/>
    <s v="Wholesale"/>
    <n v="0.05"/>
    <x v="1"/>
    <n v="5600.4779999999992"/>
    <s v="Gift Card"/>
    <s v="SAVE10"/>
    <n v="0"/>
    <s v="REG100304"/>
    <s v="Cust 8451"/>
    <n v="46.28"/>
    <d v="2024-01-25T00:00:00"/>
    <d v="2024-02-03T00:00:00"/>
    <s v="Wendy"/>
    <n v="5320.454099999999"/>
    <n v="5895.24"/>
    <n v="574.78590000000077"/>
    <x v="1"/>
    <x v="24"/>
  </r>
  <r>
    <d v="2025-03-29T00:00:00"/>
    <x v="1"/>
    <x v="0"/>
    <s v="Laptop"/>
    <s v="Laptop"/>
    <x v="0"/>
    <n v="10"/>
    <n v="277.74"/>
    <s v="Store B"/>
    <s v="Retail"/>
    <n v="0.15"/>
    <x v="3"/>
    <n v="2360.79"/>
    <s v="Gift Card"/>
    <s v="SAVE10"/>
    <n v="1"/>
    <s v="REG100305"/>
    <s v="Cust 4238"/>
    <n v="35.020000000000003"/>
    <d v="2025-03-29T00:00:00"/>
    <d v="2025-04-02T00:00:00"/>
    <s v="Sophie"/>
    <n v="2006.6714999999999"/>
    <n v="2777.4"/>
    <n v="770.72850000000017"/>
    <x v="2"/>
    <x v="8"/>
  </r>
  <r>
    <d v="2024-11-02T00:00:00"/>
    <x v="3"/>
    <x v="3"/>
    <s v="Chair"/>
    <s v="Chair"/>
    <x v="1"/>
    <n v="16"/>
    <n v="89.76"/>
    <s v="Store A"/>
    <s v="Wholesale"/>
    <n v="0"/>
    <x v="1"/>
    <n v="1436.16"/>
    <s v="Debit Card"/>
    <s v="WINTER15"/>
    <n v="1"/>
    <s v="REG100306"/>
    <s v="Cust 2529"/>
    <n v="44.69"/>
    <d v="2024-11-02T00:00:00"/>
    <d v="2024-11-09T00:00:00"/>
    <s v="Cameron"/>
    <n v="1436.16"/>
    <n v="1436.16"/>
    <n v="0"/>
    <x v="0"/>
    <x v="20"/>
  </r>
  <r>
    <d v="2024-06-30T00:00:00"/>
    <x v="3"/>
    <x v="3"/>
    <s v="Chair"/>
    <s v="Chair"/>
    <x v="1"/>
    <n v="11"/>
    <n v="535.37"/>
    <s v="Store D"/>
    <s v="Wholesale"/>
    <n v="0"/>
    <x v="2"/>
    <n v="5889.07"/>
    <s v="Cash"/>
    <m/>
    <n v="0"/>
    <s v="REG100307"/>
    <s v="Cust 7057"/>
    <n v="35.96"/>
    <d v="2024-06-30T00:00:00"/>
    <d v="2024-07-09T00:00:00"/>
    <s v="Cameron"/>
    <n v="5889.07"/>
    <n v="5889.07"/>
    <n v="0"/>
    <x v="0"/>
    <x v="23"/>
  </r>
  <r>
    <d v="2023-01-11T00:00:00"/>
    <x v="1"/>
    <x v="5"/>
    <s v="Tablet"/>
    <s v="Tablet"/>
    <x v="0"/>
    <n v="9"/>
    <n v="15.58"/>
    <s v="Store D"/>
    <s v="Retail"/>
    <n v="0.1"/>
    <x v="2"/>
    <n v="126.19799999999999"/>
    <s v="Gift Card"/>
    <s v="FREESHIP"/>
    <n v="1"/>
    <s v="REG100308"/>
    <s v="Cust 9069"/>
    <n v="27.81"/>
    <d v="2023-01-11T00:00:00"/>
    <d v="2023-01-19T00:00:00"/>
    <s v="Sophie"/>
    <n v="113.5782"/>
    <n v="140.22"/>
    <n v="26.641800000000003"/>
    <x v="1"/>
    <x v="6"/>
  </r>
  <r>
    <d v="2025-06-05T00:00:00"/>
    <x v="2"/>
    <x v="2"/>
    <s v="Desk"/>
    <s v="Desk"/>
    <x v="1"/>
    <n v="13"/>
    <n v="466.54"/>
    <s v="Store C"/>
    <s v="Wholesale"/>
    <n v="0"/>
    <x v="0"/>
    <n v="6065.02"/>
    <s v="Cash"/>
    <s v="FREESHIP"/>
    <n v="0"/>
    <s v="REG100309"/>
    <s v="Cust 5858"/>
    <n v="18.63"/>
    <d v="2025-06-05T00:00:00"/>
    <d v="2025-06-14T00:00:00"/>
    <s v="Ryan"/>
    <n v="6065.02"/>
    <n v="6065.02"/>
    <n v="0"/>
    <x v="0"/>
    <x v="16"/>
  </r>
  <r>
    <d v="2024-03-21T00:00:00"/>
    <x v="2"/>
    <x v="4"/>
    <s v="Monitor"/>
    <s v="Monitor"/>
    <x v="0"/>
    <n v="16"/>
    <n v="593"/>
    <s v="Store D"/>
    <s v="Retail"/>
    <n v="0.1"/>
    <x v="0"/>
    <n v="8539.2000000000007"/>
    <s v="Gift Card"/>
    <s v="SAVE10"/>
    <n v="0"/>
    <s v="REG100310"/>
    <s v="Cust 2712"/>
    <n v="18.77"/>
    <d v="2024-03-21T00:00:00"/>
    <d v="2024-03-24T00:00:00"/>
    <s v="Ryan"/>
    <n v="7685.2800000000007"/>
    <n v="9488"/>
    <n v="1802.7199999999993"/>
    <x v="1"/>
    <x v="25"/>
  </r>
  <r>
    <d v="2023-08-31T00:00:00"/>
    <x v="1"/>
    <x v="2"/>
    <s v="Desk"/>
    <s v="Desk"/>
    <x v="1"/>
    <n v="6"/>
    <n v="567.36"/>
    <s v="Store C"/>
    <s v="Wholesale"/>
    <n v="0.05"/>
    <x v="1"/>
    <n v="3233.9520000000002"/>
    <s v="Gift Card"/>
    <s v="WINTER15"/>
    <n v="0"/>
    <s v="REG100311"/>
    <s v="Cust 7052"/>
    <n v="45.98"/>
    <d v="2023-08-31T00:00:00"/>
    <d v="2023-09-08T00:00:00"/>
    <s v="Sophie"/>
    <n v="3072.2544000000003"/>
    <n v="3404.16"/>
    <n v="331.90559999999959"/>
    <x v="1"/>
    <x v="18"/>
  </r>
  <r>
    <d v="2024-10-07T00:00:00"/>
    <x v="1"/>
    <x v="1"/>
    <s v="Phone"/>
    <s v="Phone"/>
    <x v="0"/>
    <n v="17"/>
    <n v="523.04"/>
    <s v="Store A"/>
    <s v="Retail"/>
    <n v="0.05"/>
    <x v="0"/>
    <n v="8447.0959999999995"/>
    <s v="Debit Card"/>
    <s v="FREESHIP"/>
    <n v="0"/>
    <s v="REG100312"/>
    <s v="Cust 9397"/>
    <n v="37.380000000000003"/>
    <d v="2024-10-07T00:00:00"/>
    <d v="2024-10-17T00:00:00"/>
    <s v="Sophie"/>
    <n v="8024.7411999999995"/>
    <n v="8891.68"/>
    <n v="866.93880000000081"/>
    <x v="1"/>
    <x v="7"/>
  </r>
  <r>
    <d v="2023-04-12T00:00:00"/>
    <x v="2"/>
    <x v="0"/>
    <s v="Laptop"/>
    <s v="Laptop"/>
    <x v="0"/>
    <n v="17"/>
    <n v="376.4"/>
    <s v="Store C"/>
    <s v="Wholesale"/>
    <n v="0"/>
    <x v="1"/>
    <n v="6398.7999999999993"/>
    <s v="Debit Card"/>
    <s v="FREESHIP"/>
    <n v="0"/>
    <s v="REG100313"/>
    <s v="Cust 4614"/>
    <n v="33.380000000000003"/>
    <d v="2023-04-12T00:00:00"/>
    <d v="2023-04-15T00:00:00"/>
    <s v="Ryan"/>
    <n v="6398.7999999999993"/>
    <n v="6398.7999999999993"/>
    <n v="0"/>
    <x v="0"/>
    <x v="21"/>
  </r>
  <r>
    <d v="2023-11-06T00:00:00"/>
    <x v="1"/>
    <x v="6"/>
    <s v="Printer"/>
    <s v="Printer"/>
    <x v="2"/>
    <n v="5"/>
    <n v="95.19"/>
    <s v="Store A"/>
    <s v="Retail"/>
    <n v="0.15"/>
    <x v="2"/>
    <n v="404.5575"/>
    <s v="Credit Card"/>
    <s v="WINTER15"/>
    <n v="0"/>
    <s v="REG100314"/>
    <s v="Cust 1573"/>
    <n v="48.55"/>
    <d v="2023-11-06T00:00:00"/>
    <d v="2023-11-16T00:00:00"/>
    <s v="Sophie"/>
    <n v="343.873875"/>
    <n v="475.95"/>
    <n v="132.07612499999999"/>
    <x v="2"/>
    <x v="15"/>
  </r>
  <r>
    <d v="2023-04-28T00:00:00"/>
    <x v="4"/>
    <x v="2"/>
    <s v="Desk"/>
    <s v="Desk"/>
    <x v="1"/>
    <n v="2"/>
    <n v="210.71"/>
    <s v="Store D"/>
    <s v="Wholesale"/>
    <n v="0.15"/>
    <x v="4"/>
    <n v="358.20699999999999"/>
    <s v="Credit Card"/>
    <s v="SAVE10"/>
    <n v="0"/>
    <s v="REG100315"/>
    <s v="Cust 5660"/>
    <n v="7.78"/>
    <d v="2023-04-28T00:00:00"/>
    <d v="2023-05-08T00:00:00"/>
    <s v="Wendy"/>
    <n v="304.47595000000001"/>
    <n v="421.42"/>
    <n v="116.94405"/>
    <x v="2"/>
    <x v="21"/>
  </r>
  <r>
    <d v="2023-12-18T00:00:00"/>
    <x v="4"/>
    <x v="6"/>
    <s v="Printer"/>
    <s v="Printer"/>
    <x v="2"/>
    <n v="7"/>
    <n v="393.39"/>
    <s v="Store B"/>
    <s v="Retail"/>
    <n v="0.1"/>
    <x v="1"/>
    <n v="2478.357"/>
    <s v="Cash"/>
    <s v="SAVE10"/>
    <n v="0"/>
    <s v="REG100316"/>
    <s v="Cust 3952"/>
    <n v="34.35"/>
    <d v="2023-12-18T00:00:00"/>
    <d v="2023-12-21T00:00:00"/>
    <s v="Wendy"/>
    <n v="2230.5212999999999"/>
    <n v="2753.73"/>
    <n v="523.20870000000014"/>
    <x v="1"/>
    <x v="27"/>
  </r>
  <r>
    <d v="2024-10-10T00:00:00"/>
    <x v="1"/>
    <x v="1"/>
    <s v="Phone"/>
    <s v="Phone"/>
    <x v="0"/>
    <n v="13"/>
    <n v="114.03"/>
    <s v="Store A"/>
    <s v="Retail"/>
    <n v="0"/>
    <x v="5"/>
    <n v="1482.39"/>
    <s v="Cash"/>
    <m/>
    <n v="0"/>
    <s v="REG100317"/>
    <s v="Cust 5407"/>
    <n v="43.81"/>
    <d v="2024-10-10T00:00:00"/>
    <d v="2024-10-16T00:00:00"/>
    <s v="Sophie"/>
    <n v="1482.39"/>
    <n v="1482.39"/>
    <n v="0"/>
    <x v="0"/>
    <x v="7"/>
  </r>
  <r>
    <d v="2023-02-05T00:00:00"/>
    <x v="2"/>
    <x v="5"/>
    <s v="Tablet"/>
    <s v="Tablet"/>
    <x v="0"/>
    <n v="18"/>
    <n v="336.48"/>
    <s v="Store B"/>
    <s v="Retail"/>
    <n v="0"/>
    <x v="2"/>
    <n v="6056.64"/>
    <s v="Online"/>
    <s v="WINTER15"/>
    <n v="0"/>
    <s v="REG100318"/>
    <s v="Cust 9595"/>
    <n v="18.59"/>
    <d v="2023-02-05T00:00:00"/>
    <d v="2023-02-07T00:00:00"/>
    <s v="Ryan"/>
    <n v="6056.64"/>
    <n v="6056.64"/>
    <n v="0"/>
    <x v="0"/>
    <x v="0"/>
  </r>
  <r>
    <d v="2024-08-04T00:00:00"/>
    <x v="3"/>
    <x v="4"/>
    <s v="Monitor"/>
    <s v="Monitor"/>
    <x v="0"/>
    <n v="9"/>
    <n v="24.44"/>
    <s v="Store C"/>
    <s v="Wholesale"/>
    <n v="0.15"/>
    <x v="0"/>
    <n v="186.96600000000001"/>
    <s v="Gift Card"/>
    <s v="SAVE10"/>
    <n v="1"/>
    <s v="REG100319"/>
    <s v="Cust 3245"/>
    <n v="22.06"/>
    <d v="2024-08-04T00:00:00"/>
    <d v="2024-08-14T00:00:00"/>
    <s v="Cameron"/>
    <n v="158.9211"/>
    <n v="219.96"/>
    <n v="61.038900000000012"/>
    <x v="2"/>
    <x v="29"/>
  </r>
  <r>
    <d v="2024-10-23T00:00:00"/>
    <x v="3"/>
    <x v="5"/>
    <s v="Tablet"/>
    <s v="Tablet"/>
    <x v="0"/>
    <n v="12"/>
    <n v="352.2"/>
    <s v="Store A"/>
    <s v="Retail"/>
    <n v="0.05"/>
    <x v="0"/>
    <n v="4015.079999999999"/>
    <s v="Credit Card"/>
    <s v="WINTER15"/>
    <n v="0"/>
    <s v="REG100320"/>
    <s v="Cust 7180"/>
    <n v="18.39"/>
    <d v="2024-10-23T00:00:00"/>
    <d v="2024-11-01T00:00:00"/>
    <s v="Cameron"/>
    <n v="3814.3259999999991"/>
    <n v="4226.3999999999996"/>
    <n v="412.07400000000052"/>
    <x v="1"/>
    <x v="7"/>
  </r>
  <r>
    <d v="2024-02-13T00:00:00"/>
    <x v="4"/>
    <x v="4"/>
    <s v="Monitor"/>
    <s v="Monitor"/>
    <x v="0"/>
    <n v="7"/>
    <n v="353.99"/>
    <s v="Store C"/>
    <s v="Wholesale"/>
    <n v="0.05"/>
    <x v="3"/>
    <n v="2354.0335"/>
    <s v="Gift Card"/>
    <s v="FREESHIP"/>
    <n v="0"/>
    <s v="REG100321"/>
    <s v="Cust 5973"/>
    <n v="5.93"/>
    <d v="2024-02-13T00:00:00"/>
    <d v="2024-02-20T00:00:00"/>
    <s v="Wendy"/>
    <n v="2236.3318249999998"/>
    <n v="2477.9300000000003"/>
    <n v="241.59817500000054"/>
    <x v="1"/>
    <x v="5"/>
  </r>
  <r>
    <d v="2024-06-03T00:00:00"/>
    <x v="1"/>
    <x v="5"/>
    <s v="Tablet"/>
    <s v="Tablet"/>
    <x v="0"/>
    <n v="15"/>
    <n v="10.220000000000001"/>
    <s v="Store C"/>
    <s v="Retail"/>
    <n v="0"/>
    <x v="1"/>
    <n v="153.30000000000001"/>
    <s v="Gift Card"/>
    <s v="FREESHIP"/>
    <n v="0"/>
    <s v="REG100322"/>
    <s v="Cust 4310"/>
    <n v="36.270000000000003"/>
    <d v="2024-06-03T00:00:00"/>
    <d v="2024-06-07T00:00:00"/>
    <s v="Sophie"/>
    <n v="153.30000000000001"/>
    <n v="153.30000000000001"/>
    <n v="0"/>
    <x v="0"/>
    <x v="23"/>
  </r>
  <r>
    <d v="2023-04-14T00:00:00"/>
    <x v="1"/>
    <x v="6"/>
    <s v="Printer"/>
    <s v="Printer"/>
    <x v="2"/>
    <n v="17"/>
    <n v="464.16"/>
    <s v="Store A"/>
    <s v="Retail"/>
    <n v="0.15"/>
    <x v="3"/>
    <n v="6707.1120000000001"/>
    <s v="Debit Card"/>
    <s v="FREESHIP"/>
    <n v="1"/>
    <s v="REG100323"/>
    <s v="Cust 6243"/>
    <n v="46.83"/>
    <d v="2023-04-14T00:00:00"/>
    <d v="2023-04-18T00:00:00"/>
    <s v="Sophie"/>
    <n v="5701.0451999999996"/>
    <n v="7890.72"/>
    <n v="2189.6748000000007"/>
    <x v="2"/>
    <x v="21"/>
  </r>
  <r>
    <d v="2024-10-19T00:00:00"/>
    <x v="3"/>
    <x v="0"/>
    <s v="Laptop"/>
    <s v="Laptop"/>
    <x v="0"/>
    <n v="16"/>
    <n v="436.31"/>
    <s v="Store C"/>
    <s v="Retail"/>
    <n v="0.05"/>
    <x v="4"/>
    <n v="6631.9119999999994"/>
    <s v="Online"/>
    <m/>
    <n v="0"/>
    <s v="REG100324"/>
    <s v="Cust 2448"/>
    <n v="47.61"/>
    <d v="2024-10-19T00:00:00"/>
    <d v="2024-10-23T00:00:00"/>
    <s v="Cameron"/>
    <n v="6300.3163999999988"/>
    <n v="6980.96"/>
    <n v="680.64360000000124"/>
    <x v="1"/>
    <x v="7"/>
  </r>
  <r>
    <d v="2023-12-18T00:00:00"/>
    <x v="1"/>
    <x v="0"/>
    <s v="Laptop"/>
    <s v="Laptop"/>
    <x v="0"/>
    <n v="9"/>
    <n v="219.93"/>
    <s v="Store B"/>
    <s v="Wholesale"/>
    <n v="0.05"/>
    <x v="5"/>
    <n v="1880.4014999999999"/>
    <s v="Gift Card"/>
    <s v="FREESHIP"/>
    <n v="0"/>
    <s v="REG100325"/>
    <s v="Cust 9386"/>
    <n v="44.78"/>
    <d v="2023-12-18T00:00:00"/>
    <d v="2023-12-22T00:00:00"/>
    <s v="Sophie"/>
    <n v="1786.3814249999998"/>
    <n v="1979.3700000000001"/>
    <n v="192.98857500000031"/>
    <x v="1"/>
    <x v="27"/>
  </r>
  <r>
    <d v="2023-08-31T00:00:00"/>
    <x v="2"/>
    <x v="0"/>
    <s v="Laptop"/>
    <s v="Laptop"/>
    <x v="0"/>
    <n v="5"/>
    <n v="311.22000000000003"/>
    <s v="Store A"/>
    <s v="Wholesale"/>
    <n v="0.15"/>
    <x v="4"/>
    <n v="1322.6849999999999"/>
    <s v="Cash"/>
    <s v="FREESHIP"/>
    <n v="0"/>
    <s v="REG100326"/>
    <s v="Cust 2227"/>
    <n v="36.979999999999997"/>
    <d v="2023-08-31T00:00:00"/>
    <d v="2023-09-06T00:00:00"/>
    <s v="Ryan"/>
    <n v="1124.28225"/>
    <n v="1556.1000000000001"/>
    <n v="431.81775000000016"/>
    <x v="2"/>
    <x v="18"/>
  </r>
  <r>
    <d v="2023-09-19T00:00:00"/>
    <x v="1"/>
    <x v="0"/>
    <s v="Laptop"/>
    <s v="Laptop"/>
    <x v="0"/>
    <n v="4"/>
    <n v="547.55999999999995"/>
    <s v="Store D"/>
    <s v="Retail"/>
    <n v="0.15"/>
    <x v="2"/>
    <n v="1861.704"/>
    <s v="Gift Card"/>
    <m/>
    <n v="0"/>
    <s v="REG100327"/>
    <s v="Cust 3803"/>
    <n v="25.88"/>
    <d v="2023-09-19T00:00:00"/>
    <d v="2023-09-26T00:00:00"/>
    <s v="Sophie"/>
    <n v="1582.4484"/>
    <n v="2190.2399999999998"/>
    <n v="607.79159999999979"/>
    <x v="2"/>
    <x v="22"/>
  </r>
  <r>
    <d v="2023-02-27T00:00:00"/>
    <x v="3"/>
    <x v="0"/>
    <s v="Laptop"/>
    <s v="Laptop"/>
    <x v="0"/>
    <n v="9"/>
    <n v="52.69"/>
    <s v="Store D"/>
    <s v="Retail"/>
    <n v="0.15"/>
    <x v="4"/>
    <n v="403.07850000000002"/>
    <s v="Online"/>
    <s v="SAVE10"/>
    <n v="0"/>
    <s v="REG100328"/>
    <s v="Cust 1236"/>
    <n v="14.59"/>
    <d v="2023-02-27T00:00:00"/>
    <d v="2023-03-04T00:00:00"/>
    <s v="Cameron"/>
    <n v="342.61672500000003"/>
    <n v="474.21"/>
    <n v="131.59327499999995"/>
    <x v="2"/>
    <x v="0"/>
  </r>
  <r>
    <d v="2024-01-28T00:00:00"/>
    <x v="1"/>
    <x v="5"/>
    <s v="Tablet"/>
    <s v="Tablet"/>
    <x v="0"/>
    <n v="9"/>
    <n v="434.74"/>
    <s v="Store D"/>
    <s v="Wholesale"/>
    <n v="0.1"/>
    <x v="5"/>
    <n v="3521.3939999999998"/>
    <s v="Online"/>
    <s v="SAVE10"/>
    <n v="0"/>
    <s v="REG100329"/>
    <s v="Cust 2669"/>
    <n v="20.11"/>
    <d v="2024-01-28T00:00:00"/>
    <d v="2024-01-31T00:00:00"/>
    <s v="Sophie"/>
    <n v="3169.2545999999998"/>
    <n v="3912.66"/>
    <n v="743.4054000000001"/>
    <x v="1"/>
    <x v="24"/>
  </r>
  <r>
    <d v="2025-05-06T00:00:00"/>
    <x v="1"/>
    <x v="4"/>
    <s v="Monitor"/>
    <s v="Monitor"/>
    <x v="0"/>
    <n v="9"/>
    <n v="124.17"/>
    <s v="Store C"/>
    <s v="Wholesale"/>
    <n v="0"/>
    <x v="0"/>
    <n v="1117.53"/>
    <s v="Debit Card"/>
    <s v="WINTER15"/>
    <n v="0"/>
    <s v="REG100330"/>
    <s v="Cust 3746"/>
    <n v="13.31"/>
    <d v="2025-05-06T00:00:00"/>
    <d v="2025-05-10T00:00:00"/>
    <s v="Sophie"/>
    <n v="1117.53"/>
    <n v="1117.53"/>
    <n v="0"/>
    <x v="0"/>
    <x v="13"/>
  </r>
  <r>
    <d v="2024-09-13T00:00:00"/>
    <x v="0"/>
    <x v="4"/>
    <s v="Monitor"/>
    <s v="Monitor"/>
    <x v="0"/>
    <n v="2"/>
    <n v="375.48"/>
    <s v="Store D"/>
    <s v="Retail"/>
    <n v="0.05"/>
    <x v="4"/>
    <n v="713.41200000000003"/>
    <s v="Credit Card"/>
    <s v="FREESHIP"/>
    <n v="0"/>
    <s v="REG100331"/>
    <s v="Cust 9694"/>
    <n v="26.39"/>
    <d v="2024-09-13T00:00:00"/>
    <d v="2024-09-15T00:00:00"/>
    <s v="Eric"/>
    <n v="677.7414"/>
    <n v="750.96"/>
    <n v="73.218600000000038"/>
    <x v="1"/>
    <x v="26"/>
  </r>
  <r>
    <d v="2023-05-25T00:00:00"/>
    <x v="0"/>
    <x v="6"/>
    <s v="Printer"/>
    <s v="Printer"/>
    <x v="2"/>
    <n v="13"/>
    <n v="211.06"/>
    <s v="Store B"/>
    <s v="Retail"/>
    <n v="0.1"/>
    <x v="5"/>
    <n v="2469.402"/>
    <s v="Gift Card"/>
    <m/>
    <n v="1"/>
    <s v="REG100332"/>
    <s v="Cust 4993"/>
    <n v="19.579999999999998"/>
    <d v="2023-05-25T00:00:00"/>
    <d v="2023-05-29T00:00:00"/>
    <s v="Eric"/>
    <n v="2222.4618"/>
    <n v="2743.78"/>
    <n v="521.31820000000016"/>
    <x v="1"/>
    <x v="2"/>
  </r>
  <r>
    <d v="2024-09-26T00:00:00"/>
    <x v="1"/>
    <x v="5"/>
    <s v="Tablet"/>
    <s v="Tablet"/>
    <x v="0"/>
    <n v="7"/>
    <n v="88.87"/>
    <s v="Store C"/>
    <s v="Retail"/>
    <n v="0"/>
    <x v="1"/>
    <n v="622.09"/>
    <s v="Online"/>
    <s v="SAVE10"/>
    <n v="0"/>
    <s v="REG100333"/>
    <s v="Cust 1271"/>
    <n v="8.36"/>
    <d v="2024-09-26T00:00:00"/>
    <d v="2024-10-01T00:00:00"/>
    <s v="Sophie"/>
    <n v="622.09"/>
    <n v="622.09"/>
    <n v="0"/>
    <x v="0"/>
    <x v="26"/>
  </r>
  <r>
    <d v="2023-02-13T00:00:00"/>
    <x v="1"/>
    <x v="1"/>
    <s v="Phone"/>
    <s v="Phone"/>
    <x v="0"/>
    <n v="5"/>
    <n v="254.24"/>
    <s v="Store B"/>
    <s v="Wholesale"/>
    <n v="0.05"/>
    <x v="5"/>
    <n v="1207.6400000000001"/>
    <s v="Online"/>
    <m/>
    <n v="0"/>
    <s v="REG100334"/>
    <s v="Cust 3042"/>
    <n v="9.9700000000000006"/>
    <d v="2023-02-13T00:00:00"/>
    <d v="2023-02-18T00:00:00"/>
    <s v="Sophie"/>
    <n v="1147.258"/>
    <n v="1271.2"/>
    <n v="123.94200000000001"/>
    <x v="1"/>
    <x v="0"/>
  </r>
  <r>
    <d v="2024-06-20T00:00:00"/>
    <x v="3"/>
    <x v="3"/>
    <s v="Chair"/>
    <s v="Chair"/>
    <x v="1"/>
    <n v="5"/>
    <n v="432.35"/>
    <s v="Store C"/>
    <s v="Wholesale"/>
    <n v="0.1"/>
    <x v="5"/>
    <n v="1945.575"/>
    <s v="Gift Card"/>
    <m/>
    <n v="1"/>
    <s v="REG100335"/>
    <s v="Cust 6424"/>
    <n v="41.48"/>
    <d v="2024-06-20T00:00:00"/>
    <d v="2024-06-27T00:00:00"/>
    <s v="Cameron"/>
    <n v="1751.0175000000002"/>
    <n v="2161.75"/>
    <n v="410.73249999999985"/>
    <x v="1"/>
    <x v="23"/>
  </r>
  <r>
    <d v="2024-03-22T00:00:00"/>
    <x v="4"/>
    <x v="0"/>
    <s v="Laptop"/>
    <s v="Laptop"/>
    <x v="0"/>
    <n v="19"/>
    <n v="590"/>
    <s v="Store D"/>
    <s v="Retail"/>
    <n v="0.05"/>
    <x v="1"/>
    <n v="10649.5"/>
    <s v="Online"/>
    <s v="FREESHIP"/>
    <n v="0"/>
    <s v="REG100336"/>
    <s v="Cust 1422"/>
    <n v="5.91"/>
    <d v="2024-03-22T00:00:00"/>
    <d v="2024-03-25T00:00:00"/>
    <s v="Wendy"/>
    <n v="10117.025"/>
    <n v="11210"/>
    <n v="1092.9750000000004"/>
    <x v="1"/>
    <x v="25"/>
  </r>
  <r>
    <d v="2024-02-08T00:00:00"/>
    <x v="4"/>
    <x v="4"/>
    <s v="Monitor"/>
    <s v="Monitor"/>
    <x v="0"/>
    <n v="11"/>
    <n v="151.25"/>
    <s v="Store B"/>
    <s v="Wholesale"/>
    <n v="0.1"/>
    <x v="2"/>
    <n v="1497.375"/>
    <s v="Credit Card"/>
    <m/>
    <n v="1"/>
    <s v="REG100337"/>
    <s v="Cust 5857"/>
    <n v="22.65"/>
    <d v="2024-02-08T00:00:00"/>
    <d v="2024-02-11T00:00:00"/>
    <s v="Wendy"/>
    <n v="1347.6375"/>
    <n v="1663.75"/>
    <n v="316.11249999999995"/>
    <x v="1"/>
    <x v="5"/>
  </r>
  <r>
    <d v="2024-06-01T00:00:00"/>
    <x v="0"/>
    <x v="2"/>
    <s v="Desk"/>
    <s v="Desk"/>
    <x v="1"/>
    <n v="3"/>
    <n v="204.79"/>
    <s v="Store B"/>
    <s v="Retail"/>
    <n v="0.1"/>
    <x v="2"/>
    <n v="552.93299999999999"/>
    <s v="Online"/>
    <s v="FREESHIP"/>
    <n v="1"/>
    <s v="REG100338"/>
    <s v="Cust 6953"/>
    <n v="7.72"/>
    <d v="2024-06-01T00:00:00"/>
    <d v="2024-06-04T00:00:00"/>
    <s v="Eric"/>
    <n v="497.6397"/>
    <n v="614.37"/>
    <n v="116.7303"/>
    <x v="1"/>
    <x v="23"/>
  </r>
  <r>
    <d v="2024-05-26T00:00:00"/>
    <x v="2"/>
    <x v="0"/>
    <s v="Laptop"/>
    <s v="Laptop"/>
    <x v="0"/>
    <n v="16"/>
    <n v="586.52"/>
    <s v="Store C"/>
    <s v="Wholesale"/>
    <n v="0"/>
    <x v="4"/>
    <n v="9384.32"/>
    <s v="Credit Card"/>
    <s v="WINTER15"/>
    <n v="1"/>
    <s v="REG100339"/>
    <s v="Cust 2916"/>
    <n v="17.059999999999999"/>
    <d v="2024-05-26T00:00:00"/>
    <d v="2024-06-01T00:00:00"/>
    <s v="Ryan"/>
    <n v="9384.32"/>
    <n v="9384.32"/>
    <n v="0"/>
    <x v="0"/>
    <x v="14"/>
  </r>
  <r>
    <d v="2024-06-25T00:00:00"/>
    <x v="0"/>
    <x v="6"/>
    <s v="Printer"/>
    <s v="Printer"/>
    <x v="2"/>
    <n v="16"/>
    <n v="104.83"/>
    <s v="Store A"/>
    <s v="Wholesale"/>
    <n v="0"/>
    <x v="3"/>
    <n v="1677.28"/>
    <s v="Gift Card"/>
    <s v="FREESHIP"/>
    <n v="0"/>
    <s v="REG100340"/>
    <s v="Cust 6855"/>
    <n v="33.99"/>
    <d v="2024-06-25T00:00:00"/>
    <d v="2024-06-30T00:00:00"/>
    <s v="Eric"/>
    <n v="1677.28"/>
    <n v="1677.28"/>
    <n v="0"/>
    <x v="0"/>
    <x v="23"/>
  </r>
  <r>
    <d v="2024-01-29T00:00:00"/>
    <x v="3"/>
    <x v="6"/>
    <s v="Printer"/>
    <s v="Printer"/>
    <x v="2"/>
    <n v="16"/>
    <n v="598.48"/>
    <s v="Store A"/>
    <s v="Retail"/>
    <n v="0.1"/>
    <x v="2"/>
    <n v="8618.112000000001"/>
    <s v="Cash"/>
    <m/>
    <n v="0"/>
    <s v="REG100341"/>
    <s v="Cust 8464"/>
    <n v="47.86"/>
    <d v="2024-01-29T00:00:00"/>
    <d v="2024-02-07T00:00:00"/>
    <s v="Cameron"/>
    <n v="7756.3008000000009"/>
    <n v="9575.68"/>
    <n v="1819.3791999999994"/>
    <x v="1"/>
    <x v="24"/>
  </r>
  <r>
    <d v="2024-12-07T00:00:00"/>
    <x v="1"/>
    <x v="3"/>
    <s v="Chair"/>
    <s v="Chair"/>
    <x v="1"/>
    <n v="8"/>
    <n v="367.89"/>
    <s v="Store B"/>
    <s v="Retail"/>
    <n v="0.05"/>
    <x v="1"/>
    <n v="2795.9639999999999"/>
    <s v="Cash"/>
    <s v="FREESHIP"/>
    <n v="0"/>
    <s v="REG100342"/>
    <s v="Cust 9700"/>
    <n v="18.100000000000001"/>
    <d v="2024-12-07T00:00:00"/>
    <d v="2024-12-09T00:00:00"/>
    <s v="Sophie"/>
    <n v="2656.1657999999998"/>
    <n v="2943.12"/>
    <n v="286.95420000000013"/>
    <x v="1"/>
    <x v="1"/>
  </r>
  <r>
    <d v="2023-11-21T00:00:00"/>
    <x v="4"/>
    <x v="3"/>
    <s v="Chair"/>
    <s v="Chair"/>
    <x v="1"/>
    <n v="10"/>
    <n v="333.35"/>
    <s v="Store A"/>
    <s v="Retail"/>
    <n v="0.15"/>
    <x v="1"/>
    <n v="2833.4749999999999"/>
    <s v="Debit Card"/>
    <s v="FREESHIP"/>
    <n v="0"/>
    <s v="REG100343"/>
    <s v="Cust 7765"/>
    <n v="39.35"/>
    <d v="2023-11-21T00:00:00"/>
    <d v="2023-11-26T00:00:00"/>
    <s v="Wendy"/>
    <n v="2408.4537499999997"/>
    <n v="3333.5"/>
    <n v="925.04625000000033"/>
    <x v="2"/>
    <x v="15"/>
  </r>
  <r>
    <d v="2024-12-16T00:00:00"/>
    <x v="2"/>
    <x v="3"/>
    <s v="Chair"/>
    <s v="Chair"/>
    <x v="1"/>
    <n v="8"/>
    <n v="378.88"/>
    <s v="Store A"/>
    <s v="Wholesale"/>
    <n v="0.1"/>
    <x v="2"/>
    <n v="2727.9360000000001"/>
    <s v="Debit Card"/>
    <s v="WINTER15"/>
    <n v="1"/>
    <s v="REG100344"/>
    <s v="Cust 8246"/>
    <n v="5.22"/>
    <d v="2024-12-16T00:00:00"/>
    <d v="2024-12-24T00:00:00"/>
    <s v="Ryan"/>
    <n v="2455.1424000000002"/>
    <n v="3031.04"/>
    <n v="575.89759999999978"/>
    <x v="1"/>
    <x v="1"/>
  </r>
  <r>
    <d v="2023-08-05T00:00:00"/>
    <x v="3"/>
    <x v="4"/>
    <s v="Monitor"/>
    <s v="Monitor"/>
    <x v="0"/>
    <n v="12"/>
    <n v="169.2"/>
    <s v="Store C"/>
    <s v="Retail"/>
    <n v="0.05"/>
    <x v="4"/>
    <n v="1928.88"/>
    <s v="Gift Card"/>
    <s v="SAVE10"/>
    <n v="0"/>
    <s v="REG100345"/>
    <s v="Cust 6500"/>
    <n v="28.65"/>
    <d v="2023-08-05T00:00:00"/>
    <d v="2023-08-15T00:00:00"/>
    <s v="Cameron"/>
    <n v="1832.4359999999999"/>
    <n v="2030.3999999999999"/>
    <n v="197.96399999999994"/>
    <x v="1"/>
    <x v="18"/>
  </r>
  <r>
    <d v="2023-08-30T00:00:00"/>
    <x v="3"/>
    <x v="3"/>
    <s v="Chair"/>
    <s v="Chair"/>
    <x v="1"/>
    <n v="7"/>
    <n v="103.03"/>
    <s v="Store D"/>
    <s v="Retail"/>
    <n v="0.1"/>
    <x v="5"/>
    <n v="649.08900000000006"/>
    <s v="Online"/>
    <s v="FREESHIP"/>
    <n v="1"/>
    <s v="REG100346"/>
    <s v="Cust 1150"/>
    <n v="5.29"/>
    <d v="2023-08-30T00:00:00"/>
    <d v="2023-09-06T00:00:00"/>
    <s v="Cameron"/>
    <n v="584.18010000000004"/>
    <n v="721.21"/>
    <n v="137.0299"/>
    <x v="1"/>
    <x v="18"/>
  </r>
  <r>
    <d v="2025-03-25T00:00:00"/>
    <x v="0"/>
    <x v="6"/>
    <s v="Printer"/>
    <s v="Printer"/>
    <x v="2"/>
    <n v="3"/>
    <n v="378.74"/>
    <s v="Store D"/>
    <s v="Wholesale"/>
    <n v="0.15"/>
    <x v="2"/>
    <n v="965.78700000000003"/>
    <s v="Online"/>
    <s v="SAVE10"/>
    <n v="0"/>
    <s v="REG100347"/>
    <s v="Cust 7449"/>
    <n v="8.2200000000000006"/>
    <d v="2025-03-25T00:00:00"/>
    <d v="2025-03-27T00:00:00"/>
    <s v="Eric"/>
    <n v="820.91895"/>
    <n v="1136.22"/>
    <n v="315.30105000000003"/>
    <x v="2"/>
    <x v="8"/>
  </r>
  <r>
    <d v="2024-12-13T00:00:00"/>
    <x v="2"/>
    <x v="1"/>
    <s v="Phone"/>
    <s v="Phone"/>
    <x v="0"/>
    <n v="15"/>
    <n v="27.21"/>
    <s v="Store C"/>
    <s v="Wholesale"/>
    <n v="0"/>
    <x v="1"/>
    <n v="408.15"/>
    <s v="Online"/>
    <s v="WINTER15"/>
    <n v="0"/>
    <s v="REG100348"/>
    <s v="Cust 1957"/>
    <n v="43.69"/>
    <d v="2024-12-13T00:00:00"/>
    <d v="2024-12-22T00:00:00"/>
    <s v="Ryan"/>
    <n v="408.15"/>
    <n v="408.15000000000003"/>
    <n v="0"/>
    <x v="0"/>
    <x v="1"/>
  </r>
  <r>
    <d v="2023-09-07T00:00:00"/>
    <x v="3"/>
    <x v="1"/>
    <s v="Phone"/>
    <s v="Phone"/>
    <x v="0"/>
    <n v="14"/>
    <n v="52.09"/>
    <s v="Store A"/>
    <s v="Retail"/>
    <n v="0"/>
    <x v="5"/>
    <n v="729.26"/>
    <s v="Gift Card"/>
    <m/>
    <n v="1"/>
    <s v="REG100349"/>
    <s v="Cust 3467"/>
    <n v="48.02"/>
    <d v="2023-09-07T00:00:00"/>
    <d v="2023-09-14T00:00:00"/>
    <s v="Cameron"/>
    <n v="729.26"/>
    <n v="729.26"/>
    <n v="0"/>
    <x v="0"/>
    <x v="22"/>
  </r>
  <r>
    <d v="2023-12-12T00:00:00"/>
    <x v="2"/>
    <x v="4"/>
    <s v="Monitor"/>
    <s v="Monitor"/>
    <x v="0"/>
    <n v="7"/>
    <n v="570.01"/>
    <s v="Store C"/>
    <s v="Wholesale"/>
    <n v="0"/>
    <x v="3"/>
    <n v="3990.07"/>
    <s v="Credit Card"/>
    <s v="WINTER15"/>
    <n v="0"/>
    <s v="REG100350"/>
    <s v="Cust 5212"/>
    <n v="42.33"/>
    <d v="2023-12-12T00:00:00"/>
    <d v="2023-12-21T00:00:00"/>
    <s v="Ryan"/>
    <n v="3990.07"/>
    <n v="3990.0699999999997"/>
    <n v="0"/>
    <x v="0"/>
    <x v="27"/>
  </r>
  <r>
    <d v="2024-04-25T00:00:00"/>
    <x v="0"/>
    <x v="4"/>
    <s v="Monitor"/>
    <s v="Monitor"/>
    <x v="0"/>
    <n v="19"/>
    <n v="526.23"/>
    <s v="Store B"/>
    <s v="Retail"/>
    <n v="0"/>
    <x v="5"/>
    <n v="9998.3700000000008"/>
    <s v="Credit Card"/>
    <s v="WINTER15"/>
    <n v="0"/>
    <s v="REG100351"/>
    <s v="Cust 3509"/>
    <n v="32.770000000000003"/>
    <d v="2024-04-25T00:00:00"/>
    <d v="2024-05-05T00:00:00"/>
    <s v="Eric"/>
    <n v="9998.3700000000008"/>
    <n v="9998.3700000000008"/>
    <n v="0"/>
    <x v="0"/>
    <x v="9"/>
  </r>
  <r>
    <d v="2025-05-04T00:00:00"/>
    <x v="2"/>
    <x v="0"/>
    <s v="Laptop"/>
    <s v="Laptop"/>
    <x v="0"/>
    <n v="8"/>
    <n v="294.51"/>
    <s v="Store A"/>
    <s v="Wholesale"/>
    <n v="0.15"/>
    <x v="4"/>
    <n v="2002.6679999999999"/>
    <s v="Gift Card"/>
    <m/>
    <n v="0"/>
    <s v="REG100352"/>
    <s v="Cust 5316"/>
    <n v="10.46"/>
    <d v="2025-05-04T00:00:00"/>
    <d v="2025-05-07T00:00:00"/>
    <s v="Ryan"/>
    <n v="1702.2677999999999"/>
    <n v="2356.08"/>
    <n v="653.81220000000008"/>
    <x v="2"/>
    <x v="13"/>
  </r>
  <r>
    <d v="2023-09-16T00:00:00"/>
    <x v="1"/>
    <x v="4"/>
    <s v="Monitor"/>
    <s v="Monitor"/>
    <x v="0"/>
    <n v="18"/>
    <n v="448.27"/>
    <s v="Store C"/>
    <s v="Wholesale"/>
    <n v="0.05"/>
    <x v="4"/>
    <n v="7665.4169999999986"/>
    <s v="Credit Card"/>
    <s v="SAVE10"/>
    <n v="0"/>
    <s v="REG100353"/>
    <s v="Cust 9919"/>
    <n v="47.56"/>
    <d v="2023-09-16T00:00:00"/>
    <d v="2023-09-20T00:00:00"/>
    <s v="Sophie"/>
    <n v="7282.1461499999987"/>
    <n v="8068.86"/>
    <n v="786.713850000001"/>
    <x v="1"/>
    <x v="22"/>
  </r>
  <r>
    <d v="2024-10-23T00:00:00"/>
    <x v="4"/>
    <x v="2"/>
    <s v="Desk"/>
    <s v="Desk"/>
    <x v="1"/>
    <n v="17"/>
    <n v="583.88"/>
    <s v="Store D"/>
    <s v="Retail"/>
    <n v="0.1"/>
    <x v="1"/>
    <n v="8933.3639999999996"/>
    <s v="Credit Card"/>
    <s v="WINTER15"/>
    <n v="0"/>
    <s v="REG100354"/>
    <s v="Cust 7129"/>
    <n v="37.53"/>
    <d v="2024-10-23T00:00:00"/>
    <d v="2024-10-26T00:00:00"/>
    <s v="Wendy"/>
    <n v="8040.0275999999994"/>
    <n v="9925.9599999999991"/>
    <n v="1885.9323999999997"/>
    <x v="1"/>
    <x v="7"/>
  </r>
  <r>
    <d v="2023-05-03T00:00:00"/>
    <x v="2"/>
    <x v="2"/>
    <s v="Desk"/>
    <s v="Desk"/>
    <x v="1"/>
    <n v="2"/>
    <n v="97.5"/>
    <s v="Store D"/>
    <s v="Retail"/>
    <n v="0.1"/>
    <x v="1"/>
    <n v="175.5"/>
    <s v="Cash"/>
    <m/>
    <n v="1"/>
    <s v="REG100355"/>
    <s v="Cust 9841"/>
    <n v="46.37"/>
    <d v="2023-05-03T00:00:00"/>
    <d v="2023-05-06T00:00:00"/>
    <s v="Ryan"/>
    <n v="157.95000000000002"/>
    <n v="195"/>
    <n v="37.049999999999983"/>
    <x v="1"/>
    <x v="2"/>
  </r>
  <r>
    <d v="2025-03-18T00:00:00"/>
    <x v="2"/>
    <x v="6"/>
    <s v="Printer"/>
    <s v="Printer"/>
    <x v="2"/>
    <n v="16"/>
    <n v="420.79"/>
    <s v="Store B"/>
    <s v="Wholesale"/>
    <n v="0.15"/>
    <x v="3"/>
    <n v="5722.7439999999997"/>
    <s v="Cash"/>
    <s v="FREESHIP"/>
    <n v="1"/>
    <s v="REG100356"/>
    <s v="Cust 6362"/>
    <n v="22.13"/>
    <d v="2025-03-18T00:00:00"/>
    <d v="2025-03-25T00:00:00"/>
    <s v="Ryan"/>
    <n v="4864.3323999999993"/>
    <n v="6732.64"/>
    <n v="1868.307600000001"/>
    <x v="2"/>
    <x v="8"/>
  </r>
  <r>
    <d v="2023-08-25T00:00:00"/>
    <x v="4"/>
    <x v="3"/>
    <s v="Chair"/>
    <s v="Chair"/>
    <x v="1"/>
    <n v="13"/>
    <n v="513.17999999999995"/>
    <s v="Store B"/>
    <s v="Retail"/>
    <n v="0"/>
    <x v="0"/>
    <n v="6671.3399999999992"/>
    <s v="Credit Card"/>
    <s v="FREESHIP"/>
    <n v="0"/>
    <s v="REG100357"/>
    <s v="Cust 4142"/>
    <n v="10.57"/>
    <d v="2023-08-25T00:00:00"/>
    <d v="2023-08-27T00:00:00"/>
    <s v="Wendy"/>
    <n v="6671.3399999999992"/>
    <n v="6671.3399999999992"/>
    <n v="0"/>
    <x v="0"/>
    <x v="18"/>
  </r>
  <r>
    <d v="2023-07-13T00:00:00"/>
    <x v="2"/>
    <x v="4"/>
    <s v="Monitor"/>
    <s v="Monitor"/>
    <x v="0"/>
    <n v="19"/>
    <n v="475.64"/>
    <s v="Store C"/>
    <s v="Retail"/>
    <n v="0.1"/>
    <x v="2"/>
    <n v="8133.4440000000004"/>
    <s v="Cash"/>
    <s v="WINTER15"/>
    <n v="1"/>
    <s v="REG100358"/>
    <s v="Cust 9584"/>
    <n v="11.17"/>
    <d v="2023-07-13T00:00:00"/>
    <d v="2023-07-17T00:00:00"/>
    <s v="Ryan"/>
    <n v="7320.0996000000005"/>
    <n v="9037.16"/>
    <n v="1717.0603999999994"/>
    <x v="1"/>
    <x v="11"/>
  </r>
  <r>
    <d v="2025-02-25T00:00:00"/>
    <x v="2"/>
    <x v="5"/>
    <s v="Tablet"/>
    <s v="Tablet"/>
    <x v="0"/>
    <n v="13"/>
    <n v="238.34"/>
    <s v="Store C"/>
    <s v="Retail"/>
    <n v="0.1"/>
    <x v="3"/>
    <n v="2788.578"/>
    <s v="Credit Card"/>
    <s v="SAVE10"/>
    <n v="1"/>
    <s v="REG100359"/>
    <s v="Cust 2553"/>
    <n v="7.9"/>
    <d v="2025-02-25T00:00:00"/>
    <d v="2025-03-06T00:00:00"/>
    <s v="Ryan"/>
    <n v="2509.7202000000002"/>
    <n v="3098.42"/>
    <n v="588.69979999999987"/>
    <x v="1"/>
    <x v="3"/>
  </r>
  <r>
    <d v="2025-04-14T00:00:00"/>
    <x v="3"/>
    <x v="0"/>
    <s v="Laptop"/>
    <s v="Laptop"/>
    <x v="0"/>
    <n v="14"/>
    <n v="285.02999999999997"/>
    <s v="Store B"/>
    <s v="Wholesale"/>
    <n v="0.1"/>
    <x v="0"/>
    <n v="3591.3780000000002"/>
    <s v="Credit Card"/>
    <s v="SAVE10"/>
    <n v="0"/>
    <s v="REG100360"/>
    <s v="Cust 1347"/>
    <n v="41.5"/>
    <d v="2025-04-14T00:00:00"/>
    <d v="2025-04-17T00:00:00"/>
    <s v="Cameron"/>
    <n v="3232.2402000000002"/>
    <n v="3990.4199999999996"/>
    <n v="758.17979999999943"/>
    <x v="1"/>
    <x v="28"/>
  </r>
  <r>
    <d v="2025-06-15T00:00:00"/>
    <x v="3"/>
    <x v="2"/>
    <s v="Desk"/>
    <s v="Desk"/>
    <x v="1"/>
    <n v="5"/>
    <n v="5.52"/>
    <s v="Store C"/>
    <s v="Retail"/>
    <n v="0.05"/>
    <x v="1"/>
    <n v="26.22"/>
    <s v="Credit Card"/>
    <s v="FREESHIP"/>
    <n v="0"/>
    <s v="REG100361"/>
    <s v="Cust 8305"/>
    <n v="10.58"/>
    <d v="2025-06-15T00:00:00"/>
    <d v="2025-06-18T00:00:00"/>
    <s v="Cameron"/>
    <n v="24.908999999999999"/>
    <n v="27.599999999999998"/>
    <n v="2.6909999999999989"/>
    <x v="1"/>
    <x v="16"/>
  </r>
  <r>
    <d v="2024-10-22T00:00:00"/>
    <x v="2"/>
    <x v="4"/>
    <s v="Monitor"/>
    <s v="Monitor"/>
    <x v="0"/>
    <n v="18"/>
    <n v="396.25"/>
    <s v="Store D"/>
    <s v="Retail"/>
    <n v="0.1"/>
    <x v="2"/>
    <n v="6419.25"/>
    <s v="Credit Card"/>
    <s v="FREESHIP"/>
    <n v="0"/>
    <s v="REG100362"/>
    <s v="Cust 7015"/>
    <n v="20.39"/>
    <d v="2024-10-22T00:00:00"/>
    <d v="2024-10-27T00:00:00"/>
    <s v="Ryan"/>
    <n v="5777.3249999999998"/>
    <n v="7132.5"/>
    <n v="1355.1750000000002"/>
    <x v="1"/>
    <x v="7"/>
  </r>
  <r>
    <d v="2023-06-20T00:00:00"/>
    <x v="1"/>
    <x v="0"/>
    <s v="Laptop"/>
    <s v="Laptop"/>
    <x v="0"/>
    <n v="9"/>
    <n v="282.8"/>
    <s v="Store D"/>
    <s v="Wholesale"/>
    <n v="0.05"/>
    <x v="0"/>
    <n v="2417.94"/>
    <s v="Online"/>
    <m/>
    <n v="0"/>
    <s v="REG100363"/>
    <s v="Cust 4394"/>
    <n v="49.79"/>
    <d v="2023-06-20T00:00:00"/>
    <d v="2023-06-25T00:00:00"/>
    <s v="Sophie"/>
    <n v="2297.0430000000001"/>
    <n v="2545.2000000000003"/>
    <n v="248.15700000000015"/>
    <x v="1"/>
    <x v="4"/>
  </r>
  <r>
    <d v="2025-03-05T00:00:00"/>
    <x v="1"/>
    <x v="1"/>
    <s v="Phone"/>
    <s v="Phone"/>
    <x v="0"/>
    <n v="6"/>
    <n v="525.42999999999995"/>
    <s v="Store C"/>
    <s v="Wholesale"/>
    <n v="0.05"/>
    <x v="1"/>
    <n v="2994.951"/>
    <s v="Credit Card"/>
    <m/>
    <n v="0"/>
    <s v="REG100364"/>
    <s v="Cust 3323"/>
    <n v="39.28"/>
    <d v="2025-03-05T00:00:00"/>
    <d v="2025-03-11T00:00:00"/>
    <s v="Sophie"/>
    <n v="2845.20345"/>
    <n v="3152.58"/>
    <n v="307.37654999999995"/>
    <x v="1"/>
    <x v="8"/>
  </r>
  <r>
    <d v="2023-10-28T00:00:00"/>
    <x v="4"/>
    <x v="5"/>
    <s v="Tablet"/>
    <s v="Tablet"/>
    <x v="0"/>
    <n v="15"/>
    <n v="127.67"/>
    <s v="Store D"/>
    <s v="Retail"/>
    <n v="0.1"/>
    <x v="1"/>
    <n v="1723.5450000000001"/>
    <s v="Debit Card"/>
    <m/>
    <n v="0"/>
    <s v="REG100365"/>
    <s v="Cust 4029"/>
    <n v="48.77"/>
    <d v="2023-10-28T00:00:00"/>
    <d v="2023-10-30T00:00:00"/>
    <s v="Wendy"/>
    <n v="1551.1905000000002"/>
    <n v="1915.05"/>
    <n v="363.8594999999998"/>
    <x v="1"/>
    <x v="19"/>
  </r>
  <r>
    <d v="2025-03-19T00:00:00"/>
    <x v="3"/>
    <x v="0"/>
    <s v="Laptop"/>
    <s v="Laptop"/>
    <x v="0"/>
    <n v="17"/>
    <n v="511.8"/>
    <s v="Store B"/>
    <s v="Retail"/>
    <n v="0.05"/>
    <x v="3"/>
    <n v="8265.57"/>
    <s v="Credit Card"/>
    <s v="WINTER15"/>
    <n v="1"/>
    <s v="REG100366"/>
    <s v="Cust 1400"/>
    <n v="13.33"/>
    <d v="2025-03-19T00:00:00"/>
    <d v="2025-03-26T00:00:00"/>
    <s v="Cameron"/>
    <n v="7852.2914999999994"/>
    <n v="8700.6"/>
    <n v="848.308500000001"/>
    <x v="1"/>
    <x v="8"/>
  </r>
  <r>
    <d v="2023-08-06T00:00:00"/>
    <x v="4"/>
    <x v="5"/>
    <s v="Tablet"/>
    <s v="Tablet"/>
    <x v="0"/>
    <n v="4"/>
    <n v="555.86"/>
    <s v="Store C"/>
    <s v="Retail"/>
    <n v="0.05"/>
    <x v="5"/>
    <n v="2112.268"/>
    <s v="Cash"/>
    <s v="FREESHIP"/>
    <n v="0"/>
    <s v="REG100367"/>
    <s v="Cust 6361"/>
    <n v="28.92"/>
    <d v="2023-08-06T00:00:00"/>
    <d v="2023-08-08T00:00:00"/>
    <s v="Wendy"/>
    <n v="2006.6545999999998"/>
    <n v="2223.44"/>
    <n v="216.78540000000021"/>
    <x v="1"/>
    <x v="18"/>
  </r>
  <r>
    <d v="2024-09-11T00:00:00"/>
    <x v="3"/>
    <x v="4"/>
    <s v="Monitor"/>
    <s v="Monitor"/>
    <x v="0"/>
    <n v="15"/>
    <n v="202.72"/>
    <s v="Store D"/>
    <s v="Retail"/>
    <n v="0.05"/>
    <x v="0"/>
    <n v="2888.76"/>
    <s v="Debit Card"/>
    <s v="WINTER15"/>
    <n v="1"/>
    <s v="REG100368"/>
    <s v="Cust 5267"/>
    <n v="41.61"/>
    <d v="2024-09-11T00:00:00"/>
    <d v="2024-09-19T00:00:00"/>
    <s v="Cameron"/>
    <n v="2744.3220000000001"/>
    <n v="3040.8"/>
    <n v="296.47800000000007"/>
    <x v="1"/>
    <x v="26"/>
  </r>
  <r>
    <d v="2025-01-08T00:00:00"/>
    <x v="3"/>
    <x v="3"/>
    <s v="Chair"/>
    <s v="Chair"/>
    <x v="1"/>
    <n v="4"/>
    <n v="353.7"/>
    <s v="Store A"/>
    <s v="Wholesale"/>
    <n v="0"/>
    <x v="2"/>
    <n v="1414.8"/>
    <s v="Credit Card"/>
    <s v="FREESHIP"/>
    <n v="0"/>
    <s v="REG100369"/>
    <s v="Cust 9354"/>
    <n v="41.98"/>
    <d v="2025-01-08T00:00:00"/>
    <d v="2025-01-12T00:00:00"/>
    <s v="Cameron"/>
    <n v="1414.8"/>
    <n v="1414.8"/>
    <n v="0"/>
    <x v="0"/>
    <x v="12"/>
  </r>
  <r>
    <d v="2024-08-12T00:00:00"/>
    <x v="3"/>
    <x v="3"/>
    <s v="Chair"/>
    <s v="Chair"/>
    <x v="1"/>
    <n v="3"/>
    <n v="149.25"/>
    <s v="Store D"/>
    <s v="Wholesale"/>
    <n v="0"/>
    <x v="3"/>
    <n v="447.75"/>
    <s v="Debit Card"/>
    <m/>
    <n v="1"/>
    <s v="REG100370"/>
    <s v="Cust 9443"/>
    <n v="13.17"/>
    <d v="2024-08-12T00:00:00"/>
    <d v="2024-08-14T00:00:00"/>
    <s v="Cameron"/>
    <n v="447.75"/>
    <n v="447.75"/>
    <n v="0"/>
    <x v="0"/>
    <x v="29"/>
  </r>
  <r>
    <d v="2023-03-30T00:00:00"/>
    <x v="2"/>
    <x v="4"/>
    <s v="Monitor"/>
    <s v="Monitor"/>
    <x v="0"/>
    <n v="19"/>
    <n v="156.44"/>
    <s v="Store C"/>
    <s v="Wholesale"/>
    <n v="0.1"/>
    <x v="1"/>
    <n v="2675.1239999999998"/>
    <s v="Online"/>
    <s v="WINTER15"/>
    <n v="0"/>
    <s v="REG100371"/>
    <s v="Cust 2252"/>
    <n v="19.440000000000001"/>
    <d v="2023-03-30T00:00:00"/>
    <d v="2023-04-04T00:00:00"/>
    <s v="Ryan"/>
    <n v="2407.6115999999997"/>
    <n v="2972.36"/>
    <n v="564.7484000000004"/>
    <x v="1"/>
    <x v="17"/>
  </r>
  <r>
    <d v="2023-02-01T00:00:00"/>
    <x v="3"/>
    <x v="1"/>
    <s v="Phone"/>
    <s v="Phone"/>
    <x v="0"/>
    <n v="7"/>
    <n v="241.76"/>
    <s v="Store D"/>
    <s v="Wholesale"/>
    <n v="0"/>
    <x v="3"/>
    <n v="1692.32"/>
    <s v="Online"/>
    <s v="SAVE10"/>
    <n v="0"/>
    <s v="REG100372"/>
    <s v="Cust 1031"/>
    <n v="48.13"/>
    <d v="2023-02-01T00:00:00"/>
    <d v="2023-02-09T00:00:00"/>
    <s v="Cameron"/>
    <n v="1692.32"/>
    <n v="1692.32"/>
    <n v="0"/>
    <x v="0"/>
    <x v="0"/>
  </r>
  <r>
    <d v="2025-04-18T00:00:00"/>
    <x v="2"/>
    <x v="0"/>
    <s v="Laptop"/>
    <s v="Laptop"/>
    <x v="0"/>
    <n v="20"/>
    <n v="170.49"/>
    <s v="Store A"/>
    <s v="Wholesale"/>
    <n v="0"/>
    <x v="4"/>
    <n v="3409.8"/>
    <s v="Online"/>
    <s v="FREESHIP"/>
    <n v="0"/>
    <s v="REG100373"/>
    <s v="Cust 6086"/>
    <n v="19.739999999999998"/>
    <d v="2025-04-18T00:00:00"/>
    <d v="2025-04-27T00:00:00"/>
    <s v="Ryan"/>
    <n v="3409.8"/>
    <n v="3409.8"/>
    <n v="0"/>
    <x v="0"/>
    <x v="28"/>
  </r>
  <r>
    <d v="2025-03-29T00:00:00"/>
    <x v="3"/>
    <x v="4"/>
    <s v="Monitor"/>
    <s v="Monitor"/>
    <x v="0"/>
    <n v="11"/>
    <n v="149.66999999999999"/>
    <s v="Store C"/>
    <s v="Retail"/>
    <n v="0.1"/>
    <x v="0"/>
    <n v="1481.7329999999999"/>
    <s v="Credit Card"/>
    <m/>
    <n v="0"/>
    <s v="REG100374"/>
    <s v="Cust 1672"/>
    <n v="34.130000000000003"/>
    <d v="2025-03-29T00:00:00"/>
    <d v="2025-04-02T00:00:00"/>
    <s v="Cameron"/>
    <n v="1333.5597"/>
    <n v="1646.37"/>
    <n v="312.81029999999987"/>
    <x v="1"/>
    <x v="8"/>
  </r>
  <r>
    <d v="2024-04-25T00:00:00"/>
    <x v="0"/>
    <x v="5"/>
    <s v="Tablet"/>
    <s v="Tablet"/>
    <x v="0"/>
    <n v="1"/>
    <n v="173.56"/>
    <s v="Store D"/>
    <s v="Retail"/>
    <n v="0.1"/>
    <x v="0"/>
    <n v="156.20400000000001"/>
    <s v="Debit Card"/>
    <s v="FREESHIP"/>
    <n v="0"/>
    <s v="REG100375"/>
    <s v="Cust 9313"/>
    <n v="39.1"/>
    <d v="2024-04-25T00:00:00"/>
    <d v="2024-04-28T00:00:00"/>
    <s v="Eric"/>
    <n v="140.58360000000002"/>
    <n v="173.56"/>
    <n v="32.976399999999984"/>
    <x v="1"/>
    <x v="9"/>
  </r>
  <r>
    <d v="2024-09-22T00:00:00"/>
    <x v="1"/>
    <x v="4"/>
    <s v="Monitor"/>
    <s v="Monitor"/>
    <x v="0"/>
    <n v="7"/>
    <n v="349.55"/>
    <s v="Store A"/>
    <s v="Retail"/>
    <n v="0.05"/>
    <x v="3"/>
    <n v="2324.5075000000002"/>
    <s v="Credit Card"/>
    <s v="FREESHIP"/>
    <n v="0"/>
    <s v="REG100376"/>
    <s v="Cust 4405"/>
    <n v="23.7"/>
    <d v="2024-09-22T00:00:00"/>
    <d v="2024-09-27T00:00:00"/>
    <s v="Sophie"/>
    <n v="2208.2821250000002"/>
    <n v="2446.85"/>
    <n v="238.56787499999973"/>
    <x v="1"/>
    <x v="26"/>
  </r>
  <r>
    <d v="2023-08-05T00:00:00"/>
    <x v="3"/>
    <x v="5"/>
    <s v="Tablet"/>
    <s v="Tablet"/>
    <x v="0"/>
    <n v="9"/>
    <n v="245.14"/>
    <s v="Store B"/>
    <s v="Wholesale"/>
    <n v="0"/>
    <x v="1"/>
    <n v="2206.2600000000002"/>
    <s v="Online"/>
    <s v="SAVE10"/>
    <n v="1"/>
    <s v="REG100377"/>
    <s v="Cust 6453"/>
    <n v="44.6"/>
    <d v="2023-08-05T00:00:00"/>
    <d v="2023-08-14T00:00:00"/>
    <s v="Cameron"/>
    <n v="2206.2600000000002"/>
    <n v="2206.2599999999998"/>
    <n v="0"/>
    <x v="0"/>
    <x v="18"/>
  </r>
  <r>
    <d v="2024-06-07T00:00:00"/>
    <x v="1"/>
    <x v="2"/>
    <s v="Desk"/>
    <s v="Desk"/>
    <x v="1"/>
    <n v="1"/>
    <n v="423.08"/>
    <s v="Store B"/>
    <s v="Wholesale"/>
    <n v="0.05"/>
    <x v="5"/>
    <n v="401.92599999999999"/>
    <s v="Gift Card"/>
    <s v="WINTER15"/>
    <n v="0"/>
    <s v="REG100378"/>
    <s v="Cust 4772"/>
    <n v="31.75"/>
    <d v="2024-06-07T00:00:00"/>
    <d v="2024-06-11T00:00:00"/>
    <s v="Sophie"/>
    <n v="381.82969999999995"/>
    <n v="423.08"/>
    <n v="41.250300000000038"/>
    <x v="1"/>
    <x v="23"/>
  </r>
  <r>
    <d v="2025-05-24T00:00:00"/>
    <x v="0"/>
    <x v="1"/>
    <s v="Phone"/>
    <s v="Phone"/>
    <x v="0"/>
    <n v="19"/>
    <n v="337.82"/>
    <s v="Store B"/>
    <s v="Wholesale"/>
    <n v="0.15"/>
    <x v="1"/>
    <n v="5455.7929999999997"/>
    <s v="Online"/>
    <s v="FREESHIP"/>
    <n v="0"/>
    <s v="REG100379"/>
    <s v="Cust 1762"/>
    <n v="45.74"/>
    <d v="2025-05-24T00:00:00"/>
    <d v="2025-05-30T00:00:00"/>
    <s v="Eric"/>
    <n v="4637.4240499999996"/>
    <n v="6418.58"/>
    <n v="1781.1559500000003"/>
    <x v="2"/>
    <x v="13"/>
  </r>
  <r>
    <d v="2024-07-18T00:00:00"/>
    <x v="1"/>
    <x v="3"/>
    <s v="Chair"/>
    <s v="Chair"/>
    <x v="1"/>
    <n v="10"/>
    <n v="252.63"/>
    <s v="Store B"/>
    <s v="Retail"/>
    <n v="0.15"/>
    <x v="0"/>
    <n v="2147.355"/>
    <s v="Cash"/>
    <s v="FREESHIP"/>
    <n v="0"/>
    <s v="REG100380"/>
    <s v="Cust 1865"/>
    <n v="8.92"/>
    <d v="2024-07-18T00:00:00"/>
    <d v="2024-07-25T00:00:00"/>
    <s v="Sophie"/>
    <n v="1825.2517499999999"/>
    <n v="2526.3000000000002"/>
    <n v="701.04825000000028"/>
    <x v="2"/>
    <x v="10"/>
  </r>
  <r>
    <d v="2024-07-14T00:00:00"/>
    <x v="4"/>
    <x v="5"/>
    <s v="Tablet"/>
    <s v="Tablet"/>
    <x v="0"/>
    <n v="3"/>
    <n v="87.02"/>
    <s v="Store B"/>
    <s v="Wholesale"/>
    <n v="0.1"/>
    <x v="2"/>
    <n v="234.95400000000001"/>
    <s v="Cash"/>
    <s v="WINTER15"/>
    <n v="0"/>
    <s v="REG100381"/>
    <s v="Cust 9552"/>
    <n v="11.13"/>
    <d v="2024-07-14T00:00:00"/>
    <d v="2024-07-16T00:00:00"/>
    <s v="Wendy"/>
    <n v="211.45860000000002"/>
    <n v="261.06"/>
    <n v="49.601399999999984"/>
    <x v="1"/>
    <x v="10"/>
  </r>
  <r>
    <d v="2023-04-14T00:00:00"/>
    <x v="3"/>
    <x v="5"/>
    <s v="Tablet"/>
    <s v="Tablet"/>
    <x v="0"/>
    <n v="11"/>
    <n v="6.72"/>
    <s v="Store D"/>
    <s v="Wholesale"/>
    <n v="0.05"/>
    <x v="5"/>
    <n v="70.224000000000004"/>
    <s v="Cash"/>
    <s v="SAVE10"/>
    <n v="0"/>
    <s v="REG100382"/>
    <s v="Cust 4273"/>
    <n v="34.270000000000003"/>
    <d v="2023-04-14T00:00:00"/>
    <d v="2023-04-19T00:00:00"/>
    <s v="Cameron"/>
    <n v="66.712800000000001"/>
    <n v="73.92"/>
    <n v="7.2072000000000003"/>
    <x v="1"/>
    <x v="21"/>
  </r>
  <r>
    <d v="2023-06-01T00:00:00"/>
    <x v="1"/>
    <x v="6"/>
    <s v="Printer"/>
    <s v="Printer"/>
    <x v="2"/>
    <n v="2"/>
    <n v="279.38"/>
    <s v="Store D"/>
    <s v="Retail"/>
    <n v="0.1"/>
    <x v="3"/>
    <n v="502.88400000000001"/>
    <s v="Online"/>
    <s v="FREESHIP"/>
    <n v="0"/>
    <s v="REG100383"/>
    <s v="Cust 8712"/>
    <n v="22.95"/>
    <d v="2023-06-01T00:00:00"/>
    <d v="2023-06-06T00:00:00"/>
    <s v="Sophie"/>
    <n v="452.59560000000005"/>
    <n v="558.76"/>
    <n v="106.16439999999994"/>
    <x v="1"/>
    <x v="4"/>
  </r>
  <r>
    <d v="2025-04-17T00:00:00"/>
    <x v="3"/>
    <x v="1"/>
    <s v="Phone"/>
    <s v="Phone"/>
    <x v="0"/>
    <n v="9"/>
    <n v="207.8"/>
    <s v="Store D"/>
    <s v="Retail"/>
    <n v="0.1"/>
    <x v="1"/>
    <n v="1683.18"/>
    <s v="Online"/>
    <s v="WINTER15"/>
    <n v="0"/>
    <s v="REG100384"/>
    <s v="Cust 9048"/>
    <n v="16.989999999999998"/>
    <d v="2025-04-17T00:00:00"/>
    <d v="2025-04-20T00:00:00"/>
    <s v="Cameron"/>
    <n v="1514.8620000000001"/>
    <n v="1870.2"/>
    <n v="355.33799999999997"/>
    <x v="1"/>
    <x v="28"/>
  </r>
  <r>
    <d v="2025-03-31T00:00:00"/>
    <x v="0"/>
    <x v="6"/>
    <s v="Printer"/>
    <s v="Printer"/>
    <x v="2"/>
    <n v="15"/>
    <n v="511.88"/>
    <s v="Store C"/>
    <s v="Wholesale"/>
    <n v="0.05"/>
    <x v="5"/>
    <n v="7294.2899999999991"/>
    <s v="Cash"/>
    <s v="SAVE10"/>
    <n v="0"/>
    <s v="REG100385"/>
    <s v="Cust 7714"/>
    <n v="10.220000000000001"/>
    <d v="2025-03-31T00:00:00"/>
    <d v="2025-04-09T00:00:00"/>
    <s v="Eric"/>
    <n v="6929.575499999999"/>
    <n v="7678.2"/>
    <n v="748.62450000000081"/>
    <x v="1"/>
    <x v="8"/>
  </r>
  <r>
    <d v="2024-07-15T00:00:00"/>
    <x v="0"/>
    <x v="6"/>
    <s v="Printer"/>
    <s v="Printer"/>
    <x v="2"/>
    <n v="10"/>
    <n v="325.97000000000003"/>
    <s v="Store D"/>
    <s v="Retail"/>
    <n v="0"/>
    <x v="5"/>
    <n v="3259.7"/>
    <s v="Cash"/>
    <s v="FREESHIP"/>
    <n v="1"/>
    <s v="REG100386"/>
    <s v="Cust 4770"/>
    <n v="49.95"/>
    <d v="2024-07-15T00:00:00"/>
    <d v="2024-07-22T00:00:00"/>
    <s v="Eric"/>
    <n v="3259.7"/>
    <n v="3259.7000000000003"/>
    <n v="0"/>
    <x v="0"/>
    <x v="10"/>
  </r>
  <r>
    <d v="2024-08-30T00:00:00"/>
    <x v="1"/>
    <x v="0"/>
    <s v="Laptop"/>
    <s v="Laptop"/>
    <x v="0"/>
    <n v="17"/>
    <n v="469.32"/>
    <s v="Store B"/>
    <s v="Retail"/>
    <n v="0"/>
    <x v="3"/>
    <n v="7978.44"/>
    <s v="Gift Card"/>
    <s v="WINTER15"/>
    <n v="1"/>
    <s v="REG100387"/>
    <s v="Cust 2007"/>
    <n v="5.86"/>
    <d v="2024-08-30T00:00:00"/>
    <d v="2024-09-01T00:00:00"/>
    <s v="Sophie"/>
    <n v="7978.44"/>
    <n v="7978.44"/>
    <n v="0"/>
    <x v="0"/>
    <x v="29"/>
  </r>
  <r>
    <d v="2025-01-07T00:00:00"/>
    <x v="3"/>
    <x v="1"/>
    <s v="Phone"/>
    <s v="Phone"/>
    <x v="0"/>
    <n v="13"/>
    <n v="186.69"/>
    <s v="Store D"/>
    <s v="Wholesale"/>
    <n v="0"/>
    <x v="5"/>
    <n v="2426.9699999999998"/>
    <s v="Cash"/>
    <s v="FREESHIP"/>
    <n v="0"/>
    <s v="REG100388"/>
    <s v="Cust 8909"/>
    <n v="19.920000000000002"/>
    <d v="2025-01-07T00:00:00"/>
    <d v="2025-01-10T00:00:00"/>
    <s v="Cameron"/>
    <n v="2426.9699999999998"/>
    <n v="2426.9699999999998"/>
    <n v="0"/>
    <x v="0"/>
    <x v="12"/>
  </r>
  <r>
    <d v="2025-02-05T00:00:00"/>
    <x v="1"/>
    <x v="1"/>
    <s v="Phone"/>
    <s v="Phone"/>
    <x v="0"/>
    <n v="16"/>
    <n v="34.659999999999997"/>
    <s v="Store C"/>
    <s v="Retail"/>
    <n v="0.05"/>
    <x v="1"/>
    <n v="526.83199999999988"/>
    <s v="Debit Card"/>
    <m/>
    <n v="0"/>
    <s v="REG100389"/>
    <s v="Cust 4196"/>
    <n v="49.9"/>
    <d v="2025-02-05T00:00:00"/>
    <d v="2025-02-11T00:00:00"/>
    <s v="Sophie"/>
    <n v="500.49039999999985"/>
    <n v="554.55999999999995"/>
    <n v="54.069600000000094"/>
    <x v="1"/>
    <x v="3"/>
  </r>
  <r>
    <d v="2024-04-01T00:00:00"/>
    <x v="2"/>
    <x v="6"/>
    <s v="Printer"/>
    <s v="Printer"/>
    <x v="2"/>
    <n v="18"/>
    <n v="155.04"/>
    <s v="Store B"/>
    <s v="Wholesale"/>
    <n v="0.15"/>
    <x v="2"/>
    <n v="2372.1120000000001"/>
    <s v="Cash"/>
    <s v="WINTER15"/>
    <n v="0"/>
    <s v="REG100390"/>
    <s v="Cust 4189"/>
    <n v="39.99"/>
    <d v="2024-04-01T00:00:00"/>
    <d v="2024-04-04T00:00:00"/>
    <s v="Ryan"/>
    <n v="2016.2952"/>
    <n v="2790.72"/>
    <n v="774.42479999999978"/>
    <x v="2"/>
    <x v="9"/>
  </r>
  <r>
    <d v="2025-03-01T00:00:00"/>
    <x v="4"/>
    <x v="4"/>
    <s v="Monitor"/>
    <s v="Monitor"/>
    <x v="0"/>
    <n v="4"/>
    <n v="69.599999999999994"/>
    <s v="Store D"/>
    <s v="Wholesale"/>
    <n v="0.05"/>
    <x v="0"/>
    <n v="264.48"/>
    <s v="Gift Card"/>
    <s v="SAVE10"/>
    <n v="0"/>
    <s v="REG100391"/>
    <s v="Cust 7226"/>
    <n v="17.68"/>
    <d v="2025-03-01T00:00:00"/>
    <d v="2025-03-09T00:00:00"/>
    <s v="Wendy"/>
    <n v="251.256"/>
    <n v="278.39999999999998"/>
    <n v="27.143999999999977"/>
    <x v="1"/>
    <x v="8"/>
  </r>
  <r>
    <d v="2023-07-03T00:00:00"/>
    <x v="3"/>
    <x v="4"/>
    <s v="Monitor"/>
    <s v="Monitor"/>
    <x v="0"/>
    <n v="13"/>
    <n v="55.09"/>
    <s v="Store A"/>
    <s v="Wholesale"/>
    <n v="0.15"/>
    <x v="4"/>
    <n v="608.74450000000002"/>
    <s v="Cash"/>
    <s v="FREESHIP"/>
    <n v="1"/>
    <s v="REG100392"/>
    <s v="Cust 5015"/>
    <n v="47.78"/>
    <d v="2023-07-03T00:00:00"/>
    <d v="2023-07-06T00:00:00"/>
    <s v="Cameron"/>
    <n v="517.43282499999998"/>
    <n v="716.17000000000007"/>
    <n v="198.73717500000009"/>
    <x v="2"/>
    <x v="11"/>
  </r>
  <r>
    <d v="2023-04-25T00:00:00"/>
    <x v="3"/>
    <x v="0"/>
    <s v="Laptop"/>
    <s v="Laptop"/>
    <x v="0"/>
    <n v="13"/>
    <n v="206.11"/>
    <s v="Store B"/>
    <s v="Retail"/>
    <n v="0.15"/>
    <x v="5"/>
    <n v="2277.5155"/>
    <s v="Gift Card"/>
    <s v="SAVE10"/>
    <n v="1"/>
    <s v="REG100393"/>
    <s v="Cust 9904"/>
    <n v="22.59"/>
    <d v="2023-04-25T00:00:00"/>
    <d v="2023-05-01T00:00:00"/>
    <s v="Cameron"/>
    <n v="1935.8881749999998"/>
    <n v="2679.4300000000003"/>
    <n v="743.54182500000047"/>
    <x v="2"/>
    <x v="21"/>
  </r>
  <r>
    <d v="2025-04-09T00:00:00"/>
    <x v="4"/>
    <x v="5"/>
    <s v="Tablet"/>
    <s v="Tablet"/>
    <x v="0"/>
    <n v="14"/>
    <n v="484.38"/>
    <s v="Store D"/>
    <s v="Retail"/>
    <n v="0.05"/>
    <x v="2"/>
    <n v="6442.253999999999"/>
    <s v="Debit Card"/>
    <s v="SAVE10"/>
    <n v="0"/>
    <s v="REG100394"/>
    <s v="Cust 7687"/>
    <n v="29.24"/>
    <d v="2025-04-09T00:00:00"/>
    <d v="2025-04-19T00:00:00"/>
    <s v="Wendy"/>
    <n v="6120.1412999999984"/>
    <n v="6781.32"/>
    <n v="661.1787000000013"/>
    <x v="1"/>
    <x v="28"/>
  </r>
  <r>
    <d v="2023-11-05T00:00:00"/>
    <x v="2"/>
    <x v="4"/>
    <s v="Monitor"/>
    <s v="Monitor"/>
    <x v="0"/>
    <n v="6"/>
    <n v="449.57"/>
    <s v="Store D"/>
    <s v="Wholesale"/>
    <n v="0"/>
    <x v="2"/>
    <n v="2697.42"/>
    <s v="Gift Card"/>
    <s v="WINTER15"/>
    <n v="0"/>
    <s v="REG100395"/>
    <s v="Cust 6511"/>
    <n v="23.09"/>
    <d v="2023-11-05T00:00:00"/>
    <d v="2023-11-12T00:00:00"/>
    <s v="Ryan"/>
    <n v="2697.42"/>
    <n v="2697.42"/>
    <n v="0"/>
    <x v="0"/>
    <x v="15"/>
  </r>
  <r>
    <d v="2023-01-13T00:00:00"/>
    <x v="0"/>
    <x v="0"/>
    <s v="Laptop"/>
    <s v="Laptop"/>
    <x v="0"/>
    <n v="9"/>
    <n v="223.01"/>
    <s v="Store C"/>
    <s v="Retail"/>
    <n v="0"/>
    <x v="4"/>
    <n v="2007.09"/>
    <s v="Cash"/>
    <m/>
    <n v="1"/>
    <s v="REG100396"/>
    <s v="Cust 2412"/>
    <n v="11.9"/>
    <d v="2023-01-13T00:00:00"/>
    <d v="2023-01-19T00:00:00"/>
    <s v="Eric"/>
    <n v="2007.09"/>
    <n v="2007.09"/>
    <n v="0"/>
    <x v="0"/>
    <x v="6"/>
  </r>
  <r>
    <d v="2025-02-06T00:00:00"/>
    <x v="4"/>
    <x v="3"/>
    <s v="Chair"/>
    <s v="Chair"/>
    <x v="1"/>
    <n v="14"/>
    <n v="291.91000000000003"/>
    <s v="Store A"/>
    <s v="Retail"/>
    <n v="0.15"/>
    <x v="2"/>
    <n v="3473.7289999999998"/>
    <s v="Credit Card"/>
    <m/>
    <n v="0"/>
    <s v="REG100397"/>
    <s v="Cust 1664"/>
    <n v="27.51"/>
    <d v="2025-02-06T00:00:00"/>
    <d v="2025-02-10T00:00:00"/>
    <s v="Wendy"/>
    <n v="2952.6696499999998"/>
    <n v="4086.7400000000002"/>
    <n v="1134.0703500000004"/>
    <x v="2"/>
    <x v="3"/>
  </r>
  <r>
    <d v="2023-05-20T00:00:00"/>
    <x v="1"/>
    <x v="4"/>
    <s v="Monitor"/>
    <s v="Monitor"/>
    <x v="0"/>
    <n v="13"/>
    <n v="90.86"/>
    <s v="Store A"/>
    <s v="Wholesale"/>
    <n v="0"/>
    <x v="3"/>
    <n v="1181.18"/>
    <s v="Gift Card"/>
    <s v="SAVE10"/>
    <n v="0"/>
    <s v="REG100398"/>
    <s v="Cust 6033"/>
    <n v="16.739999999999998"/>
    <d v="2023-05-20T00:00:00"/>
    <d v="2023-05-25T00:00:00"/>
    <s v="Sophie"/>
    <n v="1181.18"/>
    <n v="1181.18"/>
    <n v="0"/>
    <x v="0"/>
    <x v="2"/>
  </r>
  <r>
    <d v="2025-06-18T00:00:00"/>
    <x v="0"/>
    <x v="2"/>
    <s v="Desk"/>
    <s v="Desk"/>
    <x v="1"/>
    <n v="4"/>
    <n v="109.05"/>
    <s v="Store D"/>
    <s v="Wholesale"/>
    <n v="0"/>
    <x v="4"/>
    <n v="436.2"/>
    <s v="Gift Card"/>
    <s v="WINTER15"/>
    <n v="0"/>
    <s v="REG100399"/>
    <s v="Cust 4019"/>
    <n v="21.02"/>
    <d v="2025-06-18T00:00:00"/>
    <d v="2025-06-24T00:00:00"/>
    <s v="Eric"/>
    <n v="436.2"/>
    <n v="436.2"/>
    <n v="0"/>
    <x v="0"/>
    <x v="16"/>
  </r>
  <r>
    <d v="2023-02-23T00:00:00"/>
    <x v="4"/>
    <x v="5"/>
    <s v="Tablet"/>
    <s v="Tablet"/>
    <x v="0"/>
    <n v="12"/>
    <n v="245.6"/>
    <s v="Store D"/>
    <s v="Retail"/>
    <n v="0"/>
    <x v="5"/>
    <n v="2947.2"/>
    <s v="Cash"/>
    <s v="FREESHIP"/>
    <n v="1"/>
    <s v="REG100400"/>
    <s v="Cust 4515"/>
    <n v="43.92"/>
    <d v="2023-02-23T00:00:00"/>
    <d v="2023-02-27T00:00:00"/>
    <s v="Wendy"/>
    <n v="2947.2"/>
    <n v="2947.2"/>
    <n v="0"/>
    <x v="0"/>
    <x v="0"/>
  </r>
  <r>
    <d v="2024-11-09T00:00:00"/>
    <x v="0"/>
    <x v="6"/>
    <s v="Printer"/>
    <s v="Printer"/>
    <x v="2"/>
    <n v="15"/>
    <n v="380.03"/>
    <s v="Store A"/>
    <s v="Retail"/>
    <n v="0"/>
    <x v="5"/>
    <n v="5700.45"/>
    <s v="Online"/>
    <m/>
    <n v="0"/>
    <s v="REG100401"/>
    <s v="Cust 7532"/>
    <n v="25.72"/>
    <d v="2024-11-09T00:00:00"/>
    <d v="2024-11-12T00:00:00"/>
    <s v="Eric"/>
    <n v="5700.45"/>
    <n v="5700.45"/>
    <n v="0"/>
    <x v="0"/>
    <x v="20"/>
  </r>
  <r>
    <d v="2024-07-25T00:00:00"/>
    <x v="1"/>
    <x v="5"/>
    <s v="Tablet"/>
    <s v="Tablet"/>
    <x v="0"/>
    <n v="3"/>
    <n v="417.58"/>
    <s v="Store D"/>
    <s v="Retail"/>
    <n v="0.05"/>
    <x v="2"/>
    <n v="1190.1030000000001"/>
    <s v="Gift Card"/>
    <s v="SAVE10"/>
    <n v="0"/>
    <s v="REG100402"/>
    <s v="Cust 8756"/>
    <n v="43.42"/>
    <d v="2024-07-25T00:00:00"/>
    <d v="2024-07-31T00:00:00"/>
    <s v="Sophie"/>
    <n v="1130.5978500000001"/>
    <n v="1252.74"/>
    <n v="122.1421499999999"/>
    <x v="1"/>
    <x v="10"/>
  </r>
  <r>
    <d v="2023-08-19T00:00:00"/>
    <x v="4"/>
    <x v="0"/>
    <s v="Laptop"/>
    <s v="Laptop"/>
    <x v="0"/>
    <n v="15"/>
    <n v="432.17"/>
    <s v="Store D"/>
    <s v="Wholesale"/>
    <n v="0.15"/>
    <x v="2"/>
    <n v="5510.1674999999996"/>
    <s v="Debit Card"/>
    <s v="WINTER15"/>
    <n v="0"/>
    <s v="REG100403"/>
    <s v="Cust 7620"/>
    <n v="44.88"/>
    <d v="2023-08-19T00:00:00"/>
    <d v="2023-08-23T00:00:00"/>
    <s v="Wendy"/>
    <n v="4683.6423749999994"/>
    <n v="6482.55"/>
    <n v="1798.9076250000007"/>
    <x v="2"/>
    <x v="18"/>
  </r>
  <r>
    <d v="2023-11-13T00:00:00"/>
    <x v="1"/>
    <x v="4"/>
    <s v="Monitor"/>
    <s v="Monitor"/>
    <x v="0"/>
    <n v="13"/>
    <n v="531.77"/>
    <s v="Store C"/>
    <s v="Retail"/>
    <n v="0.1"/>
    <x v="5"/>
    <n v="6221.7090000000007"/>
    <s v="Online"/>
    <s v="SAVE10"/>
    <n v="0"/>
    <s v="REG100404"/>
    <s v="Cust 7368"/>
    <n v="37.909999999999997"/>
    <d v="2023-11-13T00:00:00"/>
    <d v="2023-11-15T00:00:00"/>
    <s v="Sophie"/>
    <n v="5599.5381000000007"/>
    <n v="6913.01"/>
    <n v="1313.4718999999996"/>
    <x v="1"/>
    <x v="15"/>
  </r>
  <r>
    <d v="2024-09-10T00:00:00"/>
    <x v="4"/>
    <x v="5"/>
    <s v="Tablet"/>
    <s v="Tablet"/>
    <x v="0"/>
    <n v="13"/>
    <n v="442.99"/>
    <s v="Store A"/>
    <s v="Wholesale"/>
    <n v="0.05"/>
    <x v="1"/>
    <n v="5470.9264999999996"/>
    <s v="Gift Card"/>
    <s v="SAVE10"/>
    <n v="0"/>
    <s v="REG100405"/>
    <s v="Cust 1319"/>
    <n v="37.119999999999997"/>
    <d v="2024-09-10T00:00:00"/>
    <d v="2024-09-18T00:00:00"/>
    <s v="Wendy"/>
    <n v="5197.3801749999993"/>
    <n v="5758.87"/>
    <n v="561.48982500000056"/>
    <x v="1"/>
    <x v="26"/>
  </r>
  <r>
    <d v="2024-08-30T00:00:00"/>
    <x v="3"/>
    <x v="3"/>
    <s v="Chair"/>
    <s v="Chair"/>
    <x v="1"/>
    <n v="13"/>
    <n v="567.5"/>
    <s v="Store A"/>
    <s v="Retail"/>
    <n v="0"/>
    <x v="0"/>
    <n v="7377.5"/>
    <s v="Credit Card"/>
    <m/>
    <n v="0"/>
    <s v="REG100406"/>
    <s v="Cust 9597"/>
    <n v="28.41"/>
    <d v="2024-08-30T00:00:00"/>
    <d v="2024-09-02T00:00:00"/>
    <s v="Cameron"/>
    <n v="7377.5"/>
    <n v="7377.5"/>
    <n v="0"/>
    <x v="0"/>
    <x v="29"/>
  </r>
  <r>
    <d v="2024-11-10T00:00:00"/>
    <x v="0"/>
    <x v="5"/>
    <s v="Tablet"/>
    <s v="Tablet"/>
    <x v="0"/>
    <n v="15"/>
    <n v="469.52"/>
    <s v="Store C"/>
    <s v="Wholesale"/>
    <n v="0"/>
    <x v="1"/>
    <n v="7042.7999999999993"/>
    <s v="Credit Card"/>
    <s v="FREESHIP"/>
    <n v="0"/>
    <s v="REG100407"/>
    <s v="Cust 7369"/>
    <n v="35.6"/>
    <d v="2024-11-10T00:00:00"/>
    <d v="2024-11-17T00:00:00"/>
    <s v="Eric"/>
    <n v="7042.7999999999993"/>
    <n v="7042.7999999999993"/>
    <n v="0"/>
    <x v="0"/>
    <x v="20"/>
  </r>
  <r>
    <d v="2023-04-13T00:00:00"/>
    <x v="0"/>
    <x v="6"/>
    <s v="Printer"/>
    <s v="Printer"/>
    <x v="2"/>
    <n v="1"/>
    <n v="396.09"/>
    <s v="Store D"/>
    <s v="Wholesale"/>
    <n v="0.15"/>
    <x v="2"/>
    <n v="336.67649999999998"/>
    <s v="Credit Card"/>
    <s v="WINTER15"/>
    <n v="0"/>
    <s v="REG100408"/>
    <s v="Cust 8592"/>
    <n v="39.380000000000003"/>
    <d v="2023-04-13T00:00:00"/>
    <d v="2023-04-19T00:00:00"/>
    <s v="Eric"/>
    <n v="286.17502499999995"/>
    <n v="396.09"/>
    <n v="109.91497500000003"/>
    <x v="2"/>
    <x v="21"/>
  </r>
  <r>
    <d v="2023-11-20T00:00:00"/>
    <x v="0"/>
    <x v="0"/>
    <s v="Laptop"/>
    <s v="Laptop"/>
    <x v="0"/>
    <n v="12"/>
    <n v="195.73"/>
    <s v="Store C"/>
    <s v="Wholesale"/>
    <n v="0.05"/>
    <x v="1"/>
    <n v="2231.3220000000001"/>
    <s v="Cash"/>
    <s v="SAVE10"/>
    <n v="0"/>
    <s v="REG100409"/>
    <s v="Cust 2337"/>
    <n v="37.090000000000003"/>
    <d v="2023-11-20T00:00:00"/>
    <d v="2023-11-27T00:00:00"/>
    <s v="Eric"/>
    <n v="2119.7559000000001"/>
    <n v="2348.7599999999998"/>
    <n v="229.00409999999965"/>
    <x v="1"/>
    <x v="15"/>
  </r>
  <r>
    <d v="2025-04-14T00:00:00"/>
    <x v="2"/>
    <x v="6"/>
    <s v="Printer"/>
    <s v="Printer"/>
    <x v="2"/>
    <n v="5"/>
    <n v="412.24"/>
    <s v="Store B"/>
    <s v="Wholesale"/>
    <n v="0.15"/>
    <x v="3"/>
    <n v="1752.02"/>
    <s v="Cash"/>
    <s v="FREESHIP"/>
    <n v="0"/>
    <s v="REG100410"/>
    <s v="Cust 9697"/>
    <n v="29.31"/>
    <d v="2025-04-14T00:00:00"/>
    <d v="2025-04-19T00:00:00"/>
    <s v="Ryan"/>
    <n v="1489.2169999999999"/>
    <n v="2061.1999999999998"/>
    <n v="571.98299999999995"/>
    <x v="2"/>
    <x v="28"/>
  </r>
  <r>
    <d v="2023-03-04T00:00:00"/>
    <x v="3"/>
    <x v="4"/>
    <s v="Monitor"/>
    <s v="Monitor"/>
    <x v="0"/>
    <n v="11"/>
    <n v="558.5"/>
    <s v="Store B"/>
    <s v="Retail"/>
    <n v="0.15"/>
    <x v="3"/>
    <n v="5221.9749999999995"/>
    <s v="Cash"/>
    <s v="WINTER15"/>
    <n v="0"/>
    <s v="REG100411"/>
    <s v="Cust 5895"/>
    <n v="48.15"/>
    <d v="2023-03-04T00:00:00"/>
    <d v="2023-03-09T00:00:00"/>
    <s v="Cameron"/>
    <n v="4438.6787499999991"/>
    <n v="6143.5"/>
    <n v="1704.8212500000009"/>
    <x v="2"/>
    <x v="17"/>
  </r>
  <r>
    <d v="2024-11-16T00:00:00"/>
    <x v="2"/>
    <x v="0"/>
    <s v="Laptop"/>
    <s v="Laptop"/>
    <x v="0"/>
    <n v="4"/>
    <n v="175.34"/>
    <s v="Store C"/>
    <s v="Retail"/>
    <n v="0.15"/>
    <x v="0"/>
    <n v="596.15599999999995"/>
    <s v="Cash"/>
    <s v="FREESHIP"/>
    <n v="0"/>
    <s v="REG100412"/>
    <s v="Cust 9097"/>
    <n v="40.86"/>
    <d v="2024-11-16T00:00:00"/>
    <d v="2024-11-19T00:00:00"/>
    <s v="Ryan"/>
    <n v="506.73259999999993"/>
    <n v="701.36"/>
    <n v="194.62740000000008"/>
    <x v="2"/>
    <x v="20"/>
  </r>
  <r>
    <d v="2024-05-25T00:00:00"/>
    <x v="1"/>
    <x v="0"/>
    <s v="Laptop"/>
    <s v="Laptop"/>
    <x v="0"/>
    <n v="19"/>
    <n v="478.73"/>
    <s v="Store A"/>
    <s v="Retail"/>
    <n v="0"/>
    <x v="2"/>
    <n v="9095.8700000000008"/>
    <s v="Debit Card"/>
    <s v="WINTER15"/>
    <n v="1"/>
    <s v="REG100413"/>
    <s v="Cust 5938"/>
    <n v="46.46"/>
    <d v="2024-05-25T00:00:00"/>
    <d v="2024-06-02T00:00:00"/>
    <s v="Sophie"/>
    <n v="9095.8700000000008"/>
    <n v="9095.8700000000008"/>
    <n v="0"/>
    <x v="0"/>
    <x v="14"/>
  </r>
  <r>
    <d v="2023-04-12T00:00:00"/>
    <x v="0"/>
    <x v="2"/>
    <s v="Desk"/>
    <s v="Desk"/>
    <x v="1"/>
    <n v="5"/>
    <n v="365.38"/>
    <s v="Store D"/>
    <s v="Wholesale"/>
    <n v="0.15"/>
    <x v="1"/>
    <n v="1552.865"/>
    <s v="Debit Card"/>
    <s v="SAVE10"/>
    <n v="1"/>
    <s v="REG100414"/>
    <s v="Cust 6928"/>
    <n v="5.66"/>
    <d v="2023-04-12T00:00:00"/>
    <d v="2023-04-15T00:00:00"/>
    <s v="Eric"/>
    <n v="1319.93525"/>
    <n v="1826.9"/>
    <n v="506.96475000000009"/>
    <x v="2"/>
    <x v="21"/>
  </r>
  <r>
    <d v="2023-03-07T00:00:00"/>
    <x v="1"/>
    <x v="2"/>
    <s v="Desk"/>
    <s v="Desk"/>
    <x v="1"/>
    <n v="10"/>
    <n v="397.33"/>
    <s v="Store B"/>
    <s v="Retail"/>
    <n v="0.15"/>
    <x v="1"/>
    <n v="3377.3049999999998"/>
    <s v="Credit Card"/>
    <m/>
    <n v="0"/>
    <s v="REG100415"/>
    <s v="Cust 6223"/>
    <n v="10.199999999999999"/>
    <d v="2023-03-07T00:00:00"/>
    <d v="2023-03-13T00:00:00"/>
    <s v="Sophie"/>
    <n v="2870.7092499999999"/>
    <n v="3973.2999999999997"/>
    <n v="1102.5907499999998"/>
    <x v="2"/>
    <x v="17"/>
  </r>
  <r>
    <d v="2024-01-05T00:00:00"/>
    <x v="3"/>
    <x v="3"/>
    <s v="Chair"/>
    <s v="Chair"/>
    <x v="1"/>
    <n v="17"/>
    <n v="241.01"/>
    <s v="Store A"/>
    <s v="Retail"/>
    <n v="0.1"/>
    <x v="5"/>
    <n v="3687.453"/>
    <s v="Debit Card"/>
    <s v="WINTER15"/>
    <n v="0"/>
    <s v="REG100416"/>
    <s v="Cust 7614"/>
    <n v="24.69"/>
    <d v="2024-01-05T00:00:00"/>
    <d v="2024-01-11T00:00:00"/>
    <s v="Cameron"/>
    <n v="3318.7076999999999"/>
    <n v="4097.17"/>
    <n v="778.46230000000014"/>
    <x v="1"/>
    <x v="24"/>
  </r>
  <r>
    <d v="2024-10-31T00:00:00"/>
    <x v="4"/>
    <x v="2"/>
    <s v="Desk"/>
    <s v="Desk"/>
    <x v="1"/>
    <n v="17"/>
    <n v="82.2"/>
    <s v="Store C"/>
    <s v="Wholesale"/>
    <n v="0"/>
    <x v="1"/>
    <n v="1397.4"/>
    <s v="Cash"/>
    <s v="WINTER15"/>
    <n v="0"/>
    <s v="REG100417"/>
    <s v="Cust 3231"/>
    <n v="32.5"/>
    <d v="2024-10-31T00:00:00"/>
    <d v="2024-11-10T00:00:00"/>
    <s v="Wendy"/>
    <n v="1397.4"/>
    <n v="1397.4"/>
    <n v="0"/>
    <x v="0"/>
    <x v="7"/>
  </r>
  <r>
    <d v="2024-05-08T00:00:00"/>
    <x v="4"/>
    <x v="4"/>
    <s v="Monitor"/>
    <s v="Monitor"/>
    <x v="0"/>
    <n v="16"/>
    <n v="170.77"/>
    <s v="Store C"/>
    <s v="Retail"/>
    <n v="0.1"/>
    <x v="2"/>
    <n v="2459.0880000000002"/>
    <s v="Online"/>
    <s v="SAVE10"/>
    <n v="1"/>
    <s v="REG100418"/>
    <s v="Cust 9123"/>
    <n v="45.93"/>
    <d v="2024-05-08T00:00:00"/>
    <d v="2024-05-14T00:00:00"/>
    <s v="Wendy"/>
    <n v="2213.1792"/>
    <n v="2732.32"/>
    <n v="519.14080000000013"/>
    <x v="1"/>
    <x v="14"/>
  </r>
  <r>
    <d v="2024-03-05T00:00:00"/>
    <x v="3"/>
    <x v="4"/>
    <s v="Monitor"/>
    <s v="Monitor"/>
    <x v="0"/>
    <n v="1"/>
    <n v="8.1999999999999993"/>
    <s v="Store C"/>
    <s v="Wholesale"/>
    <n v="0.15"/>
    <x v="2"/>
    <n v="6.9699999999999989"/>
    <s v="Debit Card"/>
    <m/>
    <n v="0"/>
    <s v="REG100419"/>
    <s v="Cust 7054"/>
    <n v="30.35"/>
    <d v="2024-03-05T00:00:00"/>
    <d v="2024-03-15T00:00:00"/>
    <s v="Cameron"/>
    <n v="5.9244999999999992"/>
    <n v="8.1999999999999993"/>
    <n v="2.2755000000000001"/>
    <x v="2"/>
    <x v="25"/>
  </r>
  <r>
    <d v="2023-07-18T00:00:00"/>
    <x v="2"/>
    <x v="0"/>
    <s v="Laptop"/>
    <s v="Laptop"/>
    <x v="0"/>
    <n v="12"/>
    <n v="425.78"/>
    <s v="Store A"/>
    <s v="Retail"/>
    <n v="0.1"/>
    <x v="5"/>
    <n v="4598.424"/>
    <s v="Online"/>
    <m/>
    <n v="1"/>
    <s v="REG100420"/>
    <s v="Cust 4240"/>
    <n v="25.48"/>
    <d v="2023-07-18T00:00:00"/>
    <d v="2023-07-22T00:00:00"/>
    <s v="Ryan"/>
    <n v="4138.5816000000004"/>
    <n v="5109.3599999999997"/>
    <n v="970.77839999999924"/>
    <x v="1"/>
    <x v="11"/>
  </r>
  <r>
    <d v="2023-08-05T00:00:00"/>
    <x v="1"/>
    <x v="6"/>
    <s v="Printer"/>
    <s v="Printer"/>
    <x v="2"/>
    <n v="20"/>
    <n v="121.14"/>
    <s v="Store C"/>
    <s v="Retail"/>
    <n v="0.1"/>
    <x v="5"/>
    <n v="2180.52"/>
    <s v="Credit Card"/>
    <s v="FREESHIP"/>
    <n v="0"/>
    <s v="REG100421"/>
    <s v="Cust 1237"/>
    <n v="21.47"/>
    <d v="2023-08-05T00:00:00"/>
    <d v="2023-08-14T00:00:00"/>
    <s v="Sophie"/>
    <n v="1962.4680000000001"/>
    <n v="2422.8000000000002"/>
    <n v="460.33200000000011"/>
    <x v="1"/>
    <x v="18"/>
  </r>
  <r>
    <d v="2023-09-18T00:00:00"/>
    <x v="4"/>
    <x v="5"/>
    <s v="Tablet"/>
    <s v="Tablet"/>
    <x v="0"/>
    <n v="19"/>
    <n v="448.13"/>
    <s v="Store D"/>
    <s v="Wholesale"/>
    <n v="0"/>
    <x v="1"/>
    <n v="8514.4699999999993"/>
    <s v="Debit Card"/>
    <s v="FREESHIP"/>
    <n v="0"/>
    <s v="REG100422"/>
    <s v="Cust 5513"/>
    <n v="28.29"/>
    <d v="2023-09-18T00:00:00"/>
    <d v="2023-09-20T00:00:00"/>
    <s v="Wendy"/>
    <n v="8514.4699999999993"/>
    <n v="8514.4699999999993"/>
    <n v="0"/>
    <x v="0"/>
    <x v="22"/>
  </r>
  <r>
    <d v="2023-03-27T00:00:00"/>
    <x v="1"/>
    <x v="0"/>
    <s v="Laptop"/>
    <s v="Laptop"/>
    <x v="0"/>
    <n v="8"/>
    <n v="7.81"/>
    <s v="Store D"/>
    <s v="Wholesale"/>
    <n v="0.1"/>
    <x v="2"/>
    <n v="56.231999999999999"/>
    <s v="Online"/>
    <s v="SAVE10"/>
    <n v="0"/>
    <s v="REG100423"/>
    <s v="Cust 1835"/>
    <n v="25.03"/>
    <d v="2023-03-27T00:00:00"/>
    <d v="2023-03-29T00:00:00"/>
    <s v="Sophie"/>
    <n v="50.608800000000002"/>
    <n v="62.48"/>
    <n v="11.871199999999995"/>
    <x v="1"/>
    <x v="17"/>
  </r>
  <r>
    <d v="2023-03-08T00:00:00"/>
    <x v="0"/>
    <x v="3"/>
    <s v="Chair"/>
    <s v="Chair"/>
    <x v="1"/>
    <n v="19"/>
    <n v="191.44"/>
    <s v="Store C"/>
    <s v="Wholesale"/>
    <n v="0.15"/>
    <x v="3"/>
    <n v="3091.7559999999999"/>
    <s v="Cash"/>
    <s v="WINTER15"/>
    <n v="1"/>
    <s v="REG100424"/>
    <s v="Cust 8492"/>
    <n v="35.54"/>
    <d v="2023-03-08T00:00:00"/>
    <d v="2023-03-17T00:00:00"/>
    <s v="Eric"/>
    <n v="2627.9925999999996"/>
    <n v="3637.36"/>
    <n v="1009.3674000000005"/>
    <x v="2"/>
    <x v="17"/>
  </r>
  <r>
    <d v="2024-05-02T00:00:00"/>
    <x v="4"/>
    <x v="2"/>
    <s v="Desk"/>
    <s v="Desk"/>
    <x v="1"/>
    <n v="5"/>
    <n v="245.2"/>
    <s v="Store B"/>
    <s v="Retail"/>
    <n v="0.15"/>
    <x v="0"/>
    <n v="1042.0999999999999"/>
    <s v="Online"/>
    <m/>
    <n v="0"/>
    <s v="REG100425"/>
    <s v="Cust 2451"/>
    <n v="46.37"/>
    <d v="2024-05-02T00:00:00"/>
    <d v="2024-05-06T00:00:00"/>
    <s v="Wendy"/>
    <n v="885.78499999999985"/>
    <n v="1226"/>
    <n v="340.21500000000015"/>
    <x v="2"/>
    <x v="14"/>
  </r>
  <r>
    <d v="2023-09-16T00:00:00"/>
    <x v="2"/>
    <x v="2"/>
    <s v="Desk"/>
    <s v="Desk"/>
    <x v="1"/>
    <n v="17"/>
    <n v="163.37"/>
    <s v="Store B"/>
    <s v="Wholesale"/>
    <n v="0.15"/>
    <x v="0"/>
    <n v="2360.6965"/>
    <s v="Gift Card"/>
    <s v="SAVE10"/>
    <n v="0"/>
    <s v="REG100426"/>
    <s v="Cust 4509"/>
    <n v="5.36"/>
    <d v="2023-09-16T00:00:00"/>
    <d v="2023-09-26T00:00:00"/>
    <s v="Ryan"/>
    <n v="2006.5920249999999"/>
    <n v="2777.29"/>
    <n v="770.69797500000004"/>
    <x v="2"/>
    <x v="22"/>
  </r>
  <r>
    <d v="2023-06-13T00:00:00"/>
    <x v="1"/>
    <x v="5"/>
    <s v="Tablet"/>
    <s v="Tablet"/>
    <x v="0"/>
    <n v="14"/>
    <n v="583.96"/>
    <s v="Store C"/>
    <s v="Retail"/>
    <n v="0"/>
    <x v="4"/>
    <n v="8175.4400000000014"/>
    <s v="Debit Card"/>
    <s v="WINTER15"/>
    <n v="0"/>
    <s v="REG100427"/>
    <s v="Cust 6643"/>
    <n v="23.03"/>
    <d v="2023-06-13T00:00:00"/>
    <d v="2023-06-22T00:00:00"/>
    <s v="Sophie"/>
    <n v="8175.4400000000014"/>
    <n v="8175.4400000000005"/>
    <n v="0"/>
    <x v="0"/>
    <x v="4"/>
  </r>
  <r>
    <d v="2023-11-05T00:00:00"/>
    <x v="2"/>
    <x v="2"/>
    <s v="Desk"/>
    <s v="Desk"/>
    <x v="1"/>
    <n v="16"/>
    <n v="181.08"/>
    <s v="Store C"/>
    <s v="Retail"/>
    <n v="0.1"/>
    <x v="3"/>
    <n v="2607.5520000000001"/>
    <s v="Online"/>
    <s v="WINTER15"/>
    <n v="0"/>
    <s v="REG100428"/>
    <s v="Cust 2559"/>
    <n v="39.840000000000003"/>
    <d v="2023-11-05T00:00:00"/>
    <d v="2023-11-08T00:00:00"/>
    <s v="Ryan"/>
    <n v="2346.7968000000001"/>
    <n v="2897.28"/>
    <n v="550.48320000000012"/>
    <x v="1"/>
    <x v="15"/>
  </r>
  <r>
    <d v="2024-11-23T00:00:00"/>
    <x v="1"/>
    <x v="5"/>
    <s v="Tablet"/>
    <s v="Tablet"/>
    <x v="0"/>
    <n v="8"/>
    <n v="414.94"/>
    <s v="Store A"/>
    <s v="Wholesale"/>
    <n v="0"/>
    <x v="1"/>
    <n v="3319.52"/>
    <s v="Debit Card"/>
    <s v="SAVE10"/>
    <n v="0"/>
    <s v="REG100429"/>
    <s v="Cust 4423"/>
    <n v="46.58"/>
    <d v="2024-11-23T00:00:00"/>
    <d v="2024-11-26T00:00:00"/>
    <s v="Sophie"/>
    <n v="3319.52"/>
    <n v="3319.52"/>
    <n v="0"/>
    <x v="0"/>
    <x v="20"/>
  </r>
  <r>
    <d v="2024-02-09T00:00:00"/>
    <x v="3"/>
    <x v="1"/>
    <s v="Phone"/>
    <s v="Phone"/>
    <x v="0"/>
    <n v="16"/>
    <n v="442.22"/>
    <s v="Store B"/>
    <s v="Retail"/>
    <n v="0"/>
    <x v="1"/>
    <n v="7075.52"/>
    <s v="Cash"/>
    <s v="FREESHIP"/>
    <n v="0"/>
    <s v="REG100430"/>
    <s v="Cust 9139"/>
    <n v="27.36"/>
    <d v="2024-02-09T00:00:00"/>
    <d v="2024-02-18T00:00:00"/>
    <s v="Cameron"/>
    <n v="7075.52"/>
    <n v="7075.52"/>
    <n v="0"/>
    <x v="0"/>
    <x v="5"/>
  </r>
  <r>
    <d v="2023-11-16T00:00:00"/>
    <x v="3"/>
    <x v="6"/>
    <s v="Printer"/>
    <s v="Printer"/>
    <x v="2"/>
    <n v="14"/>
    <n v="595.39"/>
    <s v="Store A"/>
    <s v="Wholesale"/>
    <n v="0.1"/>
    <x v="5"/>
    <n v="7501.9139999999998"/>
    <s v="Credit Card"/>
    <s v="SAVE10"/>
    <n v="0"/>
    <s v="REG100431"/>
    <s v="Cust 6668"/>
    <n v="9.51"/>
    <d v="2023-11-16T00:00:00"/>
    <d v="2023-11-22T00:00:00"/>
    <s v="Cameron"/>
    <n v="6751.7226000000001"/>
    <n v="8335.4599999999991"/>
    <n v="1583.7373999999991"/>
    <x v="1"/>
    <x v="15"/>
  </r>
  <r>
    <d v="2025-01-24T00:00:00"/>
    <x v="3"/>
    <x v="4"/>
    <s v="Monitor"/>
    <s v="Monitor"/>
    <x v="0"/>
    <n v="6"/>
    <n v="175.3"/>
    <s v="Store A"/>
    <s v="Wholesale"/>
    <n v="0.15"/>
    <x v="1"/>
    <n v="894.03000000000009"/>
    <s v="Cash"/>
    <s v="SAVE10"/>
    <n v="1"/>
    <s v="REG100432"/>
    <s v="Cust 4315"/>
    <n v="17.920000000000002"/>
    <d v="2025-01-24T00:00:00"/>
    <d v="2025-01-29T00:00:00"/>
    <s v="Cameron"/>
    <n v="759.92550000000006"/>
    <n v="1051.8000000000002"/>
    <n v="291.87450000000013"/>
    <x v="2"/>
    <x v="12"/>
  </r>
  <r>
    <d v="2025-05-06T00:00:00"/>
    <x v="3"/>
    <x v="5"/>
    <s v="Tablet"/>
    <s v="Tablet"/>
    <x v="0"/>
    <n v="7"/>
    <n v="319.58999999999997"/>
    <s v="Store C"/>
    <s v="Wholesale"/>
    <n v="0.15"/>
    <x v="3"/>
    <n v="1901.5605"/>
    <s v="Gift Card"/>
    <s v="WINTER15"/>
    <n v="1"/>
    <s v="REG100433"/>
    <s v="Cust 8000"/>
    <n v="8.4700000000000006"/>
    <d v="2025-05-06T00:00:00"/>
    <d v="2025-05-09T00:00:00"/>
    <s v="Cameron"/>
    <n v="1616.326425"/>
    <n v="2237.1299999999997"/>
    <n v="620.80357499999968"/>
    <x v="2"/>
    <x v="13"/>
  </r>
  <r>
    <d v="2025-05-17T00:00:00"/>
    <x v="0"/>
    <x v="6"/>
    <s v="Printer"/>
    <s v="Printer"/>
    <x v="2"/>
    <n v="15"/>
    <n v="506.81"/>
    <s v="Store A"/>
    <s v="Retail"/>
    <n v="0.15"/>
    <x v="5"/>
    <n v="6461.8274999999994"/>
    <s v="Cash"/>
    <s v="FREESHIP"/>
    <n v="1"/>
    <s v="REG100434"/>
    <s v="Cust 7585"/>
    <n v="41.03"/>
    <d v="2025-05-17T00:00:00"/>
    <d v="2025-05-27T00:00:00"/>
    <s v="Eric"/>
    <n v="5492.5533749999995"/>
    <n v="7602.15"/>
    <n v="2109.5966250000001"/>
    <x v="2"/>
    <x v="13"/>
  </r>
  <r>
    <d v="2023-11-29T00:00:00"/>
    <x v="3"/>
    <x v="0"/>
    <s v="Laptop"/>
    <s v="Laptop"/>
    <x v="0"/>
    <n v="17"/>
    <n v="538.08000000000004"/>
    <s v="Store A"/>
    <s v="Retail"/>
    <n v="0.05"/>
    <x v="0"/>
    <n v="8689.9920000000002"/>
    <s v="Debit Card"/>
    <s v="FREESHIP"/>
    <n v="0"/>
    <s v="REG100435"/>
    <s v="Cust 3127"/>
    <n v="19.61"/>
    <d v="2023-11-29T00:00:00"/>
    <d v="2023-12-01T00:00:00"/>
    <s v="Cameron"/>
    <n v="8255.4923999999992"/>
    <n v="9147.36"/>
    <n v="891.8676000000014"/>
    <x v="1"/>
    <x v="15"/>
  </r>
  <r>
    <d v="2023-02-24T00:00:00"/>
    <x v="1"/>
    <x v="3"/>
    <s v="Chair"/>
    <s v="Chair"/>
    <x v="1"/>
    <n v="16"/>
    <n v="187.84"/>
    <s v="Store A"/>
    <s v="Retail"/>
    <n v="0"/>
    <x v="1"/>
    <n v="3005.44"/>
    <s v="Credit Card"/>
    <s v="SAVE10"/>
    <n v="0"/>
    <s v="REG100436"/>
    <s v="Cust 4130"/>
    <n v="18.649999999999999"/>
    <d v="2023-02-24T00:00:00"/>
    <d v="2023-02-26T00:00:00"/>
    <s v="Sophie"/>
    <n v="3005.44"/>
    <n v="3005.44"/>
    <n v="0"/>
    <x v="0"/>
    <x v="0"/>
  </r>
  <r>
    <d v="2023-11-04T00:00:00"/>
    <x v="1"/>
    <x v="0"/>
    <s v="Laptop"/>
    <s v="Laptop"/>
    <x v="0"/>
    <n v="18"/>
    <n v="426.3"/>
    <s v="Store A"/>
    <s v="Wholesale"/>
    <n v="0.15"/>
    <x v="3"/>
    <n v="6522.39"/>
    <s v="Credit Card"/>
    <m/>
    <n v="1"/>
    <s v="REG100437"/>
    <s v="Cust 6956"/>
    <n v="29.81"/>
    <d v="2023-11-04T00:00:00"/>
    <d v="2023-11-10T00:00:00"/>
    <s v="Sophie"/>
    <n v="5544.0315000000001"/>
    <n v="7673.4000000000005"/>
    <n v="2129.3685000000005"/>
    <x v="2"/>
    <x v="15"/>
  </r>
  <r>
    <d v="2024-06-15T00:00:00"/>
    <x v="0"/>
    <x v="2"/>
    <s v="Desk"/>
    <s v="Desk"/>
    <x v="1"/>
    <n v="1"/>
    <n v="498.35"/>
    <s v="Store B"/>
    <s v="Retail"/>
    <n v="0.1"/>
    <x v="1"/>
    <n v="448.51499999999999"/>
    <s v="Online"/>
    <s v="FREESHIP"/>
    <n v="0"/>
    <s v="REG100438"/>
    <s v="Cust 8155"/>
    <n v="34.700000000000003"/>
    <d v="2024-06-15T00:00:00"/>
    <d v="2024-06-22T00:00:00"/>
    <s v="Eric"/>
    <n v="403.6635"/>
    <n v="498.35"/>
    <n v="94.686500000000024"/>
    <x v="1"/>
    <x v="23"/>
  </r>
  <r>
    <d v="2024-10-02T00:00:00"/>
    <x v="2"/>
    <x v="5"/>
    <s v="Tablet"/>
    <s v="Tablet"/>
    <x v="0"/>
    <n v="19"/>
    <n v="385.72"/>
    <s v="Store A"/>
    <s v="Retail"/>
    <n v="0.05"/>
    <x v="3"/>
    <n v="6962.2460000000001"/>
    <s v="Cash"/>
    <s v="SAVE10"/>
    <n v="1"/>
    <s v="REG100439"/>
    <s v="Cust 8852"/>
    <n v="12.46"/>
    <d v="2024-10-02T00:00:00"/>
    <d v="2024-10-06T00:00:00"/>
    <s v="Ryan"/>
    <n v="6614.1336999999994"/>
    <n v="7328.68"/>
    <n v="714.54630000000088"/>
    <x v="1"/>
    <x v="7"/>
  </r>
  <r>
    <d v="2023-06-03T00:00:00"/>
    <x v="4"/>
    <x v="5"/>
    <s v="Tablet"/>
    <s v="Tablet"/>
    <x v="0"/>
    <n v="3"/>
    <n v="54.37"/>
    <s v="Store B"/>
    <s v="Wholesale"/>
    <n v="0.1"/>
    <x v="2"/>
    <n v="146.79900000000001"/>
    <s v="Credit Card"/>
    <s v="WINTER15"/>
    <n v="0"/>
    <s v="REG100440"/>
    <s v="Cust 2850"/>
    <n v="48.71"/>
    <d v="2023-06-03T00:00:00"/>
    <d v="2023-06-13T00:00:00"/>
    <s v="Wendy"/>
    <n v="132.1191"/>
    <n v="163.10999999999999"/>
    <n v="30.990899999999982"/>
    <x v="1"/>
    <x v="4"/>
  </r>
  <r>
    <d v="2023-09-10T00:00:00"/>
    <x v="0"/>
    <x v="1"/>
    <s v="Phone"/>
    <s v="Phone"/>
    <x v="0"/>
    <n v="6"/>
    <n v="471.74"/>
    <s v="Store C"/>
    <s v="Retail"/>
    <n v="0.15"/>
    <x v="3"/>
    <n v="2405.8739999999998"/>
    <s v="Online"/>
    <m/>
    <n v="0"/>
    <s v="REG100441"/>
    <s v="Cust 9572"/>
    <n v="36.79"/>
    <d v="2023-09-10T00:00:00"/>
    <d v="2023-09-18T00:00:00"/>
    <s v="Eric"/>
    <n v="2044.9928999999997"/>
    <n v="2830.44"/>
    <n v="785.44710000000032"/>
    <x v="2"/>
    <x v="22"/>
  </r>
  <r>
    <d v="2025-05-20T00:00:00"/>
    <x v="3"/>
    <x v="6"/>
    <s v="Printer"/>
    <s v="Printer"/>
    <x v="2"/>
    <n v="19"/>
    <n v="322.31"/>
    <s v="Store B"/>
    <s v="Retail"/>
    <n v="0.15"/>
    <x v="5"/>
    <n v="5205.3065000000006"/>
    <s v="Cash"/>
    <s v="FREESHIP"/>
    <n v="0"/>
    <s v="REG100442"/>
    <s v="Cust 6253"/>
    <n v="33.950000000000003"/>
    <d v="2025-05-20T00:00:00"/>
    <d v="2025-05-22T00:00:00"/>
    <s v="Cameron"/>
    <n v="4424.5105250000006"/>
    <n v="6123.89"/>
    <n v="1699.3794749999997"/>
    <x v="2"/>
    <x v="13"/>
  </r>
  <r>
    <d v="2023-09-24T00:00:00"/>
    <x v="2"/>
    <x v="5"/>
    <s v="Tablet"/>
    <s v="Tablet"/>
    <x v="0"/>
    <n v="13"/>
    <n v="115.86"/>
    <s v="Store A"/>
    <s v="Wholesale"/>
    <n v="0.1"/>
    <x v="4"/>
    <n v="1355.5619999999999"/>
    <s v="Cash"/>
    <m/>
    <n v="1"/>
    <s v="REG100443"/>
    <s v="Cust 4154"/>
    <n v="28.52"/>
    <d v="2023-09-24T00:00:00"/>
    <d v="2023-10-03T00:00:00"/>
    <s v="Ryan"/>
    <n v="1220.0057999999999"/>
    <n v="1506.18"/>
    <n v="286.17420000000016"/>
    <x v="1"/>
    <x v="22"/>
  </r>
  <r>
    <d v="2025-03-29T00:00:00"/>
    <x v="0"/>
    <x v="5"/>
    <s v="Tablet"/>
    <s v="Tablet"/>
    <x v="0"/>
    <n v="18"/>
    <n v="398.26"/>
    <s v="Store B"/>
    <s v="Retail"/>
    <n v="0.1"/>
    <x v="5"/>
    <n v="6451.8120000000008"/>
    <s v="Debit Card"/>
    <m/>
    <n v="0"/>
    <s v="REG100444"/>
    <s v="Cust 2137"/>
    <n v="16.8"/>
    <d v="2025-03-29T00:00:00"/>
    <d v="2025-04-04T00:00:00"/>
    <s v="Eric"/>
    <n v="5806.6308000000008"/>
    <n v="7168.68"/>
    <n v="1362.0491999999995"/>
    <x v="1"/>
    <x v="8"/>
  </r>
  <r>
    <d v="2023-06-17T00:00:00"/>
    <x v="0"/>
    <x v="3"/>
    <s v="Chair"/>
    <s v="Chair"/>
    <x v="1"/>
    <n v="4"/>
    <n v="584.79999999999995"/>
    <s v="Store B"/>
    <s v="Retail"/>
    <n v="0.1"/>
    <x v="0"/>
    <n v="2105.2800000000002"/>
    <s v="Online"/>
    <s v="FREESHIP"/>
    <n v="0"/>
    <s v="REG100445"/>
    <s v="Cust 8157"/>
    <n v="16.440000000000001"/>
    <d v="2023-06-17T00:00:00"/>
    <d v="2023-06-25T00:00:00"/>
    <s v="Eric"/>
    <n v="1894.7520000000002"/>
    <n v="2339.1999999999998"/>
    <n v="444.44799999999964"/>
    <x v="1"/>
    <x v="4"/>
  </r>
  <r>
    <d v="2024-01-28T00:00:00"/>
    <x v="4"/>
    <x v="6"/>
    <s v="Printer"/>
    <s v="Printer"/>
    <x v="2"/>
    <n v="20"/>
    <n v="424.7"/>
    <s v="Store B"/>
    <s v="Wholesale"/>
    <n v="0.15"/>
    <x v="5"/>
    <n v="7219.9"/>
    <s v="Online"/>
    <s v="FREESHIP"/>
    <n v="0"/>
    <s v="REG100446"/>
    <s v="Cust 4861"/>
    <n v="42.03"/>
    <d v="2024-01-28T00:00:00"/>
    <d v="2024-02-05T00:00:00"/>
    <s v="Wendy"/>
    <n v="6136.915"/>
    <n v="8494"/>
    <n v="2357.085"/>
    <x v="2"/>
    <x v="24"/>
  </r>
  <r>
    <d v="2023-03-14T00:00:00"/>
    <x v="3"/>
    <x v="3"/>
    <s v="Chair"/>
    <s v="Chair"/>
    <x v="1"/>
    <n v="16"/>
    <n v="179.22"/>
    <s v="Store D"/>
    <s v="Retail"/>
    <n v="0.1"/>
    <x v="1"/>
    <n v="2580.768"/>
    <s v="Online"/>
    <s v="WINTER15"/>
    <n v="0"/>
    <s v="REG100447"/>
    <s v="Cust 7493"/>
    <n v="45.99"/>
    <d v="2023-03-14T00:00:00"/>
    <d v="2023-03-17T00:00:00"/>
    <s v="Cameron"/>
    <n v="2322.6912000000002"/>
    <n v="2867.52"/>
    <n v="544.82879999999977"/>
    <x v="1"/>
    <x v="17"/>
  </r>
  <r>
    <d v="2025-01-09T00:00:00"/>
    <x v="0"/>
    <x v="0"/>
    <s v="Laptop"/>
    <s v="Laptop"/>
    <x v="0"/>
    <n v="12"/>
    <n v="148.66"/>
    <s v="Store A"/>
    <s v="Wholesale"/>
    <n v="0"/>
    <x v="4"/>
    <n v="1783.92"/>
    <s v="Online"/>
    <m/>
    <n v="1"/>
    <s v="REG100448"/>
    <s v="Cust 7073"/>
    <n v="27.16"/>
    <d v="2025-01-09T00:00:00"/>
    <d v="2025-01-17T00:00:00"/>
    <s v="Eric"/>
    <n v="1783.92"/>
    <n v="1783.92"/>
    <n v="0"/>
    <x v="0"/>
    <x v="12"/>
  </r>
  <r>
    <d v="2025-03-30T00:00:00"/>
    <x v="3"/>
    <x v="1"/>
    <s v="Phone"/>
    <s v="Phone"/>
    <x v="0"/>
    <n v="16"/>
    <n v="460.43"/>
    <s v="Store B"/>
    <s v="Wholesale"/>
    <n v="0.15"/>
    <x v="5"/>
    <n v="6261.848"/>
    <s v="Online"/>
    <s v="WINTER15"/>
    <n v="0"/>
    <s v="REG100449"/>
    <s v="Cust 9085"/>
    <n v="20.38"/>
    <d v="2025-03-30T00:00:00"/>
    <d v="2025-04-06T00:00:00"/>
    <s v="Cameron"/>
    <n v="5322.5707999999995"/>
    <n v="7366.88"/>
    <n v="2044.3092000000006"/>
    <x v="2"/>
    <x v="8"/>
  </r>
  <r>
    <d v="2023-10-23T00:00:00"/>
    <x v="0"/>
    <x v="5"/>
    <s v="Tablet"/>
    <s v="Tablet"/>
    <x v="0"/>
    <n v="5"/>
    <n v="334.37"/>
    <s v="Store B"/>
    <s v="Retail"/>
    <n v="0.05"/>
    <x v="3"/>
    <n v="1588.2574999999999"/>
    <s v="Credit Card"/>
    <m/>
    <n v="0"/>
    <s v="REG100450"/>
    <s v="Cust 3247"/>
    <n v="32.130000000000003"/>
    <d v="2023-10-23T00:00:00"/>
    <d v="2023-10-28T00:00:00"/>
    <s v="Eric"/>
    <n v="1508.844625"/>
    <n v="1671.85"/>
    <n v="163.00537499999996"/>
    <x v="1"/>
    <x v="19"/>
  </r>
  <r>
    <d v="2025-06-08T00:00:00"/>
    <x v="4"/>
    <x v="4"/>
    <s v="Monitor"/>
    <s v="Monitor"/>
    <x v="0"/>
    <n v="3"/>
    <n v="599.72"/>
    <s v="Store D"/>
    <s v="Retail"/>
    <n v="0.15"/>
    <x v="1"/>
    <n v="1529.2860000000001"/>
    <s v="Online"/>
    <s v="WINTER15"/>
    <n v="1"/>
    <s v="REG100451"/>
    <s v="Cust 8504"/>
    <n v="14.93"/>
    <d v="2025-06-08T00:00:00"/>
    <d v="2025-06-14T00:00:00"/>
    <s v="Wendy"/>
    <n v="1299.8931"/>
    <n v="1799.16"/>
    <n v="499.26690000000008"/>
    <x v="2"/>
    <x v="16"/>
  </r>
  <r>
    <d v="2024-02-26T00:00:00"/>
    <x v="4"/>
    <x v="4"/>
    <s v="Monitor"/>
    <s v="Monitor"/>
    <x v="0"/>
    <n v="11"/>
    <n v="389.84"/>
    <s v="Store D"/>
    <s v="Wholesale"/>
    <n v="0"/>
    <x v="1"/>
    <n v="4288.24"/>
    <s v="Gift Card"/>
    <s v="SAVE10"/>
    <n v="1"/>
    <s v="REG100452"/>
    <s v="Cust 4164"/>
    <n v="10.24"/>
    <d v="2024-02-26T00:00:00"/>
    <d v="2024-02-29T00:00:00"/>
    <s v="Wendy"/>
    <n v="4288.24"/>
    <n v="4288.24"/>
    <n v="0"/>
    <x v="0"/>
    <x v="5"/>
  </r>
  <r>
    <d v="2024-10-30T00:00:00"/>
    <x v="0"/>
    <x v="3"/>
    <s v="Chair"/>
    <s v="Chair"/>
    <x v="1"/>
    <n v="11"/>
    <n v="445.75"/>
    <s v="Store A"/>
    <s v="Wholesale"/>
    <n v="0.1"/>
    <x v="2"/>
    <n v="4412.9250000000002"/>
    <s v="Online"/>
    <s v="SAVE10"/>
    <n v="0"/>
    <s v="REG100453"/>
    <s v="Cust 9592"/>
    <n v="18.07"/>
    <d v="2024-10-30T00:00:00"/>
    <d v="2024-11-07T00:00:00"/>
    <s v="Eric"/>
    <n v="3971.6325000000002"/>
    <n v="4903.25"/>
    <n v="931.61749999999984"/>
    <x v="1"/>
    <x v="7"/>
  </r>
  <r>
    <d v="2024-08-19T00:00:00"/>
    <x v="1"/>
    <x v="0"/>
    <s v="Laptop"/>
    <s v="Laptop"/>
    <x v="0"/>
    <n v="18"/>
    <n v="96.84"/>
    <s v="Store A"/>
    <s v="Wholesale"/>
    <n v="0.15"/>
    <x v="2"/>
    <n v="1481.652"/>
    <s v="Cash"/>
    <s v="SAVE10"/>
    <n v="1"/>
    <s v="REG100454"/>
    <s v="Cust 7450"/>
    <n v="8.1"/>
    <d v="2024-08-19T00:00:00"/>
    <d v="2024-08-23T00:00:00"/>
    <s v="Sophie"/>
    <n v="1259.4041999999999"/>
    <n v="1743.1200000000001"/>
    <n v="483.71580000000017"/>
    <x v="2"/>
    <x v="29"/>
  </r>
  <r>
    <d v="2023-07-30T00:00:00"/>
    <x v="3"/>
    <x v="3"/>
    <s v="Chair"/>
    <s v="Chair"/>
    <x v="1"/>
    <n v="1"/>
    <n v="528.30999999999995"/>
    <s v="Store C"/>
    <s v="Wholesale"/>
    <n v="0.1"/>
    <x v="1"/>
    <n v="475.47899999999998"/>
    <s v="Online"/>
    <s v="FREESHIP"/>
    <n v="0"/>
    <s v="REG100455"/>
    <s v="Cust 4186"/>
    <n v="24.55"/>
    <d v="2023-07-30T00:00:00"/>
    <d v="2023-08-09T00:00:00"/>
    <s v="Cameron"/>
    <n v="427.93110000000001"/>
    <n v="528.30999999999995"/>
    <n v="100.37889999999993"/>
    <x v="1"/>
    <x v="11"/>
  </r>
  <r>
    <d v="2024-08-13T00:00:00"/>
    <x v="2"/>
    <x v="4"/>
    <s v="Monitor"/>
    <s v="Monitor"/>
    <x v="0"/>
    <n v="16"/>
    <n v="64.03"/>
    <s v="Store A"/>
    <s v="Wholesale"/>
    <n v="0"/>
    <x v="3"/>
    <n v="1024.48"/>
    <s v="Gift Card"/>
    <s v="WINTER15"/>
    <n v="1"/>
    <s v="REG100456"/>
    <s v="Cust 3305"/>
    <n v="16.71"/>
    <d v="2024-08-13T00:00:00"/>
    <d v="2024-08-23T00:00:00"/>
    <s v="Ryan"/>
    <n v="1024.48"/>
    <n v="1024.48"/>
    <n v="0"/>
    <x v="0"/>
    <x v="29"/>
  </r>
  <r>
    <d v="2023-11-04T00:00:00"/>
    <x v="2"/>
    <x v="6"/>
    <s v="Printer"/>
    <s v="Printer"/>
    <x v="2"/>
    <n v="13"/>
    <n v="179.37"/>
    <s v="Store A"/>
    <s v="Retail"/>
    <n v="0.05"/>
    <x v="0"/>
    <n v="2215.2195000000002"/>
    <s v="Online"/>
    <s v="FREESHIP"/>
    <n v="0"/>
    <s v="REG100457"/>
    <s v="Cust 9768"/>
    <n v="35.28"/>
    <d v="2023-11-04T00:00:00"/>
    <d v="2023-11-12T00:00:00"/>
    <s v="Ryan"/>
    <n v="2104.458525"/>
    <n v="2331.81"/>
    <n v="227.35147499999994"/>
    <x v="1"/>
    <x v="15"/>
  </r>
  <r>
    <d v="2025-06-05T00:00:00"/>
    <x v="0"/>
    <x v="6"/>
    <s v="Printer"/>
    <s v="Printer"/>
    <x v="2"/>
    <n v="19"/>
    <n v="491.15"/>
    <s v="Store C"/>
    <s v="Retail"/>
    <n v="0"/>
    <x v="2"/>
    <n v="9331.85"/>
    <s v="Online"/>
    <m/>
    <n v="0"/>
    <s v="REG100458"/>
    <s v="Cust 1179"/>
    <n v="48.68"/>
    <d v="2025-06-05T00:00:00"/>
    <d v="2025-06-15T00:00:00"/>
    <s v="Eric"/>
    <n v="9331.85"/>
    <n v="9331.85"/>
    <n v="0"/>
    <x v="0"/>
    <x v="16"/>
  </r>
  <r>
    <d v="2023-06-23T00:00:00"/>
    <x v="2"/>
    <x v="6"/>
    <s v="Printer"/>
    <s v="Printer"/>
    <x v="2"/>
    <n v="5"/>
    <n v="360.34"/>
    <s v="Store C"/>
    <s v="Wholesale"/>
    <n v="0"/>
    <x v="3"/>
    <n v="1801.7"/>
    <s v="Gift Card"/>
    <m/>
    <n v="0"/>
    <s v="REG100459"/>
    <s v="Cust 2546"/>
    <n v="33.76"/>
    <d v="2023-06-23T00:00:00"/>
    <d v="2023-06-28T00:00:00"/>
    <s v="Ryan"/>
    <n v="1801.7"/>
    <n v="1801.6999999999998"/>
    <n v="0"/>
    <x v="0"/>
    <x v="4"/>
  </r>
  <r>
    <d v="2024-09-21T00:00:00"/>
    <x v="1"/>
    <x v="0"/>
    <s v="Laptop"/>
    <s v="Laptop"/>
    <x v="0"/>
    <n v="20"/>
    <n v="296.8"/>
    <s v="Store A"/>
    <s v="Retail"/>
    <n v="0.1"/>
    <x v="2"/>
    <n v="5342.4000000000005"/>
    <s v="Gift Card"/>
    <m/>
    <n v="0"/>
    <s v="REG100460"/>
    <s v="Cust 2672"/>
    <n v="19.57"/>
    <d v="2024-09-21T00:00:00"/>
    <d v="2024-09-28T00:00:00"/>
    <s v="Sophie"/>
    <n v="4808.1600000000008"/>
    <n v="5936"/>
    <n v="1127.8399999999992"/>
    <x v="1"/>
    <x v="26"/>
  </r>
  <r>
    <d v="2024-01-01T00:00:00"/>
    <x v="1"/>
    <x v="2"/>
    <s v="Desk"/>
    <s v="Desk"/>
    <x v="1"/>
    <n v="3"/>
    <n v="599.41999999999996"/>
    <s v="Store A"/>
    <s v="Wholesale"/>
    <n v="0.1"/>
    <x v="5"/>
    <n v="1618.434"/>
    <s v="Online"/>
    <s v="SAVE10"/>
    <n v="0"/>
    <s v="REG100461"/>
    <s v="Cust 3394"/>
    <n v="48.02"/>
    <d v="2024-01-01T00:00:00"/>
    <d v="2024-01-03T00:00:00"/>
    <s v="Sophie"/>
    <n v="1456.5906"/>
    <n v="1798.2599999999998"/>
    <n v="341.66939999999977"/>
    <x v="1"/>
    <x v="24"/>
  </r>
  <r>
    <d v="2025-01-02T00:00:00"/>
    <x v="4"/>
    <x v="0"/>
    <s v="Laptop"/>
    <s v="Laptop"/>
    <x v="0"/>
    <n v="1"/>
    <n v="374.33"/>
    <s v="Store B"/>
    <s v="Wholesale"/>
    <n v="0"/>
    <x v="3"/>
    <n v="374.33"/>
    <s v="Credit Card"/>
    <s v="FREESHIP"/>
    <n v="0"/>
    <s v="REG100462"/>
    <s v="Cust 1649"/>
    <n v="33.31"/>
    <d v="2025-01-02T00:00:00"/>
    <d v="2025-01-12T00:00:00"/>
    <s v="Wendy"/>
    <n v="374.33"/>
    <n v="374.33"/>
    <n v="0"/>
    <x v="0"/>
    <x v="12"/>
  </r>
  <r>
    <d v="2024-03-14T00:00:00"/>
    <x v="2"/>
    <x v="2"/>
    <s v="Desk"/>
    <s v="Desk"/>
    <x v="1"/>
    <n v="13"/>
    <n v="588.79999999999995"/>
    <s v="Store D"/>
    <s v="Wholesale"/>
    <n v="0.15"/>
    <x v="2"/>
    <n v="6506.24"/>
    <s v="Cash"/>
    <s v="SAVE10"/>
    <n v="0"/>
    <s v="REG100463"/>
    <s v="Cust 6994"/>
    <n v="45.03"/>
    <d v="2024-03-14T00:00:00"/>
    <d v="2024-03-21T00:00:00"/>
    <s v="Ryan"/>
    <n v="5530.3040000000001"/>
    <n v="7654.4"/>
    <n v="2124.0959999999995"/>
    <x v="2"/>
    <x v="25"/>
  </r>
  <r>
    <d v="2024-05-04T00:00:00"/>
    <x v="4"/>
    <x v="4"/>
    <s v="Monitor"/>
    <s v="Monitor"/>
    <x v="0"/>
    <n v="13"/>
    <n v="198.44"/>
    <s v="Store D"/>
    <s v="Wholesale"/>
    <n v="0"/>
    <x v="3"/>
    <n v="2579.7199999999998"/>
    <s v="Cash"/>
    <s v="SAVE10"/>
    <n v="1"/>
    <s v="REG100464"/>
    <s v="Cust 9879"/>
    <n v="31.51"/>
    <d v="2024-05-04T00:00:00"/>
    <d v="2024-05-09T00:00:00"/>
    <s v="Wendy"/>
    <n v="2579.7199999999998"/>
    <n v="2579.7199999999998"/>
    <n v="0"/>
    <x v="0"/>
    <x v="14"/>
  </r>
  <r>
    <d v="2025-02-27T00:00:00"/>
    <x v="1"/>
    <x v="6"/>
    <s v="Printer"/>
    <s v="Printer"/>
    <x v="2"/>
    <n v="12"/>
    <n v="384.2"/>
    <s v="Store A"/>
    <s v="Retail"/>
    <n v="0"/>
    <x v="0"/>
    <n v="4610.3999999999996"/>
    <s v="Cash"/>
    <s v="FREESHIP"/>
    <n v="0"/>
    <s v="REG100465"/>
    <s v="Cust 9069"/>
    <n v="38.99"/>
    <d v="2025-02-27T00:00:00"/>
    <d v="2025-03-02T00:00:00"/>
    <s v="Sophie"/>
    <n v="4610.3999999999996"/>
    <n v="4610.3999999999996"/>
    <n v="0"/>
    <x v="0"/>
    <x v="3"/>
  </r>
  <r>
    <d v="2024-11-13T00:00:00"/>
    <x v="3"/>
    <x v="1"/>
    <s v="Phone"/>
    <s v="Phone"/>
    <x v="0"/>
    <n v="4"/>
    <n v="475.49"/>
    <s v="Store B"/>
    <s v="Wholesale"/>
    <n v="0.15"/>
    <x v="2"/>
    <n v="1616.6659999999999"/>
    <s v="Cash"/>
    <s v="WINTER15"/>
    <n v="0"/>
    <s v="REG100466"/>
    <s v="Cust 3712"/>
    <n v="11.6"/>
    <d v="2024-11-13T00:00:00"/>
    <d v="2024-11-17T00:00:00"/>
    <s v="Cameron"/>
    <n v="1374.1660999999999"/>
    <n v="1901.96"/>
    <n v="527.79390000000012"/>
    <x v="2"/>
    <x v="20"/>
  </r>
  <r>
    <d v="2023-10-31T00:00:00"/>
    <x v="4"/>
    <x v="6"/>
    <s v="Printer"/>
    <s v="Printer"/>
    <x v="2"/>
    <n v="6"/>
    <n v="202.97"/>
    <s v="Store C"/>
    <s v="Retail"/>
    <n v="0.1"/>
    <x v="0"/>
    <n v="1096.038"/>
    <s v="Gift Card"/>
    <s v="WINTER15"/>
    <n v="0"/>
    <s v="REG100467"/>
    <s v="Cust 3829"/>
    <n v="43.55"/>
    <d v="2023-10-31T00:00:00"/>
    <d v="2023-11-10T00:00:00"/>
    <s v="Wendy"/>
    <n v="986.43420000000003"/>
    <n v="1217.82"/>
    <n v="231.3857999999999"/>
    <x v="1"/>
    <x v="19"/>
  </r>
  <r>
    <d v="2023-12-19T00:00:00"/>
    <x v="3"/>
    <x v="5"/>
    <s v="Tablet"/>
    <s v="Tablet"/>
    <x v="0"/>
    <n v="18"/>
    <n v="135.22999999999999"/>
    <s v="Store C"/>
    <s v="Wholesale"/>
    <n v="0"/>
    <x v="4"/>
    <n v="2434.14"/>
    <s v="Online"/>
    <s v="WINTER15"/>
    <n v="1"/>
    <s v="REG100468"/>
    <s v="Cust 1623"/>
    <n v="46.1"/>
    <d v="2023-12-19T00:00:00"/>
    <d v="2023-12-24T00:00:00"/>
    <s v="Cameron"/>
    <n v="2434.14"/>
    <n v="2434.14"/>
    <n v="0"/>
    <x v="0"/>
    <x v="27"/>
  </r>
  <r>
    <d v="2023-11-27T00:00:00"/>
    <x v="1"/>
    <x v="5"/>
    <s v="Tablet"/>
    <s v="Tablet"/>
    <x v="0"/>
    <n v="20"/>
    <n v="356.4"/>
    <s v="Store C"/>
    <s v="Wholesale"/>
    <n v="0.05"/>
    <x v="4"/>
    <n v="6771.5999999999995"/>
    <s v="Cash"/>
    <s v="FREESHIP"/>
    <n v="1"/>
    <s v="REG100469"/>
    <s v="Cust 3532"/>
    <n v="26.7"/>
    <d v="2023-11-27T00:00:00"/>
    <d v="2023-12-03T00:00:00"/>
    <s v="Sophie"/>
    <n v="6433.0199999999995"/>
    <n v="7128"/>
    <n v="694.98000000000047"/>
    <x v="1"/>
    <x v="15"/>
  </r>
  <r>
    <d v="2023-08-15T00:00:00"/>
    <x v="0"/>
    <x v="0"/>
    <s v="Laptop"/>
    <s v="Laptop"/>
    <x v="0"/>
    <n v="3"/>
    <n v="294.72000000000003"/>
    <s v="Store C"/>
    <s v="Wholesale"/>
    <n v="0.05"/>
    <x v="1"/>
    <n v="839.952"/>
    <s v="Cash"/>
    <s v="SAVE10"/>
    <n v="0"/>
    <s v="REG100470"/>
    <s v="Cust 4712"/>
    <n v="45.33"/>
    <d v="2023-08-15T00:00:00"/>
    <d v="2023-08-18T00:00:00"/>
    <s v="Eric"/>
    <n v="797.95439999999996"/>
    <n v="884.16000000000008"/>
    <n v="86.205600000000118"/>
    <x v="1"/>
    <x v="18"/>
  </r>
  <r>
    <d v="2023-01-16T00:00:00"/>
    <x v="4"/>
    <x v="1"/>
    <s v="Phone"/>
    <s v="Phone"/>
    <x v="0"/>
    <n v="20"/>
    <n v="553.85"/>
    <s v="Store A"/>
    <s v="Retail"/>
    <n v="0"/>
    <x v="2"/>
    <n v="11077"/>
    <s v="Cash"/>
    <s v="WINTER15"/>
    <n v="0"/>
    <s v="REG100471"/>
    <s v="Cust 6211"/>
    <n v="33.21"/>
    <d v="2023-01-16T00:00:00"/>
    <d v="2023-01-24T00:00:00"/>
    <s v="Wendy"/>
    <n v="11077"/>
    <n v="11077"/>
    <n v="0"/>
    <x v="0"/>
    <x v="6"/>
  </r>
  <r>
    <d v="2025-02-28T00:00:00"/>
    <x v="3"/>
    <x v="5"/>
    <s v="Tablet"/>
    <s v="Tablet"/>
    <x v="0"/>
    <n v="13"/>
    <n v="81.17"/>
    <s v="Store D"/>
    <s v="Retail"/>
    <n v="0.1"/>
    <x v="2"/>
    <n v="949.68900000000008"/>
    <s v="Cash"/>
    <s v="SAVE10"/>
    <n v="1"/>
    <s v="REG100472"/>
    <s v="Cust 1222"/>
    <n v="48.21"/>
    <d v="2025-02-28T00:00:00"/>
    <d v="2025-03-08T00:00:00"/>
    <s v="Cameron"/>
    <n v="854.72010000000012"/>
    <n v="1055.21"/>
    <n v="200.48989999999992"/>
    <x v="1"/>
    <x v="3"/>
  </r>
  <r>
    <d v="2023-11-28T00:00:00"/>
    <x v="4"/>
    <x v="1"/>
    <s v="Phone"/>
    <s v="Phone"/>
    <x v="0"/>
    <n v="2"/>
    <n v="532.51"/>
    <s v="Store B"/>
    <s v="Wholesale"/>
    <n v="0"/>
    <x v="3"/>
    <n v="1065.02"/>
    <s v="Credit Card"/>
    <s v="WINTER15"/>
    <n v="1"/>
    <s v="REG100473"/>
    <s v="Cust 6208"/>
    <n v="49.67"/>
    <d v="2023-11-28T00:00:00"/>
    <d v="2023-12-01T00:00:00"/>
    <s v="Wendy"/>
    <n v="1065.02"/>
    <n v="1065.02"/>
    <n v="0"/>
    <x v="0"/>
    <x v="15"/>
  </r>
  <r>
    <d v="2023-12-04T00:00:00"/>
    <x v="4"/>
    <x v="6"/>
    <s v="Printer"/>
    <s v="Printer"/>
    <x v="2"/>
    <n v="1"/>
    <n v="268.19"/>
    <s v="Store B"/>
    <s v="Wholesale"/>
    <n v="0.1"/>
    <x v="3"/>
    <n v="241.37100000000001"/>
    <s v="Gift Card"/>
    <s v="WINTER15"/>
    <n v="0"/>
    <s v="REG100474"/>
    <s v="Cust 5942"/>
    <n v="9.48"/>
    <d v="2023-12-04T00:00:00"/>
    <d v="2023-12-13T00:00:00"/>
    <s v="Wendy"/>
    <n v="217.23390000000001"/>
    <n v="268.19"/>
    <n v="50.956099999999992"/>
    <x v="1"/>
    <x v="27"/>
  </r>
  <r>
    <d v="2024-06-21T00:00:00"/>
    <x v="1"/>
    <x v="6"/>
    <s v="Printer"/>
    <s v="Printer"/>
    <x v="2"/>
    <n v="17"/>
    <n v="432.65"/>
    <s v="Store A"/>
    <s v="Retail"/>
    <n v="0.15"/>
    <x v="2"/>
    <n v="6251.7924999999996"/>
    <s v="Cash"/>
    <s v="FREESHIP"/>
    <n v="0"/>
    <s v="REG100475"/>
    <s v="Cust 1745"/>
    <n v="18.850000000000001"/>
    <d v="2024-06-21T00:00:00"/>
    <d v="2024-06-29T00:00:00"/>
    <s v="Sophie"/>
    <n v="5314.0236249999998"/>
    <n v="7355.0499999999993"/>
    <n v="2041.0263749999995"/>
    <x v="2"/>
    <x v="23"/>
  </r>
  <r>
    <d v="2025-03-17T00:00:00"/>
    <x v="0"/>
    <x v="2"/>
    <s v="Desk"/>
    <s v="Desk"/>
    <x v="1"/>
    <n v="14"/>
    <n v="123.04"/>
    <s v="Store A"/>
    <s v="Wholesale"/>
    <n v="0.1"/>
    <x v="4"/>
    <n v="1550.3040000000001"/>
    <s v="Cash"/>
    <s v="WINTER15"/>
    <n v="1"/>
    <s v="REG100476"/>
    <s v="Cust 2679"/>
    <n v="43.28"/>
    <d v="2025-03-17T00:00:00"/>
    <d v="2025-03-26T00:00:00"/>
    <s v="Eric"/>
    <n v="1395.2736000000002"/>
    <n v="1722.5600000000002"/>
    <n v="327.28639999999996"/>
    <x v="1"/>
    <x v="8"/>
  </r>
  <r>
    <d v="2023-08-17T00:00:00"/>
    <x v="3"/>
    <x v="2"/>
    <s v="Desk"/>
    <s v="Desk"/>
    <x v="1"/>
    <n v="16"/>
    <n v="454.54"/>
    <s v="Store B"/>
    <s v="Retail"/>
    <n v="0.1"/>
    <x v="5"/>
    <n v="6545.3760000000002"/>
    <s v="Online"/>
    <s v="FREESHIP"/>
    <n v="0"/>
    <s v="REG100477"/>
    <s v="Cust 9907"/>
    <n v="20.55"/>
    <d v="2023-08-17T00:00:00"/>
    <d v="2023-08-19T00:00:00"/>
    <s v="Cameron"/>
    <n v="5890.8384000000005"/>
    <n v="7272.64"/>
    <n v="1381.8015999999998"/>
    <x v="1"/>
    <x v="18"/>
  </r>
  <r>
    <d v="2023-08-30T00:00:00"/>
    <x v="3"/>
    <x v="4"/>
    <s v="Monitor"/>
    <s v="Monitor"/>
    <x v="0"/>
    <n v="11"/>
    <n v="414.58"/>
    <s v="Store D"/>
    <s v="Wholesale"/>
    <n v="0.05"/>
    <x v="4"/>
    <n v="4332.3609999999999"/>
    <s v="Cash"/>
    <s v="WINTER15"/>
    <n v="0"/>
    <s v="REG100478"/>
    <s v="Cust 5750"/>
    <n v="25.33"/>
    <d v="2023-08-30T00:00:00"/>
    <d v="2023-09-05T00:00:00"/>
    <s v="Cameron"/>
    <n v="4115.7429499999998"/>
    <n v="4560.38"/>
    <n v="444.63705000000027"/>
    <x v="1"/>
    <x v="18"/>
  </r>
  <r>
    <d v="2025-06-16T00:00:00"/>
    <x v="0"/>
    <x v="1"/>
    <s v="Phone"/>
    <s v="Phone"/>
    <x v="0"/>
    <n v="9"/>
    <n v="352.91"/>
    <s v="Store B"/>
    <s v="Wholesale"/>
    <n v="0.1"/>
    <x v="5"/>
    <n v="2858.5709999999999"/>
    <s v="Cash"/>
    <s v="FREESHIP"/>
    <n v="0"/>
    <s v="REG100479"/>
    <s v="Cust 5717"/>
    <n v="30.57"/>
    <d v="2025-06-16T00:00:00"/>
    <d v="2025-06-18T00:00:00"/>
    <s v="Eric"/>
    <n v="2572.7139000000002"/>
    <n v="3176.19"/>
    <n v="603.47609999999986"/>
    <x v="1"/>
    <x v="16"/>
  </r>
  <r>
    <d v="2023-06-29T00:00:00"/>
    <x v="2"/>
    <x v="3"/>
    <s v="Chair"/>
    <s v="Chair"/>
    <x v="1"/>
    <n v="10"/>
    <n v="126.46"/>
    <s v="Store A"/>
    <s v="Retail"/>
    <n v="0.1"/>
    <x v="0"/>
    <n v="1138.1400000000001"/>
    <s v="Online"/>
    <s v="WINTER15"/>
    <n v="0"/>
    <s v="REG100480"/>
    <s v="Cust 7995"/>
    <n v="26.96"/>
    <d v="2023-06-29T00:00:00"/>
    <d v="2023-07-09T00:00:00"/>
    <s v="Ryan"/>
    <n v="1024.326"/>
    <n v="1264.5999999999999"/>
    <n v="240.27399999999989"/>
    <x v="1"/>
    <x v="4"/>
  </r>
  <r>
    <d v="2023-08-13T00:00:00"/>
    <x v="2"/>
    <x v="4"/>
    <s v="Monitor"/>
    <s v="Monitor"/>
    <x v="0"/>
    <n v="7"/>
    <n v="125.02"/>
    <s v="Store D"/>
    <s v="Wholesale"/>
    <n v="0"/>
    <x v="3"/>
    <n v="875.14"/>
    <s v="Credit Card"/>
    <s v="FREESHIP"/>
    <n v="0"/>
    <s v="REG100481"/>
    <s v="Cust 5572"/>
    <n v="12.45"/>
    <d v="2023-08-13T00:00:00"/>
    <d v="2023-08-20T00:00:00"/>
    <s v="Ryan"/>
    <n v="875.14"/>
    <n v="875.14"/>
    <n v="0"/>
    <x v="0"/>
    <x v="18"/>
  </r>
  <r>
    <d v="2024-04-29T00:00:00"/>
    <x v="4"/>
    <x v="5"/>
    <s v="Tablet"/>
    <s v="Tablet"/>
    <x v="0"/>
    <n v="20"/>
    <n v="367.24"/>
    <s v="Store A"/>
    <s v="Wholesale"/>
    <n v="0.05"/>
    <x v="3"/>
    <n v="6977.5599999999986"/>
    <s v="Gift Card"/>
    <s v="FREESHIP"/>
    <n v="0"/>
    <s v="REG100482"/>
    <s v="Cust 1721"/>
    <n v="45.67"/>
    <d v="2024-04-29T00:00:00"/>
    <d v="2024-05-07T00:00:00"/>
    <s v="Wendy"/>
    <n v="6628.681999999998"/>
    <n v="7344.8"/>
    <n v="716.11800000000221"/>
    <x v="1"/>
    <x v="9"/>
  </r>
  <r>
    <d v="2023-07-15T00:00:00"/>
    <x v="4"/>
    <x v="4"/>
    <s v="Monitor"/>
    <s v="Monitor"/>
    <x v="0"/>
    <n v="8"/>
    <n v="432.12"/>
    <s v="Store B"/>
    <s v="Retail"/>
    <n v="0"/>
    <x v="4"/>
    <n v="3456.96"/>
    <s v="Credit Card"/>
    <s v="WINTER15"/>
    <n v="0"/>
    <s v="REG100483"/>
    <s v="Cust 2641"/>
    <n v="42.1"/>
    <d v="2023-07-15T00:00:00"/>
    <d v="2023-07-25T00:00:00"/>
    <s v="Wendy"/>
    <n v="3456.96"/>
    <n v="3456.96"/>
    <n v="0"/>
    <x v="0"/>
    <x v="11"/>
  </r>
  <r>
    <d v="2025-01-17T00:00:00"/>
    <x v="2"/>
    <x v="5"/>
    <s v="Tablet"/>
    <s v="Tablet"/>
    <x v="0"/>
    <n v="3"/>
    <n v="13.33"/>
    <s v="Store D"/>
    <s v="Retail"/>
    <n v="0.1"/>
    <x v="0"/>
    <n v="35.991"/>
    <s v="Cash"/>
    <s v="SAVE10"/>
    <n v="0"/>
    <s v="REG100484"/>
    <s v="Cust 9769"/>
    <n v="17.62"/>
    <d v="2025-01-17T00:00:00"/>
    <d v="2025-01-23T00:00:00"/>
    <s v="Ryan"/>
    <n v="32.3919"/>
    <n v="39.99"/>
    <n v="7.5981000000000023"/>
    <x v="1"/>
    <x v="12"/>
  </r>
  <r>
    <d v="2025-02-21T00:00:00"/>
    <x v="0"/>
    <x v="6"/>
    <s v="Printer"/>
    <s v="Printer"/>
    <x v="2"/>
    <n v="13"/>
    <n v="105.93"/>
    <s v="Store C"/>
    <s v="Retail"/>
    <n v="0"/>
    <x v="5"/>
    <n v="1377.09"/>
    <s v="Debit Card"/>
    <s v="FREESHIP"/>
    <n v="0"/>
    <s v="REG100485"/>
    <s v="Cust 1718"/>
    <n v="38.96"/>
    <d v="2025-02-21T00:00:00"/>
    <d v="2025-03-03T00:00:00"/>
    <s v="Eric"/>
    <n v="1377.09"/>
    <n v="1377.0900000000001"/>
    <n v="0"/>
    <x v="0"/>
    <x v="3"/>
  </r>
  <r>
    <d v="2023-07-19T00:00:00"/>
    <x v="4"/>
    <x v="4"/>
    <s v="Monitor"/>
    <s v="Monitor"/>
    <x v="0"/>
    <n v="20"/>
    <n v="526.54999999999995"/>
    <s v="Store A"/>
    <s v="Wholesale"/>
    <n v="0"/>
    <x v="1"/>
    <n v="10531"/>
    <s v="Debit Card"/>
    <s v="FREESHIP"/>
    <n v="1"/>
    <s v="REG100486"/>
    <s v="Cust 1210"/>
    <n v="25.64"/>
    <d v="2023-07-19T00:00:00"/>
    <d v="2023-07-26T00:00:00"/>
    <s v="Wendy"/>
    <n v="10531"/>
    <n v="10531"/>
    <n v="0"/>
    <x v="0"/>
    <x v="11"/>
  </r>
  <r>
    <d v="2024-09-29T00:00:00"/>
    <x v="4"/>
    <x v="1"/>
    <s v="Phone"/>
    <s v="Phone"/>
    <x v="0"/>
    <n v="11"/>
    <n v="339.78"/>
    <s v="Store A"/>
    <s v="Retail"/>
    <n v="0.05"/>
    <x v="4"/>
    <n v="3550.701"/>
    <s v="Debit Card"/>
    <s v="WINTER15"/>
    <n v="1"/>
    <s v="REG100487"/>
    <s v="Cust 7710"/>
    <n v="11.56"/>
    <d v="2024-09-29T00:00:00"/>
    <d v="2024-10-06T00:00:00"/>
    <s v="Wendy"/>
    <n v="3373.1659500000001"/>
    <n v="3737.58"/>
    <n v="364.41404999999986"/>
    <x v="1"/>
    <x v="26"/>
  </r>
  <r>
    <d v="2024-10-17T00:00:00"/>
    <x v="0"/>
    <x v="0"/>
    <s v="Laptop"/>
    <s v="Laptop"/>
    <x v="0"/>
    <n v="10"/>
    <n v="91.75"/>
    <s v="Store D"/>
    <s v="Wholesale"/>
    <n v="0.15"/>
    <x v="2"/>
    <n v="779.875"/>
    <s v="Cash"/>
    <s v="WINTER15"/>
    <n v="0"/>
    <s v="REG100488"/>
    <s v="Cust 1428"/>
    <n v="37.270000000000003"/>
    <d v="2024-10-17T00:00:00"/>
    <d v="2024-10-21T00:00:00"/>
    <s v="Eric"/>
    <n v="662.89374999999995"/>
    <n v="917.5"/>
    <n v="254.60625000000005"/>
    <x v="2"/>
    <x v="7"/>
  </r>
  <r>
    <d v="2025-06-11T00:00:00"/>
    <x v="0"/>
    <x v="1"/>
    <s v="Phone"/>
    <s v="Phone"/>
    <x v="0"/>
    <n v="15"/>
    <n v="13.66"/>
    <s v="Store B"/>
    <s v="Retail"/>
    <n v="0.1"/>
    <x v="1"/>
    <n v="184.41"/>
    <s v="Debit Card"/>
    <s v="FREESHIP"/>
    <n v="0"/>
    <s v="REG100489"/>
    <s v="Cust 2810"/>
    <n v="38.04"/>
    <d v="2025-06-11T00:00:00"/>
    <d v="2025-06-17T00:00:00"/>
    <s v="Eric"/>
    <n v="165.96899999999999"/>
    <n v="204.9"/>
    <n v="38.931000000000012"/>
    <x v="1"/>
    <x v="16"/>
  </r>
  <r>
    <d v="2024-01-19T00:00:00"/>
    <x v="4"/>
    <x v="2"/>
    <s v="Desk"/>
    <s v="Desk"/>
    <x v="1"/>
    <n v="6"/>
    <n v="148.22999999999999"/>
    <s v="Store B"/>
    <s v="Retail"/>
    <n v="0.1"/>
    <x v="0"/>
    <n v="800.44199999999989"/>
    <s v="Credit Card"/>
    <s v="FREESHIP"/>
    <n v="0"/>
    <s v="REG100490"/>
    <s v="Cust 2234"/>
    <n v="19.579999999999998"/>
    <d v="2024-01-19T00:00:00"/>
    <d v="2024-01-29T00:00:00"/>
    <s v="Wendy"/>
    <n v="720.39779999999996"/>
    <n v="889.37999999999988"/>
    <n v="168.98219999999992"/>
    <x v="1"/>
    <x v="24"/>
  </r>
  <r>
    <d v="2023-12-03T00:00:00"/>
    <x v="0"/>
    <x v="3"/>
    <s v="Chair"/>
    <s v="Chair"/>
    <x v="1"/>
    <n v="11"/>
    <n v="495.03"/>
    <s v="Store D"/>
    <s v="Wholesale"/>
    <n v="0.15"/>
    <x v="2"/>
    <n v="4628.5304999999998"/>
    <s v="Cash"/>
    <s v="WINTER15"/>
    <n v="0"/>
    <s v="REG100491"/>
    <s v="Cust 9602"/>
    <n v="27.37"/>
    <d v="2023-12-03T00:00:00"/>
    <d v="2023-12-05T00:00:00"/>
    <s v="Eric"/>
    <n v="3934.2509249999998"/>
    <n v="5445.33"/>
    <n v="1511.0790750000001"/>
    <x v="2"/>
    <x v="27"/>
  </r>
  <r>
    <d v="2024-06-19T00:00:00"/>
    <x v="3"/>
    <x v="3"/>
    <s v="Chair"/>
    <s v="Chair"/>
    <x v="1"/>
    <n v="6"/>
    <n v="247.2"/>
    <s v="Store A"/>
    <s v="Wholesale"/>
    <n v="0.05"/>
    <x v="4"/>
    <n v="1409.04"/>
    <s v="Credit Card"/>
    <s v="FREESHIP"/>
    <n v="0"/>
    <s v="REG100492"/>
    <s v="Cust 2546"/>
    <n v="18.75"/>
    <d v="2024-06-19T00:00:00"/>
    <d v="2024-06-27T00:00:00"/>
    <s v="Cameron"/>
    <n v="1338.588"/>
    <n v="1483.1999999999998"/>
    <n v="144.61199999999985"/>
    <x v="1"/>
    <x v="23"/>
  </r>
  <r>
    <d v="2024-10-16T00:00:00"/>
    <x v="4"/>
    <x v="5"/>
    <s v="Tablet"/>
    <s v="Tablet"/>
    <x v="0"/>
    <n v="19"/>
    <n v="207.45"/>
    <s v="Store C"/>
    <s v="Retail"/>
    <n v="0.05"/>
    <x v="5"/>
    <n v="3744.4724999999989"/>
    <s v="Debit Card"/>
    <s v="SAVE10"/>
    <n v="0"/>
    <s v="REG100493"/>
    <s v="Cust 5032"/>
    <n v="11.5"/>
    <d v="2024-10-16T00:00:00"/>
    <d v="2024-10-21T00:00:00"/>
    <s v="Wendy"/>
    <n v="3557.2488749999989"/>
    <n v="3941.5499999999997"/>
    <n v="384.30112500000087"/>
    <x v="1"/>
    <x v="7"/>
  </r>
  <r>
    <d v="2025-01-23T00:00:00"/>
    <x v="0"/>
    <x v="0"/>
    <s v="Laptop"/>
    <s v="Laptop"/>
    <x v="0"/>
    <n v="2"/>
    <n v="370.78"/>
    <s v="Store D"/>
    <s v="Wholesale"/>
    <n v="0.15"/>
    <x v="4"/>
    <n v="630.32599999999991"/>
    <s v="Online"/>
    <s v="FREESHIP"/>
    <n v="0"/>
    <s v="REG100494"/>
    <s v="Cust 4297"/>
    <n v="20.45"/>
    <d v="2025-01-23T00:00:00"/>
    <d v="2025-01-27T00:00:00"/>
    <s v="Eric"/>
    <n v="535.7770999999999"/>
    <n v="741.56"/>
    <n v="205.78290000000004"/>
    <x v="2"/>
    <x v="12"/>
  </r>
  <r>
    <d v="2023-10-02T00:00:00"/>
    <x v="3"/>
    <x v="0"/>
    <s v="Laptop"/>
    <s v="Laptop"/>
    <x v="0"/>
    <n v="9"/>
    <n v="146.72"/>
    <s v="Store A"/>
    <s v="Wholesale"/>
    <n v="0.1"/>
    <x v="4"/>
    <n v="1188.432"/>
    <s v="Credit Card"/>
    <m/>
    <n v="0"/>
    <s v="REG100495"/>
    <s v="Cust 6944"/>
    <n v="10.45"/>
    <d v="2023-10-02T00:00:00"/>
    <d v="2023-10-10T00:00:00"/>
    <s v="Cameron"/>
    <n v="1069.5888"/>
    <n v="1320.48"/>
    <n v="250.89120000000003"/>
    <x v="1"/>
    <x v="19"/>
  </r>
  <r>
    <d v="2023-11-05T00:00:00"/>
    <x v="0"/>
    <x v="2"/>
    <s v="Desk"/>
    <s v="Desk"/>
    <x v="1"/>
    <n v="12"/>
    <n v="159.85"/>
    <s v="Store D"/>
    <s v="Retail"/>
    <n v="0.1"/>
    <x v="1"/>
    <n v="1726.38"/>
    <s v="Cash"/>
    <s v="WINTER15"/>
    <n v="0"/>
    <s v="REG100496"/>
    <s v="Cust 4136"/>
    <n v="32.61"/>
    <d v="2023-11-05T00:00:00"/>
    <d v="2023-11-07T00:00:00"/>
    <s v="Eric"/>
    <n v="1553.7420000000002"/>
    <n v="1918.1999999999998"/>
    <n v="364.45799999999963"/>
    <x v="1"/>
    <x v="15"/>
  </r>
  <r>
    <d v="2023-06-18T00:00:00"/>
    <x v="1"/>
    <x v="6"/>
    <s v="Printer"/>
    <s v="Printer"/>
    <x v="2"/>
    <n v="13"/>
    <n v="181.68"/>
    <s v="Store C"/>
    <s v="Wholesale"/>
    <n v="0.05"/>
    <x v="4"/>
    <n v="2243.748"/>
    <s v="Gift Card"/>
    <s v="SAVE10"/>
    <n v="0"/>
    <s v="REG100497"/>
    <s v="Cust 7460"/>
    <n v="14.69"/>
    <d v="2023-06-18T00:00:00"/>
    <d v="2023-06-23T00:00:00"/>
    <s v="Sophie"/>
    <n v="2131.5605999999998"/>
    <n v="2361.84"/>
    <n v="230.27940000000035"/>
    <x v="1"/>
    <x v="4"/>
  </r>
  <r>
    <d v="2024-07-15T00:00:00"/>
    <x v="3"/>
    <x v="1"/>
    <s v="Phone"/>
    <s v="Phone"/>
    <x v="0"/>
    <n v="16"/>
    <n v="34.159999999999997"/>
    <s v="Store A"/>
    <s v="Retail"/>
    <n v="0.15"/>
    <x v="5"/>
    <n v="464.57600000000002"/>
    <s v="Cash"/>
    <s v="SAVE10"/>
    <n v="0"/>
    <s v="REG100498"/>
    <s v="Cust 3960"/>
    <n v="36.33"/>
    <d v="2024-07-15T00:00:00"/>
    <d v="2024-07-21T00:00:00"/>
    <s v="Cameron"/>
    <n v="394.88960000000003"/>
    <n v="546.55999999999995"/>
    <n v="151.67039999999992"/>
    <x v="2"/>
    <x v="10"/>
  </r>
  <r>
    <d v="2024-06-14T00:00:00"/>
    <x v="3"/>
    <x v="0"/>
    <s v="Laptop"/>
    <s v="Laptop"/>
    <x v="0"/>
    <n v="2"/>
    <n v="287.43"/>
    <s v="Store C"/>
    <s v="Wholesale"/>
    <n v="0.1"/>
    <x v="4"/>
    <n v="517.37400000000002"/>
    <s v="Cash"/>
    <s v="WINTER15"/>
    <n v="0"/>
    <s v="REG100499"/>
    <s v="Cust 5530"/>
    <n v="25.34"/>
    <d v="2024-06-14T00:00:00"/>
    <d v="2024-06-23T00:00:00"/>
    <s v="Cameron"/>
    <n v="465.63660000000004"/>
    <n v="574.86"/>
    <n v="109.22339999999997"/>
    <x v="1"/>
    <x v="23"/>
  </r>
  <r>
    <d v="2024-04-05T00:00:00"/>
    <x v="0"/>
    <x v="4"/>
    <s v="Monitor"/>
    <s v="Monitor"/>
    <x v="0"/>
    <n v="15"/>
    <n v="405.95"/>
    <s v="Store D"/>
    <s v="Wholesale"/>
    <n v="0.15"/>
    <x v="0"/>
    <n v="5175.8625000000002"/>
    <s v="Gift Card"/>
    <m/>
    <n v="0"/>
    <s v="REG100500"/>
    <s v="Cust 3160"/>
    <n v="32.04"/>
    <d v="2024-04-05T00:00:00"/>
    <d v="2024-04-10T00:00:00"/>
    <s v="Eric"/>
    <n v="4399.4831249999997"/>
    <n v="6089.25"/>
    <n v="1689.7668750000003"/>
    <x v="2"/>
    <x v="9"/>
  </r>
  <r>
    <d v="2023-02-27T00:00:00"/>
    <x v="2"/>
    <x v="0"/>
    <s v="Laptop"/>
    <s v="Laptop"/>
    <x v="0"/>
    <n v="1"/>
    <n v="430.61"/>
    <s v="Store B"/>
    <s v="Retail"/>
    <n v="0"/>
    <x v="1"/>
    <n v="430.61"/>
    <s v="Gift Card"/>
    <s v="WINTER15"/>
    <n v="0"/>
    <s v="REG100501"/>
    <s v="Cust 9641"/>
    <n v="14.53"/>
    <d v="2023-02-27T00:00:00"/>
    <d v="2023-03-07T00:00:00"/>
    <s v="Ryan"/>
    <n v="430.61"/>
    <n v="430.61"/>
    <n v="0"/>
    <x v="0"/>
    <x v="0"/>
  </r>
  <r>
    <d v="2023-07-31T00:00:00"/>
    <x v="4"/>
    <x v="0"/>
    <s v="Laptop"/>
    <s v="Laptop"/>
    <x v="0"/>
    <n v="5"/>
    <n v="508.05"/>
    <s v="Store D"/>
    <s v="Retail"/>
    <n v="0"/>
    <x v="2"/>
    <n v="2540.25"/>
    <s v="Credit Card"/>
    <s v="WINTER15"/>
    <n v="1"/>
    <s v="REG100502"/>
    <s v="Cust 9742"/>
    <n v="35.630000000000003"/>
    <d v="2023-07-31T00:00:00"/>
    <d v="2023-08-09T00:00:00"/>
    <s v="Wendy"/>
    <n v="2540.25"/>
    <n v="2540.25"/>
    <n v="0"/>
    <x v="0"/>
    <x v="11"/>
  </r>
  <r>
    <d v="2023-03-03T00:00:00"/>
    <x v="4"/>
    <x v="0"/>
    <s v="Laptop"/>
    <s v="Laptop"/>
    <x v="0"/>
    <n v="13"/>
    <n v="522.97"/>
    <s v="Store C"/>
    <s v="Retail"/>
    <n v="0.15"/>
    <x v="3"/>
    <n v="5778.8185000000003"/>
    <s v="Debit Card"/>
    <s v="FREESHIP"/>
    <n v="0"/>
    <s v="REG100503"/>
    <s v="Cust 1144"/>
    <n v="33.9"/>
    <d v="2023-03-03T00:00:00"/>
    <d v="2023-03-10T00:00:00"/>
    <s v="Wendy"/>
    <n v="4911.9957249999998"/>
    <n v="6798.6100000000006"/>
    <n v="1886.6142750000008"/>
    <x v="2"/>
    <x v="17"/>
  </r>
  <r>
    <d v="2023-04-26T00:00:00"/>
    <x v="1"/>
    <x v="0"/>
    <s v="Laptop"/>
    <s v="Laptop"/>
    <x v="0"/>
    <n v="17"/>
    <n v="260.25"/>
    <s v="Store D"/>
    <s v="Wholesale"/>
    <n v="0.1"/>
    <x v="2"/>
    <n v="3981.8249999999998"/>
    <s v="Credit Card"/>
    <s v="SAVE10"/>
    <n v="0"/>
    <s v="REG100504"/>
    <s v="Cust 2936"/>
    <n v="23.26"/>
    <d v="2023-04-26T00:00:00"/>
    <d v="2023-04-28T00:00:00"/>
    <s v="Sophie"/>
    <n v="3583.6424999999999"/>
    <n v="4424.25"/>
    <n v="840.60750000000007"/>
    <x v="1"/>
    <x v="21"/>
  </r>
  <r>
    <d v="2024-10-19T00:00:00"/>
    <x v="0"/>
    <x v="1"/>
    <s v="Phone"/>
    <s v="Phone"/>
    <x v="0"/>
    <n v="6"/>
    <n v="549.21"/>
    <s v="Store B"/>
    <s v="Retail"/>
    <n v="0.1"/>
    <x v="0"/>
    <n v="2965.7339999999999"/>
    <s v="Credit Card"/>
    <s v="WINTER15"/>
    <n v="1"/>
    <s v="REG100505"/>
    <s v="Cust 3035"/>
    <n v="12.29"/>
    <d v="2024-10-19T00:00:00"/>
    <d v="2024-10-27T00:00:00"/>
    <s v="Eric"/>
    <n v="2669.1606000000002"/>
    <n v="3295.26"/>
    <n v="626.09940000000006"/>
    <x v="1"/>
    <x v="7"/>
  </r>
  <r>
    <d v="2024-06-30T00:00:00"/>
    <x v="3"/>
    <x v="6"/>
    <s v="Printer"/>
    <s v="Printer"/>
    <x v="2"/>
    <n v="17"/>
    <n v="472.33"/>
    <s v="Store C"/>
    <s v="Retail"/>
    <n v="0.15"/>
    <x v="3"/>
    <n v="6825.1684999999998"/>
    <s v="Debit Card"/>
    <s v="WINTER15"/>
    <n v="0"/>
    <s v="REG100506"/>
    <s v="Cust 1717"/>
    <n v="22.63"/>
    <d v="2024-06-30T00:00:00"/>
    <d v="2024-07-04T00:00:00"/>
    <s v="Cameron"/>
    <n v="5801.3932249999998"/>
    <n v="8029.61"/>
    <n v="2228.2167749999999"/>
    <x v="2"/>
    <x v="23"/>
  </r>
  <r>
    <d v="2024-10-11T00:00:00"/>
    <x v="4"/>
    <x v="0"/>
    <s v="Laptop"/>
    <s v="Laptop"/>
    <x v="0"/>
    <n v="9"/>
    <n v="596.83000000000004"/>
    <s v="Store A"/>
    <s v="Retail"/>
    <n v="0"/>
    <x v="0"/>
    <n v="5371.47"/>
    <s v="Cash"/>
    <s v="WINTER15"/>
    <n v="0"/>
    <s v="REG100507"/>
    <s v="Cust 4456"/>
    <n v="6.43"/>
    <d v="2024-10-11T00:00:00"/>
    <d v="2024-10-19T00:00:00"/>
    <s v="Wendy"/>
    <n v="5371.47"/>
    <n v="5371.47"/>
    <n v="0"/>
    <x v="0"/>
    <x v="7"/>
  </r>
  <r>
    <d v="2025-06-14T00:00:00"/>
    <x v="3"/>
    <x v="4"/>
    <s v="Monitor"/>
    <s v="Monitor"/>
    <x v="0"/>
    <n v="15"/>
    <n v="154.04"/>
    <s v="Store D"/>
    <s v="Retail"/>
    <n v="0.1"/>
    <x v="1"/>
    <n v="2079.54"/>
    <s v="Cash"/>
    <s v="FREESHIP"/>
    <n v="1"/>
    <s v="REG100508"/>
    <s v="Cust 6435"/>
    <n v="24.53"/>
    <d v="2025-06-14T00:00:00"/>
    <d v="2025-06-23T00:00:00"/>
    <s v="Cameron"/>
    <n v="1871.586"/>
    <n v="2310.6"/>
    <n v="439.0139999999999"/>
    <x v="1"/>
    <x v="16"/>
  </r>
  <r>
    <d v="2024-12-22T00:00:00"/>
    <x v="0"/>
    <x v="0"/>
    <s v="Laptop"/>
    <s v="Laptop"/>
    <x v="0"/>
    <n v="18"/>
    <n v="500.44"/>
    <s v="Store D"/>
    <s v="Wholesale"/>
    <n v="0.1"/>
    <x v="5"/>
    <n v="8107.1280000000006"/>
    <s v="Credit Card"/>
    <m/>
    <n v="0"/>
    <s v="REG100509"/>
    <s v="Cust 9352"/>
    <n v="8.8699999999999992"/>
    <d v="2024-12-22T00:00:00"/>
    <d v="2024-12-30T00:00:00"/>
    <s v="Eric"/>
    <n v="7296.4152000000004"/>
    <n v="9007.92"/>
    <n v="1711.5047999999997"/>
    <x v="1"/>
    <x v="1"/>
  </r>
  <r>
    <d v="2024-04-22T00:00:00"/>
    <x v="4"/>
    <x v="5"/>
    <s v="Tablet"/>
    <s v="Tablet"/>
    <x v="0"/>
    <n v="5"/>
    <n v="382.17"/>
    <s v="Store C"/>
    <s v="Wholesale"/>
    <n v="0"/>
    <x v="4"/>
    <n v="1910.85"/>
    <s v="Credit Card"/>
    <s v="FREESHIP"/>
    <n v="0"/>
    <s v="REG100510"/>
    <s v="Cust 6746"/>
    <n v="17.72"/>
    <d v="2024-04-22T00:00:00"/>
    <d v="2024-04-25T00:00:00"/>
    <s v="Wendy"/>
    <n v="1910.85"/>
    <n v="1910.8500000000001"/>
    <n v="0"/>
    <x v="0"/>
    <x v="9"/>
  </r>
  <r>
    <d v="2025-01-25T00:00:00"/>
    <x v="2"/>
    <x v="3"/>
    <s v="Chair"/>
    <s v="Chair"/>
    <x v="1"/>
    <n v="3"/>
    <n v="365.54"/>
    <s v="Store B"/>
    <s v="Retail"/>
    <n v="0.15"/>
    <x v="2"/>
    <n v="932.12700000000007"/>
    <s v="Online"/>
    <m/>
    <n v="0"/>
    <s v="REG100511"/>
    <s v="Cust 8189"/>
    <n v="45.89"/>
    <d v="2025-01-25T00:00:00"/>
    <d v="2025-01-29T00:00:00"/>
    <s v="Ryan"/>
    <n v="792.30795000000001"/>
    <n v="1096.6200000000001"/>
    <n v="304.31205000000011"/>
    <x v="2"/>
    <x v="12"/>
  </r>
  <r>
    <d v="2024-11-13T00:00:00"/>
    <x v="2"/>
    <x v="0"/>
    <s v="Laptop"/>
    <s v="Laptop"/>
    <x v="0"/>
    <n v="5"/>
    <n v="270.13"/>
    <s v="Store C"/>
    <s v="Retail"/>
    <n v="0.15"/>
    <x v="0"/>
    <n v="1148.0525"/>
    <s v="Credit Card"/>
    <m/>
    <n v="0"/>
    <s v="REG100512"/>
    <s v="Cust 8470"/>
    <n v="15.74"/>
    <d v="2024-11-13T00:00:00"/>
    <d v="2024-11-19T00:00:00"/>
    <s v="Ryan"/>
    <n v="975.84462499999995"/>
    <n v="1350.65"/>
    <n v="374.80537500000014"/>
    <x v="2"/>
    <x v="20"/>
  </r>
  <r>
    <d v="2023-03-16T00:00:00"/>
    <x v="0"/>
    <x v="5"/>
    <s v="Tablet"/>
    <s v="Tablet"/>
    <x v="0"/>
    <n v="2"/>
    <n v="480.15"/>
    <s v="Store D"/>
    <s v="Retail"/>
    <n v="0.15"/>
    <x v="4"/>
    <n v="816.255"/>
    <s v="Online"/>
    <m/>
    <n v="0"/>
    <s v="REG100513"/>
    <s v="Cust 1044"/>
    <n v="42.07"/>
    <d v="2023-03-16T00:00:00"/>
    <d v="2023-03-21T00:00:00"/>
    <s v="Eric"/>
    <n v="693.81674999999996"/>
    <n v="960.3"/>
    <n v="266.48325"/>
    <x v="2"/>
    <x v="17"/>
  </r>
  <r>
    <d v="2023-05-06T00:00:00"/>
    <x v="2"/>
    <x v="0"/>
    <s v="Laptop"/>
    <s v="Laptop"/>
    <x v="0"/>
    <n v="18"/>
    <n v="414.77"/>
    <s v="Store C"/>
    <s v="Wholesale"/>
    <n v="0.1"/>
    <x v="0"/>
    <n v="6719.2739999999994"/>
    <s v="Credit Card"/>
    <m/>
    <n v="1"/>
    <s v="REG100514"/>
    <s v="Cust 4010"/>
    <n v="28.55"/>
    <d v="2023-05-06T00:00:00"/>
    <d v="2023-05-15T00:00:00"/>
    <s v="Ryan"/>
    <n v="6047.3465999999999"/>
    <n v="7465.86"/>
    <n v="1418.5133999999998"/>
    <x v="1"/>
    <x v="2"/>
  </r>
  <r>
    <d v="2024-11-15T00:00:00"/>
    <x v="0"/>
    <x v="4"/>
    <s v="Monitor"/>
    <s v="Monitor"/>
    <x v="0"/>
    <n v="10"/>
    <n v="98.24"/>
    <s v="Store C"/>
    <s v="Wholesale"/>
    <n v="0"/>
    <x v="2"/>
    <n v="982.4"/>
    <s v="Credit Card"/>
    <s v="FREESHIP"/>
    <n v="1"/>
    <s v="REG100515"/>
    <s v="Cust 1385"/>
    <n v="21.01"/>
    <d v="2024-11-15T00:00:00"/>
    <d v="2024-11-17T00:00:00"/>
    <s v="Eric"/>
    <n v="982.4"/>
    <n v="982.4"/>
    <n v="0"/>
    <x v="0"/>
    <x v="20"/>
  </r>
  <r>
    <d v="2024-06-28T00:00:00"/>
    <x v="3"/>
    <x v="0"/>
    <s v="Laptop"/>
    <s v="Laptop"/>
    <x v="0"/>
    <n v="6"/>
    <n v="227.6"/>
    <s v="Store D"/>
    <s v="Retail"/>
    <n v="0.05"/>
    <x v="3"/>
    <n v="1297.32"/>
    <s v="Debit Card"/>
    <s v="FREESHIP"/>
    <n v="0"/>
    <s v="REG100516"/>
    <s v="Cust 1904"/>
    <n v="38.22"/>
    <d v="2024-06-28T00:00:00"/>
    <d v="2024-07-05T00:00:00"/>
    <s v="Cameron"/>
    <n v="1232.454"/>
    <n v="1365.6"/>
    <n v="133.14599999999996"/>
    <x v="1"/>
    <x v="23"/>
  </r>
  <r>
    <d v="2025-05-11T00:00:00"/>
    <x v="3"/>
    <x v="4"/>
    <s v="Monitor"/>
    <s v="Monitor"/>
    <x v="0"/>
    <n v="5"/>
    <n v="136.13"/>
    <s v="Store C"/>
    <s v="Retail"/>
    <n v="0.15"/>
    <x v="3"/>
    <n v="578.55250000000001"/>
    <s v="Online"/>
    <m/>
    <n v="0"/>
    <s v="REG100517"/>
    <s v="Cust 6034"/>
    <n v="10.02"/>
    <d v="2025-05-11T00:00:00"/>
    <d v="2025-05-20T00:00:00"/>
    <s v="Cameron"/>
    <n v="491.76962500000002"/>
    <n v="680.65"/>
    <n v="188.88037499999996"/>
    <x v="2"/>
    <x v="13"/>
  </r>
  <r>
    <d v="2023-02-26T00:00:00"/>
    <x v="3"/>
    <x v="5"/>
    <s v="Tablet"/>
    <s v="Tablet"/>
    <x v="0"/>
    <n v="5"/>
    <n v="489.13"/>
    <s v="Store C"/>
    <s v="Retail"/>
    <n v="0.1"/>
    <x v="4"/>
    <n v="2201.085"/>
    <s v="Gift Card"/>
    <s v="FREESHIP"/>
    <n v="0"/>
    <s v="REG100518"/>
    <s v="Cust 9239"/>
    <n v="44.73"/>
    <d v="2023-02-26T00:00:00"/>
    <d v="2023-03-04T00:00:00"/>
    <s v="Cameron"/>
    <n v="1980.9765"/>
    <n v="2445.65"/>
    <n v="464.6735000000001"/>
    <x v="1"/>
    <x v="0"/>
  </r>
  <r>
    <d v="2024-04-30T00:00:00"/>
    <x v="1"/>
    <x v="0"/>
    <s v="Laptop"/>
    <s v="Laptop"/>
    <x v="0"/>
    <n v="4"/>
    <n v="414.36"/>
    <s v="Store A"/>
    <s v="Retail"/>
    <n v="0"/>
    <x v="5"/>
    <n v="1657.44"/>
    <s v="Debit Card"/>
    <s v="FREESHIP"/>
    <n v="0"/>
    <s v="REG100519"/>
    <s v="Cust 5678"/>
    <n v="8.02"/>
    <d v="2024-04-30T00:00:00"/>
    <d v="2024-05-07T00:00:00"/>
    <s v="Sophie"/>
    <n v="1657.44"/>
    <n v="1657.44"/>
    <n v="0"/>
    <x v="0"/>
    <x v="9"/>
  </r>
  <r>
    <d v="2025-03-11T00:00:00"/>
    <x v="0"/>
    <x v="0"/>
    <s v="Laptop"/>
    <s v="Laptop"/>
    <x v="0"/>
    <n v="6"/>
    <n v="138.26"/>
    <s v="Store B"/>
    <s v="Retail"/>
    <n v="0.15"/>
    <x v="0"/>
    <n v="705.12599999999998"/>
    <s v="Online"/>
    <m/>
    <n v="1"/>
    <s v="REG100520"/>
    <s v="Cust 3696"/>
    <n v="31.4"/>
    <d v="2025-03-11T00:00:00"/>
    <d v="2025-03-13T00:00:00"/>
    <s v="Eric"/>
    <n v="599.35709999999995"/>
    <n v="829.56"/>
    <n v="230.2029"/>
    <x v="2"/>
    <x v="8"/>
  </r>
  <r>
    <d v="2025-06-30T00:00:00"/>
    <x v="0"/>
    <x v="1"/>
    <s v="Phone"/>
    <s v="Phone"/>
    <x v="0"/>
    <n v="12"/>
    <n v="487.57"/>
    <s v="Store A"/>
    <s v="Wholesale"/>
    <n v="0.05"/>
    <x v="0"/>
    <n v="5558.2979999999998"/>
    <s v="Cash"/>
    <m/>
    <n v="0"/>
    <s v="REG100521"/>
    <s v="Cust 9025"/>
    <n v="37.33"/>
    <d v="2025-06-30T00:00:00"/>
    <d v="2025-07-10T00:00:00"/>
    <s v="Eric"/>
    <n v="5280.3830999999991"/>
    <n v="5850.84"/>
    <n v="570.45690000000104"/>
    <x v="1"/>
    <x v="16"/>
  </r>
  <r>
    <d v="2024-06-02T00:00:00"/>
    <x v="2"/>
    <x v="3"/>
    <s v="Chair"/>
    <s v="Chair"/>
    <x v="1"/>
    <n v="20"/>
    <n v="427.3"/>
    <s v="Store C"/>
    <s v="Wholesale"/>
    <n v="0.05"/>
    <x v="2"/>
    <n v="8118.7"/>
    <s v="Gift Card"/>
    <s v="FREESHIP"/>
    <n v="1"/>
    <s v="REG100522"/>
    <s v="Cust 9924"/>
    <n v="25.19"/>
    <d v="2024-06-02T00:00:00"/>
    <d v="2024-06-08T00:00:00"/>
    <s v="Ryan"/>
    <n v="7712.7649999999994"/>
    <n v="8546"/>
    <n v="833.23500000000058"/>
    <x v="1"/>
    <x v="23"/>
  </r>
  <r>
    <d v="2024-09-01T00:00:00"/>
    <x v="1"/>
    <x v="0"/>
    <s v="Laptop"/>
    <s v="Laptop"/>
    <x v="0"/>
    <n v="16"/>
    <n v="588.91999999999996"/>
    <s v="Store D"/>
    <s v="Wholesale"/>
    <n v="0.15"/>
    <x v="1"/>
    <n v="8009.311999999999"/>
    <s v="Cash"/>
    <s v="FREESHIP"/>
    <n v="0"/>
    <s v="REG100523"/>
    <s v="Cust 3887"/>
    <n v="7.89"/>
    <d v="2024-09-01T00:00:00"/>
    <d v="2024-09-05T00:00:00"/>
    <s v="Sophie"/>
    <n v="6807.9151999999985"/>
    <n v="9422.7199999999993"/>
    <n v="2614.8048000000008"/>
    <x v="2"/>
    <x v="26"/>
  </r>
  <r>
    <d v="2025-01-11T00:00:00"/>
    <x v="1"/>
    <x v="0"/>
    <s v="Laptop"/>
    <s v="Laptop"/>
    <x v="0"/>
    <n v="6"/>
    <n v="429.45"/>
    <s v="Store B"/>
    <s v="Retail"/>
    <n v="0.1"/>
    <x v="1"/>
    <n v="2319.0300000000002"/>
    <s v="Cash"/>
    <m/>
    <n v="0"/>
    <s v="REG100524"/>
    <s v="Cust 5302"/>
    <n v="47.18"/>
    <d v="2025-01-11T00:00:00"/>
    <d v="2025-01-18T00:00:00"/>
    <s v="Sophie"/>
    <n v="2087.1270000000004"/>
    <n v="2576.6999999999998"/>
    <n v="489.57299999999941"/>
    <x v="1"/>
    <x v="12"/>
  </r>
  <r>
    <d v="2025-03-31T00:00:00"/>
    <x v="1"/>
    <x v="1"/>
    <s v="Phone"/>
    <s v="Phone"/>
    <x v="0"/>
    <n v="1"/>
    <n v="476"/>
    <s v="Store A"/>
    <s v="Wholesale"/>
    <n v="0.15"/>
    <x v="3"/>
    <n v="404.6"/>
    <s v="Cash"/>
    <s v="FREESHIP"/>
    <n v="0"/>
    <s v="REG100525"/>
    <s v="Cust 2290"/>
    <n v="18.95"/>
    <d v="2025-03-31T00:00:00"/>
    <d v="2025-04-03T00:00:00"/>
    <s v="Sophie"/>
    <n v="343.91"/>
    <n v="476"/>
    <n v="132.08999999999997"/>
    <x v="2"/>
    <x v="8"/>
  </r>
  <r>
    <d v="2024-11-28T00:00:00"/>
    <x v="1"/>
    <x v="1"/>
    <s v="Phone"/>
    <s v="Phone"/>
    <x v="0"/>
    <n v="13"/>
    <n v="141.26"/>
    <s v="Store B"/>
    <s v="Retail"/>
    <n v="0"/>
    <x v="2"/>
    <n v="1836.38"/>
    <s v="Online"/>
    <m/>
    <n v="0"/>
    <s v="REG100526"/>
    <s v="Cust 2227"/>
    <n v="23.68"/>
    <d v="2024-11-28T00:00:00"/>
    <d v="2024-12-05T00:00:00"/>
    <s v="Sophie"/>
    <n v="1836.38"/>
    <n v="1836.3799999999999"/>
    <n v="0"/>
    <x v="0"/>
    <x v="20"/>
  </r>
  <r>
    <d v="2023-07-05T00:00:00"/>
    <x v="2"/>
    <x v="3"/>
    <s v="Chair"/>
    <s v="Chair"/>
    <x v="1"/>
    <n v="3"/>
    <n v="250.65"/>
    <s v="Store D"/>
    <s v="Retail"/>
    <n v="0.15"/>
    <x v="0"/>
    <n v="639.15750000000003"/>
    <s v="Credit Card"/>
    <s v="SAVE10"/>
    <n v="0"/>
    <s v="REG100527"/>
    <s v="Cust 1726"/>
    <n v="44.46"/>
    <d v="2023-07-05T00:00:00"/>
    <d v="2023-07-07T00:00:00"/>
    <s v="Ryan"/>
    <n v="543.28387499999997"/>
    <n v="751.95"/>
    <n v="208.66612500000008"/>
    <x v="2"/>
    <x v="11"/>
  </r>
  <r>
    <d v="2024-10-24T00:00:00"/>
    <x v="4"/>
    <x v="4"/>
    <s v="Monitor"/>
    <s v="Monitor"/>
    <x v="0"/>
    <n v="19"/>
    <n v="301.17"/>
    <s v="Store D"/>
    <s v="Retail"/>
    <n v="0.05"/>
    <x v="1"/>
    <n v="5436.1184999999996"/>
    <s v="Debit Card"/>
    <s v="WINTER15"/>
    <n v="0"/>
    <s v="REG100528"/>
    <s v="Cust 9874"/>
    <n v="5.71"/>
    <d v="2024-10-24T00:00:00"/>
    <d v="2024-11-03T00:00:00"/>
    <s v="Wendy"/>
    <n v="5164.312574999999"/>
    <n v="5722.2300000000005"/>
    <n v="557.91742500000146"/>
    <x v="1"/>
    <x v="7"/>
  </r>
  <r>
    <d v="2025-04-08T00:00:00"/>
    <x v="2"/>
    <x v="3"/>
    <s v="Chair"/>
    <s v="Chair"/>
    <x v="1"/>
    <n v="7"/>
    <n v="30.79"/>
    <s v="Store C"/>
    <s v="Retail"/>
    <n v="0.1"/>
    <x v="5"/>
    <n v="193.977"/>
    <s v="Cash"/>
    <s v="WINTER15"/>
    <n v="1"/>
    <s v="REG100529"/>
    <s v="Cust 1774"/>
    <n v="11.39"/>
    <d v="2025-04-08T00:00:00"/>
    <d v="2025-04-16T00:00:00"/>
    <s v="Ryan"/>
    <n v="174.57930000000002"/>
    <n v="215.53"/>
    <n v="40.950699999999983"/>
    <x v="1"/>
    <x v="28"/>
  </r>
  <r>
    <d v="2024-06-05T00:00:00"/>
    <x v="0"/>
    <x v="0"/>
    <s v="Laptop"/>
    <s v="Laptop"/>
    <x v="0"/>
    <n v="1"/>
    <n v="561.6"/>
    <s v="Store A"/>
    <s v="Wholesale"/>
    <n v="0.15"/>
    <x v="1"/>
    <n v="477.36"/>
    <s v="Debit Card"/>
    <s v="SAVE10"/>
    <n v="0"/>
    <s v="REG100530"/>
    <s v="Cust 2414"/>
    <n v="38.020000000000003"/>
    <d v="2024-06-05T00:00:00"/>
    <d v="2024-06-10T00:00:00"/>
    <s v="Eric"/>
    <n v="405.75600000000003"/>
    <n v="561.6"/>
    <n v="155.84399999999999"/>
    <x v="2"/>
    <x v="23"/>
  </r>
  <r>
    <d v="2025-01-23T00:00:00"/>
    <x v="4"/>
    <x v="1"/>
    <s v="Phone"/>
    <s v="Phone"/>
    <x v="0"/>
    <n v="16"/>
    <n v="193.7"/>
    <s v="Store A"/>
    <s v="Retail"/>
    <n v="0.15"/>
    <x v="5"/>
    <n v="2634.32"/>
    <s v="Credit Card"/>
    <s v="SAVE10"/>
    <n v="0"/>
    <s v="REG100531"/>
    <s v="Cust 6534"/>
    <n v="6.83"/>
    <d v="2025-01-23T00:00:00"/>
    <d v="2025-01-29T00:00:00"/>
    <s v="Wendy"/>
    <n v="2239.172"/>
    <n v="3099.2"/>
    <n v="860.02799999999979"/>
    <x v="2"/>
    <x v="12"/>
  </r>
  <r>
    <d v="2024-11-04T00:00:00"/>
    <x v="3"/>
    <x v="5"/>
    <s v="Tablet"/>
    <s v="Tablet"/>
    <x v="0"/>
    <n v="17"/>
    <n v="310.02999999999997"/>
    <s v="Store D"/>
    <s v="Retail"/>
    <n v="0.05"/>
    <x v="3"/>
    <n v="5006.9844999999987"/>
    <s v="Online"/>
    <s v="FREESHIP"/>
    <n v="0"/>
    <s v="REG100532"/>
    <s v="Cust 3170"/>
    <n v="8.06"/>
    <d v="2024-11-04T00:00:00"/>
    <d v="2024-11-12T00:00:00"/>
    <s v="Cameron"/>
    <n v="4756.6352749999987"/>
    <n v="5270.5099999999993"/>
    <n v="513.87472500000058"/>
    <x v="1"/>
    <x v="20"/>
  </r>
  <r>
    <d v="2024-01-01T00:00:00"/>
    <x v="4"/>
    <x v="6"/>
    <s v="Printer"/>
    <s v="Printer"/>
    <x v="2"/>
    <n v="13"/>
    <n v="204.67"/>
    <s v="Store A"/>
    <s v="Retail"/>
    <n v="0.15"/>
    <x v="1"/>
    <n v="2261.6035000000002"/>
    <s v="Online"/>
    <m/>
    <n v="0"/>
    <s v="REG100533"/>
    <s v="Cust 5438"/>
    <n v="6.76"/>
    <d v="2024-01-01T00:00:00"/>
    <d v="2024-01-05T00:00:00"/>
    <s v="Wendy"/>
    <n v="1922.362975"/>
    <n v="2660.71"/>
    <n v="738.34702500000003"/>
    <x v="2"/>
    <x v="24"/>
  </r>
  <r>
    <d v="2024-04-09T00:00:00"/>
    <x v="3"/>
    <x v="6"/>
    <s v="Printer"/>
    <s v="Printer"/>
    <x v="2"/>
    <n v="3"/>
    <n v="250.11"/>
    <s v="Store D"/>
    <s v="Wholesale"/>
    <n v="0"/>
    <x v="1"/>
    <n v="750.33"/>
    <s v="Gift Card"/>
    <s v="FREESHIP"/>
    <n v="0"/>
    <s v="REG100534"/>
    <s v="Cust 2670"/>
    <n v="36.35"/>
    <d v="2024-04-09T00:00:00"/>
    <d v="2024-04-17T00:00:00"/>
    <s v="Cameron"/>
    <n v="750.33"/>
    <n v="750.33"/>
    <n v="0"/>
    <x v="0"/>
    <x v="9"/>
  </r>
  <r>
    <d v="2025-01-17T00:00:00"/>
    <x v="2"/>
    <x v="2"/>
    <s v="Desk"/>
    <s v="Desk"/>
    <x v="1"/>
    <n v="12"/>
    <n v="526.82000000000005"/>
    <s v="Store A"/>
    <s v="Retail"/>
    <n v="0"/>
    <x v="2"/>
    <n v="6321.84"/>
    <s v="Credit Card"/>
    <s v="WINTER15"/>
    <n v="0"/>
    <s v="REG100535"/>
    <s v="Cust 8949"/>
    <n v="29.75"/>
    <d v="2025-01-17T00:00:00"/>
    <d v="2025-01-25T00:00:00"/>
    <s v="Ryan"/>
    <n v="6321.84"/>
    <n v="6321.84"/>
    <n v="0"/>
    <x v="0"/>
    <x v="12"/>
  </r>
  <r>
    <d v="2024-09-22T00:00:00"/>
    <x v="0"/>
    <x v="3"/>
    <s v="Chair"/>
    <s v="Chair"/>
    <x v="1"/>
    <n v="18"/>
    <n v="575.1"/>
    <s v="Store D"/>
    <s v="Wholesale"/>
    <n v="0"/>
    <x v="5"/>
    <n v="10351.799999999999"/>
    <s v="Online"/>
    <s v="FREESHIP"/>
    <n v="0"/>
    <s v="REG100536"/>
    <s v="Cust 9748"/>
    <n v="35.32"/>
    <d v="2024-09-22T00:00:00"/>
    <d v="2024-09-29T00:00:00"/>
    <s v="Eric"/>
    <n v="10351.799999999999"/>
    <n v="10351.800000000001"/>
    <n v="0"/>
    <x v="0"/>
    <x v="26"/>
  </r>
  <r>
    <d v="2023-01-20T00:00:00"/>
    <x v="0"/>
    <x v="4"/>
    <s v="Monitor"/>
    <s v="Monitor"/>
    <x v="0"/>
    <n v="8"/>
    <n v="325.52"/>
    <s v="Store C"/>
    <s v="Retail"/>
    <n v="0.1"/>
    <x v="2"/>
    <n v="2343.7440000000001"/>
    <s v="Debit Card"/>
    <s v="WINTER15"/>
    <n v="0"/>
    <s v="REG100537"/>
    <s v="Cust 1220"/>
    <n v="45.59"/>
    <d v="2023-01-20T00:00:00"/>
    <d v="2023-01-25T00:00:00"/>
    <s v="Eric"/>
    <n v="2109.3696"/>
    <n v="2604.16"/>
    <n v="494.79039999999986"/>
    <x v="1"/>
    <x v="6"/>
  </r>
  <r>
    <d v="2024-01-12T00:00:00"/>
    <x v="2"/>
    <x v="4"/>
    <s v="Monitor"/>
    <s v="Monitor"/>
    <x v="0"/>
    <n v="14"/>
    <n v="157.13999999999999"/>
    <s v="Store A"/>
    <s v="Wholesale"/>
    <n v="0.15"/>
    <x v="4"/>
    <n v="1869.9659999999999"/>
    <s v="Gift Card"/>
    <s v="SAVE10"/>
    <n v="0"/>
    <s v="REG100538"/>
    <s v="Cust 5645"/>
    <n v="36.04"/>
    <d v="2024-01-12T00:00:00"/>
    <d v="2024-01-22T00:00:00"/>
    <s v="Ryan"/>
    <n v="1589.4711"/>
    <n v="2199.96"/>
    <n v="610.48890000000006"/>
    <x v="2"/>
    <x v="24"/>
  </r>
  <r>
    <d v="2024-04-08T00:00:00"/>
    <x v="3"/>
    <x v="0"/>
    <s v="Laptop"/>
    <s v="Laptop"/>
    <x v="0"/>
    <n v="10"/>
    <n v="100.26"/>
    <s v="Store D"/>
    <s v="Wholesale"/>
    <n v="0.05"/>
    <x v="3"/>
    <n v="952.47"/>
    <s v="Gift Card"/>
    <s v="SAVE10"/>
    <n v="0"/>
    <s v="REG100539"/>
    <s v="Cust 6577"/>
    <n v="36.71"/>
    <d v="2024-04-08T00:00:00"/>
    <d v="2024-04-15T00:00:00"/>
    <s v="Cameron"/>
    <n v="904.84649999999999"/>
    <n v="1002.6"/>
    <n v="97.753500000000031"/>
    <x v="1"/>
    <x v="9"/>
  </r>
  <r>
    <d v="2023-04-27T00:00:00"/>
    <x v="3"/>
    <x v="0"/>
    <s v="Laptop"/>
    <s v="Laptop"/>
    <x v="0"/>
    <n v="9"/>
    <n v="554.48"/>
    <s v="Store C"/>
    <s v="Wholesale"/>
    <n v="0"/>
    <x v="3"/>
    <n v="4990.32"/>
    <s v="Online"/>
    <m/>
    <n v="0"/>
    <s v="REG100540"/>
    <s v="Cust 9506"/>
    <n v="48.26"/>
    <d v="2023-04-27T00:00:00"/>
    <d v="2023-05-01T00:00:00"/>
    <s v="Cameron"/>
    <n v="4990.32"/>
    <n v="4990.32"/>
    <n v="0"/>
    <x v="0"/>
    <x v="21"/>
  </r>
  <r>
    <d v="2024-07-17T00:00:00"/>
    <x v="2"/>
    <x v="1"/>
    <s v="Phone"/>
    <s v="Phone"/>
    <x v="0"/>
    <n v="4"/>
    <n v="375.96"/>
    <s v="Store C"/>
    <s v="Retail"/>
    <n v="0.15"/>
    <x v="3"/>
    <n v="1278.2639999999999"/>
    <s v="Debit Card"/>
    <m/>
    <n v="0"/>
    <s v="REG100541"/>
    <s v="Cust 9302"/>
    <n v="44.99"/>
    <d v="2024-07-17T00:00:00"/>
    <d v="2024-07-25T00:00:00"/>
    <s v="Ryan"/>
    <n v="1086.5243999999998"/>
    <n v="1503.84"/>
    <n v="417.31560000000013"/>
    <x v="2"/>
    <x v="10"/>
  </r>
  <r>
    <d v="2024-02-17T00:00:00"/>
    <x v="3"/>
    <x v="4"/>
    <s v="Monitor"/>
    <s v="Monitor"/>
    <x v="0"/>
    <n v="14"/>
    <n v="485.21"/>
    <s v="Store A"/>
    <s v="Retail"/>
    <n v="0"/>
    <x v="2"/>
    <n v="6792.94"/>
    <s v="Online"/>
    <s v="FREESHIP"/>
    <n v="0"/>
    <s v="REG100542"/>
    <s v="Cust 3030"/>
    <n v="41.72"/>
    <d v="2024-02-17T00:00:00"/>
    <d v="2024-02-23T00:00:00"/>
    <s v="Cameron"/>
    <n v="6792.94"/>
    <n v="6792.94"/>
    <n v="0"/>
    <x v="0"/>
    <x v="5"/>
  </r>
  <r>
    <d v="2024-01-25T00:00:00"/>
    <x v="1"/>
    <x v="4"/>
    <s v="Monitor"/>
    <s v="Monitor"/>
    <x v="0"/>
    <n v="9"/>
    <n v="372.44"/>
    <s v="Store A"/>
    <s v="Wholesale"/>
    <n v="0.05"/>
    <x v="4"/>
    <n v="3184.3620000000001"/>
    <s v="Gift Card"/>
    <s v="FREESHIP"/>
    <n v="0"/>
    <s v="REG100543"/>
    <s v="Cust 5896"/>
    <n v="41.87"/>
    <d v="2024-01-25T00:00:00"/>
    <d v="2024-02-02T00:00:00"/>
    <s v="Sophie"/>
    <n v="3025.1439"/>
    <n v="3351.96"/>
    <n v="326.81610000000001"/>
    <x v="1"/>
    <x v="24"/>
  </r>
  <r>
    <d v="2024-03-24T00:00:00"/>
    <x v="3"/>
    <x v="0"/>
    <s v="Laptop"/>
    <s v="Laptop"/>
    <x v="0"/>
    <n v="7"/>
    <n v="140.53"/>
    <s v="Store D"/>
    <s v="Retail"/>
    <n v="0"/>
    <x v="2"/>
    <n v="983.71"/>
    <s v="Debit Card"/>
    <m/>
    <n v="1"/>
    <s v="REG100544"/>
    <s v="Cust 3763"/>
    <n v="24.53"/>
    <d v="2024-03-24T00:00:00"/>
    <d v="2024-04-02T00:00:00"/>
    <s v="Cameron"/>
    <n v="983.71"/>
    <n v="983.71"/>
    <n v="0"/>
    <x v="0"/>
    <x v="25"/>
  </r>
  <r>
    <d v="2023-06-25T00:00:00"/>
    <x v="2"/>
    <x v="2"/>
    <s v="Desk"/>
    <s v="Desk"/>
    <x v="1"/>
    <n v="15"/>
    <n v="365.61"/>
    <s v="Store D"/>
    <s v="Retail"/>
    <n v="0.15"/>
    <x v="5"/>
    <n v="4661.5275000000001"/>
    <s v="Cash"/>
    <s v="FREESHIP"/>
    <n v="0"/>
    <s v="REG100545"/>
    <s v="Cust 9510"/>
    <n v="35.840000000000003"/>
    <d v="2023-06-25T00:00:00"/>
    <d v="2023-06-27T00:00:00"/>
    <s v="Ryan"/>
    <n v="3962.2983749999999"/>
    <n v="5484.1500000000005"/>
    <n v="1521.8516250000007"/>
    <x v="2"/>
    <x v="4"/>
  </r>
  <r>
    <d v="2023-04-17T00:00:00"/>
    <x v="1"/>
    <x v="0"/>
    <s v="Laptop"/>
    <s v="Laptop"/>
    <x v="0"/>
    <n v="20"/>
    <n v="353.97"/>
    <s v="Store B"/>
    <s v="Wholesale"/>
    <n v="0.15"/>
    <x v="2"/>
    <n v="6017.4900000000007"/>
    <s v="Cash"/>
    <s v="WINTER15"/>
    <n v="1"/>
    <s v="REG100546"/>
    <s v="Cust 7637"/>
    <n v="22.05"/>
    <d v="2023-04-17T00:00:00"/>
    <d v="2023-04-20T00:00:00"/>
    <s v="Sophie"/>
    <n v="5114.8665000000001"/>
    <n v="7079.4000000000005"/>
    <n v="1964.5335000000005"/>
    <x v="2"/>
    <x v="21"/>
  </r>
  <r>
    <d v="2023-06-28T00:00:00"/>
    <x v="0"/>
    <x v="3"/>
    <s v="Chair"/>
    <s v="Chair"/>
    <x v="1"/>
    <n v="14"/>
    <n v="293.31"/>
    <s v="Store D"/>
    <s v="Wholesale"/>
    <n v="0"/>
    <x v="1"/>
    <n v="4106.34"/>
    <s v="Gift Card"/>
    <m/>
    <n v="0"/>
    <s v="REG100547"/>
    <s v="Cust 8382"/>
    <n v="21.61"/>
    <d v="2023-06-28T00:00:00"/>
    <d v="2023-06-30T00:00:00"/>
    <s v="Eric"/>
    <n v="4106.34"/>
    <n v="4106.34"/>
    <n v="0"/>
    <x v="0"/>
    <x v="4"/>
  </r>
  <r>
    <d v="2024-04-06T00:00:00"/>
    <x v="3"/>
    <x v="3"/>
    <s v="Chair"/>
    <s v="Chair"/>
    <x v="1"/>
    <n v="10"/>
    <n v="397.39"/>
    <s v="Store D"/>
    <s v="Retail"/>
    <n v="0.15"/>
    <x v="1"/>
    <n v="3377.8150000000001"/>
    <s v="Gift Card"/>
    <m/>
    <n v="0"/>
    <s v="REG100548"/>
    <s v="Cust 4015"/>
    <n v="25.27"/>
    <d v="2024-04-06T00:00:00"/>
    <d v="2024-04-16T00:00:00"/>
    <s v="Cameron"/>
    <n v="2871.14275"/>
    <n v="3973.8999999999996"/>
    <n v="1102.7572499999997"/>
    <x v="2"/>
    <x v="9"/>
  </r>
  <r>
    <d v="2025-02-17T00:00:00"/>
    <x v="1"/>
    <x v="3"/>
    <s v="Chair"/>
    <s v="Chair"/>
    <x v="1"/>
    <n v="2"/>
    <n v="98.35"/>
    <s v="Store C"/>
    <s v="Retail"/>
    <n v="0"/>
    <x v="0"/>
    <n v="196.7"/>
    <s v="Debit Card"/>
    <s v="FREESHIP"/>
    <n v="0"/>
    <s v="REG100549"/>
    <s v="Cust 5172"/>
    <n v="28.65"/>
    <d v="2025-02-17T00:00:00"/>
    <d v="2025-02-19T00:00:00"/>
    <s v="Sophie"/>
    <n v="196.7"/>
    <n v="196.7"/>
    <n v="0"/>
    <x v="0"/>
    <x v="3"/>
  </r>
  <r>
    <d v="2023-01-08T00:00:00"/>
    <x v="1"/>
    <x v="2"/>
    <s v="Desk"/>
    <s v="Desk"/>
    <x v="1"/>
    <n v="6"/>
    <n v="581.66999999999996"/>
    <s v="Store A"/>
    <s v="Wholesale"/>
    <n v="0"/>
    <x v="2"/>
    <n v="3490.02"/>
    <s v="Debit Card"/>
    <m/>
    <n v="0"/>
    <s v="REG100550"/>
    <s v="Cust 7584"/>
    <n v="39.4"/>
    <d v="2023-01-08T00:00:00"/>
    <d v="2023-01-11T00:00:00"/>
    <s v="Sophie"/>
    <n v="3490.02"/>
    <n v="3490.0199999999995"/>
    <n v="0"/>
    <x v="0"/>
    <x v="6"/>
  </r>
  <r>
    <d v="2023-12-21T00:00:00"/>
    <x v="1"/>
    <x v="1"/>
    <s v="Phone"/>
    <s v="Phone"/>
    <x v="0"/>
    <n v="19"/>
    <n v="30.41"/>
    <s v="Store D"/>
    <s v="Retail"/>
    <n v="0.05"/>
    <x v="2"/>
    <n v="548.90049999999997"/>
    <s v="Debit Card"/>
    <s v="FREESHIP"/>
    <n v="0"/>
    <s v="REG100551"/>
    <s v="Cust 6809"/>
    <n v="48.33"/>
    <d v="2023-12-21T00:00:00"/>
    <d v="2023-12-31T00:00:00"/>
    <s v="Sophie"/>
    <n v="521.45547499999998"/>
    <n v="577.79"/>
    <n v="56.334524999999985"/>
    <x v="1"/>
    <x v="27"/>
  </r>
  <r>
    <d v="2024-07-13T00:00:00"/>
    <x v="2"/>
    <x v="4"/>
    <s v="Monitor"/>
    <s v="Monitor"/>
    <x v="0"/>
    <n v="15"/>
    <n v="368.79"/>
    <s v="Store C"/>
    <s v="Wholesale"/>
    <n v="0.1"/>
    <x v="5"/>
    <n v="4978.6650000000009"/>
    <s v="Gift Card"/>
    <s v="WINTER15"/>
    <n v="0"/>
    <s v="REG100552"/>
    <s v="Cust 7540"/>
    <n v="16.899999999999999"/>
    <d v="2024-07-13T00:00:00"/>
    <d v="2024-07-15T00:00:00"/>
    <s v="Ryan"/>
    <n v="4480.7985000000008"/>
    <n v="5531.85"/>
    <n v="1051.0514999999996"/>
    <x v="1"/>
    <x v="10"/>
  </r>
  <r>
    <d v="2024-03-23T00:00:00"/>
    <x v="4"/>
    <x v="4"/>
    <s v="Monitor"/>
    <s v="Monitor"/>
    <x v="0"/>
    <n v="4"/>
    <n v="56.06"/>
    <s v="Store D"/>
    <s v="Retail"/>
    <n v="0.15"/>
    <x v="3"/>
    <n v="190.60400000000001"/>
    <s v="Cash"/>
    <s v="SAVE10"/>
    <n v="0"/>
    <s v="REG100553"/>
    <s v="Cust 6888"/>
    <n v="10.77"/>
    <d v="2024-03-23T00:00:00"/>
    <d v="2024-04-01T00:00:00"/>
    <s v="Wendy"/>
    <n v="162.01340000000002"/>
    <n v="224.24"/>
    <n v="62.226599999999991"/>
    <x v="2"/>
    <x v="25"/>
  </r>
  <r>
    <d v="2024-03-19T00:00:00"/>
    <x v="4"/>
    <x v="3"/>
    <s v="Chair"/>
    <s v="Chair"/>
    <x v="1"/>
    <n v="7"/>
    <n v="15.65"/>
    <s v="Store D"/>
    <s v="Wholesale"/>
    <n v="0"/>
    <x v="3"/>
    <n v="109.55"/>
    <s v="Debit Card"/>
    <m/>
    <n v="0"/>
    <s v="REG100554"/>
    <s v="Cust 3304"/>
    <n v="13.28"/>
    <d v="2024-03-19T00:00:00"/>
    <d v="2024-03-25T00:00:00"/>
    <s v="Wendy"/>
    <n v="109.55"/>
    <n v="109.55"/>
    <n v="0"/>
    <x v="0"/>
    <x v="25"/>
  </r>
  <r>
    <d v="2025-05-20T00:00:00"/>
    <x v="3"/>
    <x v="5"/>
    <s v="Tablet"/>
    <s v="Tablet"/>
    <x v="0"/>
    <n v="9"/>
    <n v="380.85"/>
    <s v="Store B"/>
    <s v="Wholesale"/>
    <n v="0"/>
    <x v="3"/>
    <n v="3427.65"/>
    <s v="Cash"/>
    <s v="FREESHIP"/>
    <n v="0"/>
    <s v="REG100555"/>
    <s v="Cust 4196"/>
    <n v="33.4"/>
    <d v="2025-05-20T00:00:00"/>
    <d v="2025-05-29T00:00:00"/>
    <s v="Cameron"/>
    <n v="3427.65"/>
    <n v="3427.65"/>
    <n v="0"/>
    <x v="0"/>
    <x v="13"/>
  </r>
  <r>
    <d v="2025-01-19T00:00:00"/>
    <x v="1"/>
    <x v="3"/>
    <s v="Chair"/>
    <s v="Chair"/>
    <x v="1"/>
    <n v="11"/>
    <n v="587.21"/>
    <s v="Store C"/>
    <s v="Wholesale"/>
    <n v="0"/>
    <x v="3"/>
    <n v="6459.31"/>
    <s v="Debit Card"/>
    <s v="WINTER15"/>
    <n v="0"/>
    <s v="REG100556"/>
    <s v="Cust 6596"/>
    <n v="34.32"/>
    <d v="2025-01-19T00:00:00"/>
    <d v="2025-01-26T00:00:00"/>
    <s v="Sophie"/>
    <n v="6459.31"/>
    <n v="6459.31"/>
    <n v="0"/>
    <x v="0"/>
    <x v="12"/>
  </r>
  <r>
    <d v="2023-05-28T00:00:00"/>
    <x v="1"/>
    <x v="6"/>
    <s v="Printer"/>
    <s v="Printer"/>
    <x v="2"/>
    <n v="17"/>
    <n v="554.25"/>
    <s v="Store A"/>
    <s v="Wholesale"/>
    <n v="0.1"/>
    <x v="4"/>
    <n v="8480.0249999999996"/>
    <s v="Debit Card"/>
    <m/>
    <n v="0"/>
    <s v="REG100557"/>
    <s v="Cust 5588"/>
    <n v="8.66"/>
    <d v="2023-05-28T00:00:00"/>
    <d v="2023-06-01T00:00:00"/>
    <s v="Sophie"/>
    <n v="7632.0225"/>
    <n v="9422.25"/>
    <n v="1790.2275"/>
    <x v="1"/>
    <x v="2"/>
  </r>
  <r>
    <d v="2023-10-28T00:00:00"/>
    <x v="0"/>
    <x v="6"/>
    <s v="Printer"/>
    <s v="Printer"/>
    <x v="2"/>
    <n v="3"/>
    <n v="410.23"/>
    <s v="Store A"/>
    <s v="Wholesale"/>
    <n v="0.15"/>
    <x v="4"/>
    <n v="1046.0864999999999"/>
    <s v="Credit Card"/>
    <s v="FREESHIP"/>
    <n v="0"/>
    <s v="REG100558"/>
    <s v="Cust 1518"/>
    <n v="6.04"/>
    <d v="2023-10-28T00:00:00"/>
    <d v="2023-11-03T00:00:00"/>
    <s v="Eric"/>
    <n v="889.17352499999993"/>
    <n v="1230.69"/>
    <n v="341.51647500000013"/>
    <x v="2"/>
    <x v="19"/>
  </r>
  <r>
    <d v="2023-11-25T00:00:00"/>
    <x v="4"/>
    <x v="4"/>
    <s v="Monitor"/>
    <s v="Monitor"/>
    <x v="0"/>
    <n v="5"/>
    <n v="99.23"/>
    <s v="Store B"/>
    <s v="Retail"/>
    <n v="0"/>
    <x v="0"/>
    <n v="496.15"/>
    <s v="Debit Card"/>
    <m/>
    <n v="0"/>
    <s v="REG100559"/>
    <s v="Cust 2819"/>
    <n v="37.659999999999997"/>
    <d v="2023-11-25T00:00:00"/>
    <d v="2023-12-02T00:00:00"/>
    <s v="Wendy"/>
    <n v="496.15"/>
    <n v="496.15000000000003"/>
    <n v="0"/>
    <x v="0"/>
    <x v="15"/>
  </r>
  <r>
    <d v="2024-11-17T00:00:00"/>
    <x v="1"/>
    <x v="4"/>
    <s v="Monitor"/>
    <s v="Monitor"/>
    <x v="0"/>
    <n v="9"/>
    <n v="503.18"/>
    <s v="Store B"/>
    <s v="Wholesale"/>
    <n v="0"/>
    <x v="4"/>
    <n v="4528.62"/>
    <s v="Gift Card"/>
    <s v="SAVE10"/>
    <n v="1"/>
    <s v="REG100560"/>
    <s v="Cust 1947"/>
    <n v="46.02"/>
    <d v="2024-11-17T00:00:00"/>
    <d v="2024-11-24T00:00:00"/>
    <s v="Sophie"/>
    <n v="4528.62"/>
    <n v="4528.62"/>
    <n v="0"/>
    <x v="0"/>
    <x v="20"/>
  </r>
  <r>
    <d v="2024-01-24T00:00:00"/>
    <x v="3"/>
    <x v="4"/>
    <s v="Monitor"/>
    <s v="Monitor"/>
    <x v="0"/>
    <n v="17"/>
    <n v="155.31"/>
    <s v="Store C"/>
    <s v="Retail"/>
    <n v="0.15"/>
    <x v="5"/>
    <n v="2244.2294999999999"/>
    <s v="Credit Card"/>
    <s v="WINTER15"/>
    <n v="0"/>
    <s v="REG100561"/>
    <s v="Cust 7332"/>
    <n v="27.1"/>
    <d v="2024-01-24T00:00:00"/>
    <d v="2024-01-29T00:00:00"/>
    <s v="Cameron"/>
    <n v="1907.595075"/>
    <n v="2640.27"/>
    <n v="732.67492500000003"/>
    <x v="2"/>
    <x v="24"/>
  </r>
  <r>
    <d v="2023-06-19T00:00:00"/>
    <x v="2"/>
    <x v="3"/>
    <s v="Chair"/>
    <s v="Chair"/>
    <x v="1"/>
    <n v="7"/>
    <n v="303.79000000000002"/>
    <s v="Store D"/>
    <s v="Wholesale"/>
    <n v="0.15"/>
    <x v="2"/>
    <n v="1807.5505000000001"/>
    <s v="Credit Card"/>
    <s v="SAVE10"/>
    <n v="0"/>
    <s v="REG100562"/>
    <s v="Cust 7314"/>
    <n v="38.85"/>
    <d v="2023-06-19T00:00:00"/>
    <d v="2023-06-29T00:00:00"/>
    <s v="Ryan"/>
    <n v="1536.417925"/>
    <n v="2126.5300000000002"/>
    <n v="590.11207500000023"/>
    <x v="2"/>
    <x v="4"/>
  </r>
  <r>
    <d v="2025-01-13T00:00:00"/>
    <x v="0"/>
    <x v="1"/>
    <s v="Phone"/>
    <s v="Phone"/>
    <x v="0"/>
    <n v="17"/>
    <n v="263.75"/>
    <s v="Store B"/>
    <s v="Retail"/>
    <n v="0"/>
    <x v="1"/>
    <n v="4483.75"/>
    <s v="Online"/>
    <m/>
    <n v="1"/>
    <s v="REG100563"/>
    <s v="Cust 5296"/>
    <n v="12.97"/>
    <d v="2025-01-13T00:00:00"/>
    <d v="2025-01-18T00:00:00"/>
    <s v="Eric"/>
    <n v="4483.75"/>
    <n v="4483.75"/>
    <n v="0"/>
    <x v="0"/>
    <x v="12"/>
  </r>
  <r>
    <d v="2024-01-24T00:00:00"/>
    <x v="0"/>
    <x v="1"/>
    <s v="Phone"/>
    <s v="Phone"/>
    <x v="0"/>
    <n v="4"/>
    <n v="179.92"/>
    <s v="Store D"/>
    <s v="Retail"/>
    <n v="0.1"/>
    <x v="4"/>
    <n v="647.71199999999999"/>
    <s v="Online"/>
    <s v="WINTER15"/>
    <n v="0"/>
    <s v="REG100564"/>
    <s v="Cust 2964"/>
    <n v="35.26"/>
    <d v="2024-01-24T00:00:00"/>
    <d v="2024-02-01T00:00:00"/>
    <s v="Eric"/>
    <n v="582.94079999999997"/>
    <n v="719.68"/>
    <n v="136.73919999999998"/>
    <x v="1"/>
    <x v="24"/>
  </r>
  <r>
    <d v="2025-01-06T00:00:00"/>
    <x v="1"/>
    <x v="6"/>
    <s v="Printer"/>
    <s v="Printer"/>
    <x v="2"/>
    <n v="2"/>
    <n v="264"/>
    <s v="Store D"/>
    <s v="Retail"/>
    <n v="0"/>
    <x v="5"/>
    <n v="528"/>
    <s v="Gift Card"/>
    <s v="SAVE10"/>
    <n v="0"/>
    <s v="REG100565"/>
    <s v="Cust 5381"/>
    <n v="26.73"/>
    <d v="2025-01-06T00:00:00"/>
    <d v="2025-01-14T00:00:00"/>
    <s v="Sophie"/>
    <n v="528"/>
    <n v="528"/>
    <n v="0"/>
    <x v="0"/>
    <x v="12"/>
  </r>
  <r>
    <d v="2025-01-02T00:00:00"/>
    <x v="3"/>
    <x v="0"/>
    <s v="Laptop"/>
    <s v="Laptop"/>
    <x v="0"/>
    <n v="4"/>
    <n v="403.97"/>
    <s v="Store A"/>
    <s v="Wholesale"/>
    <n v="0.05"/>
    <x v="1"/>
    <n v="1535.086"/>
    <s v="Cash"/>
    <s v="WINTER15"/>
    <n v="0"/>
    <s v="REG100566"/>
    <s v="Cust 5436"/>
    <n v="39.92"/>
    <d v="2025-01-02T00:00:00"/>
    <d v="2025-01-09T00:00:00"/>
    <s v="Cameron"/>
    <n v="1458.3317"/>
    <n v="1615.88"/>
    <n v="157.54830000000015"/>
    <x v="1"/>
    <x v="12"/>
  </r>
  <r>
    <d v="2023-02-22T00:00:00"/>
    <x v="2"/>
    <x v="2"/>
    <s v="Desk"/>
    <s v="Desk"/>
    <x v="1"/>
    <n v="4"/>
    <n v="85.96"/>
    <s v="Store A"/>
    <s v="Retail"/>
    <n v="0.1"/>
    <x v="2"/>
    <n v="309.45600000000002"/>
    <s v="Credit Card"/>
    <m/>
    <n v="0"/>
    <s v="REG100567"/>
    <s v="Cust 1494"/>
    <n v="32.119999999999997"/>
    <d v="2023-02-22T00:00:00"/>
    <d v="2023-03-03T00:00:00"/>
    <s v="Ryan"/>
    <n v="278.5104"/>
    <n v="343.84"/>
    <n v="65.329599999999971"/>
    <x v="1"/>
    <x v="0"/>
  </r>
  <r>
    <d v="2025-02-06T00:00:00"/>
    <x v="0"/>
    <x v="2"/>
    <s v="Desk"/>
    <s v="Desk"/>
    <x v="1"/>
    <n v="2"/>
    <n v="93.49"/>
    <s v="Store A"/>
    <s v="Wholesale"/>
    <n v="0.1"/>
    <x v="1"/>
    <n v="168.28200000000001"/>
    <s v="Debit Card"/>
    <s v="WINTER15"/>
    <n v="0"/>
    <s v="REG100568"/>
    <s v="Cust 4380"/>
    <n v="26.31"/>
    <d v="2025-02-06T00:00:00"/>
    <d v="2025-02-16T00:00:00"/>
    <s v="Eric"/>
    <n v="151.4538"/>
    <n v="186.98"/>
    <n v="35.526199999999989"/>
    <x v="1"/>
    <x v="3"/>
  </r>
  <r>
    <d v="2024-09-26T00:00:00"/>
    <x v="0"/>
    <x v="2"/>
    <s v="Desk"/>
    <s v="Desk"/>
    <x v="1"/>
    <n v="11"/>
    <n v="144.29"/>
    <s v="Store B"/>
    <s v="Retail"/>
    <n v="0.05"/>
    <x v="5"/>
    <n v="1507.8305"/>
    <s v="Credit Card"/>
    <s v="WINTER15"/>
    <n v="0"/>
    <s v="REG100569"/>
    <s v="Cust 7054"/>
    <n v="11.91"/>
    <d v="2024-09-26T00:00:00"/>
    <d v="2024-09-30T00:00:00"/>
    <s v="Eric"/>
    <n v="1432.438975"/>
    <n v="1587.1899999999998"/>
    <n v="154.7510249999998"/>
    <x v="1"/>
    <x v="26"/>
  </r>
  <r>
    <d v="2025-03-28T00:00:00"/>
    <x v="2"/>
    <x v="3"/>
    <s v="Chair"/>
    <s v="Chair"/>
    <x v="1"/>
    <n v="18"/>
    <n v="553.23"/>
    <s v="Store D"/>
    <s v="Wholesale"/>
    <n v="0"/>
    <x v="2"/>
    <n v="9958.14"/>
    <s v="Cash"/>
    <s v="FREESHIP"/>
    <n v="0"/>
    <s v="REG100570"/>
    <s v="Cust 1375"/>
    <n v="31.76"/>
    <d v="2025-03-28T00:00:00"/>
    <d v="2025-04-01T00:00:00"/>
    <s v="Ryan"/>
    <n v="9958.14"/>
    <n v="9958.14"/>
    <n v="0"/>
    <x v="0"/>
    <x v="8"/>
  </r>
  <r>
    <d v="2023-07-01T00:00:00"/>
    <x v="0"/>
    <x v="3"/>
    <s v="Chair"/>
    <s v="Chair"/>
    <x v="1"/>
    <n v="9"/>
    <n v="228.3"/>
    <s v="Store B"/>
    <s v="Retail"/>
    <n v="0.05"/>
    <x v="0"/>
    <n v="1951.9649999999999"/>
    <s v="Debit Card"/>
    <s v="FREESHIP"/>
    <n v="0"/>
    <s v="REG100571"/>
    <s v="Cust 5698"/>
    <n v="8.75"/>
    <d v="2023-07-01T00:00:00"/>
    <d v="2023-07-09T00:00:00"/>
    <s v="Eric"/>
    <n v="1854.3667499999999"/>
    <n v="2054.7000000000003"/>
    <n v="200.33325000000036"/>
    <x v="1"/>
    <x v="11"/>
  </r>
  <r>
    <d v="2023-04-29T00:00:00"/>
    <x v="4"/>
    <x v="2"/>
    <s v="Desk"/>
    <s v="Desk"/>
    <x v="1"/>
    <n v="7"/>
    <n v="235.94"/>
    <s v="Store D"/>
    <s v="Wholesale"/>
    <n v="0.1"/>
    <x v="1"/>
    <n v="1486.422"/>
    <s v="Gift Card"/>
    <s v="FREESHIP"/>
    <n v="0"/>
    <s v="REG100572"/>
    <s v="Cust 3259"/>
    <n v="8.44"/>
    <d v="2023-04-29T00:00:00"/>
    <d v="2023-05-04T00:00:00"/>
    <s v="Wendy"/>
    <n v="1337.7798"/>
    <n v="1651.58"/>
    <n v="313.8001999999999"/>
    <x v="1"/>
    <x v="21"/>
  </r>
  <r>
    <d v="2023-04-30T00:00:00"/>
    <x v="0"/>
    <x v="6"/>
    <s v="Printer"/>
    <s v="Printer"/>
    <x v="2"/>
    <n v="17"/>
    <n v="369.52"/>
    <s v="Store C"/>
    <s v="Wholesale"/>
    <n v="0"/>
    <x v="3"/>
    <n v="6281.84"/>
    <s v="Gift Card"/>
    <m/>
    <n v="0"/>
    <s v="REG100573"/>
    <s v="Cust 9295"/>
    <n v="17.12"/>
    <d v="2023-04-30T00:00:00"/>
    <d v="2023-05-06T00:00:00"/>
    <s v="Eric"/>
    <n v="6281.84"/>
    <n v="6281.84"/>
    <n v="0"/>
    <x v="0"/>
    <x v="21"/>
  </r>
  <r>
    <d v="2024-03-14T00:00:00"/>
    <x v="4"/>
    <x v="1"/>
    <s v="Phone"/>
    <s v="Phone"/>
    <x v="0"/>
    <n v="8"/>
    <n v="142.09"/>
    <s v="Store A"/>
    <s v="Wholesale"/>
    <n v="0"/>
    <x v="0"/>
    <n v="1136.72"/>
    <s v="Credit Card"/>
    <s v="WINTER15"/>
    <n v="0"/>
    <s v="REG100574"/>
    <s v="Cust 7035"/>
    <n v="38.97"/>
    <d v="2024-03-14T00:00:00"/>
    <d v="2024-03-20T00:00:00"/>
    <s v="Wendy"/>
    <n v="1136.72"/>
    <n v="1136.72"/>
    <n v="0"/>
    <x v="0"/>
    <x v="25"/>
  </r>
  <r>
    <d v="2023-06-27T00:00:00"/>
    <x v="3"/>
    <x v="3"/>
    <s v="Chair"/>
    <s v="Chair"/>
    <x v="1"/>
    <n v="3"/>
    <n v="497.61"/>
    <s v="Store B"/>
    <s v="Wholesale"/>
    <n v="0.15"/>
    <x v="1"/>
    <n v="1268.9055000000001"/>
    <s v="Cash"/>
    <s v="FREESHIP"/>
    <n v="1"/>
    <s v="REG100575"/>
    <s v="Cust 9049"/>
    <n v="13.97"/>
    <d v="2023-06-27T00:00:00"/>
    <d v="2023-07-02T00:00:00"/>
    <s v="Cameron"/>
    <n v="1078.569675"/>
    <n v="1492.83"/>
    <n v="414.26032499999997"/>
    <x v="2"/>
    <x v="4"/>
  </r>
  <r>
    <d v="2024-04-10T00:00:00"/>
    <x v="2"/>
    <x v="0"/>
    <s v="Laptop"/>
    <s v="Laptop"/>
    <x v="0"/>
    <n v="19"/>
    <n v="9.48"/>
    <s v="Store A"/>
    <s v="Wholesale"/>
    <n v="0"/>
    <x v="3"/>
    <n v="180.12"/>
    <s v="Online"/>
    <m/>
    <n v="0"/>
    <s v="REG100576"/>
    <s v="Cust 6173"/>
    <n v="22.33"/>
    <d v="2024-04-10T00:00:00"/>
    <d v="2024-04-12T00:00:00"/>
    <s v="Ryan"/>
    <n v="180.12"/>
    <n v="180.12"/>
    <n v="0"/>
    <x v="0"/>
    <x v="9"/>
  </r>
  <r>
    <d v="2023-08-30T00:00:00"/>
    <x v="3"/>
    <x v="6"/>
    <s v="Printer"/>
    <s v="Printer"/>
    <x v="2"/>
    <n v="8"/>
    <n v="55.27"/>
    <s v="Store A"/>
    <s v="Wholesale"/>
    <n v="0.15"/>
    <x v="5"/>
    <n v="375.83600000000001"/>
    <s v="Cash"/>
    <s v="WINTER15"/>
    <n v="0"/>
    <s v="REG100577"/>
    <s v="Cust 3447"/>
    <n v="16.84"/>
    <d v="2023-08-30T00:00:00"/>
    <d v="2023-09-01T00:00:00"/>
    <s v="Cameron"/>
    <n v="319.4606"/>
    <n v="442.16"/>
    <n v="122.69940000000003"/>
    <x v="2"/>
    <x v="18"/>
  </r>
  <r>
    <d v="2023-10-23T00:00:00"/>
    <x v="4"/>
    <x v="0"/>
    <s v="Laptop"/>
    <s v="Laptop"/>
    <x v="0"/>
    <n v="17"/>
    <n v="25.95"/>
    <s v="Store B"/>
    <s v="Wholesale"/>
    <n v="0.05"/>
    <x v="5"/>
    <n v="419.09249999999997"/>
    <s v="Gift Card"/>
    <m/>
    <n v="0"/>
    <s v="REG100578"/>
    <s v="Cust 2218"/>
    <n v="27.68"/>
    <d v="2023-10-23T00:00:00"/>
    <d v="2023-10-30T00:00:00"/>
    <s v="Wendy"/>
    <n v="398.13787499999995"/>
    <n v="441.15"/>
    <n v="43.012125000000026"/>
    <x v="1"/>
    <x v="19"/>
  </r>
  <r>
    <d v="2023-03-23T00:00:00"/>
    <x v="2"/>
    <x v="2"/>
    <s v="Desk"/>
    <s v="Desk"/>
    <x v="1"/>
    <n v="18"/>
    <n v="209.65"/>
    <s v="Store A"/>
    <s v="Wholesale"/>
    <n v="0.1"/>
    <x v="3"/>
    <n v="3396.33"/>
    <s v="Debit Card"/>
    <m/>
    <n v="0"/>
    <s v="REG100579"/>
    <s v="Cust 8882"/>
    <n v="42.04"/>
    <d v="2023-03-23T00:00:00"/>
    <d v="2023-03-30T00:00:00"/>
    <s v="Ryan"/>
    <n v="3056.6970000000001"/>
    <n v="3773.7000000000003"/>
    <n v="717.00300000000016"/>
    <x v="1"/>
    <x v="17"/>
  </r>
  <r>
    <d v="2024-09-21T00:00:00"/>
    <x v="3"/>
    <x v="0"/>
    <s v="Laptop"/>
    <s v="Laptop"/>
    <x v="0"/>
    <n v="13"/>
    <n v="75.77"/>
    <s v="Store B"/>
    <s v="Wholesale"/>
    <n v="0.15"/>
    <x v="2"/>
    <n v="837.25850000000003"/>
    <s v="Debit Card"/>
    <s v="SAVE10"/>
    <n v="0"/>
    <s v="REG100580"/>
    <s v="Cust 6709"/>
    <n v="41.94"/>
    <d v="2024-09-21T00:00:00"/>
    <d v="2024-09-30T00:00:00"/>
    <s v="Cameron"/>
    <n v="711.66972499999997"/>
    <n v="985.01"/>
    <n v="273.34027500000002"/>
    <x v="2"/>
    <x v="26"/>
  </r>
  <r>
    <d v="2024-12-26T00:00:00"/>
    <x v="4"/>
    <x v="5"/>
    <s v="Tablet"/>
    <s v="Tablet"/>
    <x v="0"/>
    <n v="5"/>
    <n v="307.83999999999997"/>
    <s v="Store B"/>
    <s v="Wholesale"/>
    <n v="0.1"/>
    <x v="5"/>
    <n v="1385.28"/>
    <s v="Online"/>
    <s v="SAVE10"/>
    <n v="0"/>
    <s v="REG100581"/>
    <s v="Cust 8727"/>
    <n v="13.61"/>
    <d v="2024-12-26T00:00:00"/>
    <d v="2025-01-03T00:00:00"/>
    <s v="Wendy"/>
    <n v="1246.752"/>
    <n v="1539.1999999999998"/>
    <n v="292.44799999999987"/>
    <x v="1"/>
    <x v="1"/>
  </r>
  <r>
    <d v="2023-02-26T00:00:00"/>
    <x v="0"/>
    <x v="1"/>
    <s v="Phone"/>
    <s v="Phone"/>
    <x v="0"/>
    <n v="13"/>
    <n v="6.5"/>
    <s v="Store A"/>
    <s v="Wholesale"/>
    <n v="0"/>
    <x v="4"/>
    <n v="84.5"/>
    <s v="Cash"/>
    <m/>
    <n v="0"/>
    <s v="REG100582"/>
    <s v="Cust 8359"/>
    <n v="20.02"/>
    <d v="2023-02-26T00:00:00"/>
    <d v="2023-03-03T00:00:00"/>
    <s v="Eric"/>
    <n v="84.5"/>
    <n v="84.5"/>
    <n v="0"/>
    <x v="0"/>
    <x v="0"/>
  </r>
  <r>
    <d v="2024-12-10T00:00:00"/>
    <x v="2"/>
    <x v="4"/>
    <s v="Monitor"/>
    <s v="Monitor"/>
    <x v="0"/>
    <n v="8"/>
    <n v="70.790000000000006"/>
    <s v="Store B"/>
    <s v="Wholesale"/>
    <n v="0"/>
    <x v="4"/>
    <n v="566.32000000000005"/>
    <s v="Online"/>
    <m/>
    <n v="0"/>
    <s v="REG100583"/>
    <s v="Cust 1514"/>
    <n v="46.35"/>
    <d v="2024-12-10T00:00:00"/>
    <d v="2024-12-14T00:00:00"/>
    <s v="Ryan"/>
    <n v="566.32000000000005"/>
    <n v="566.32000000000005"/>
    <n v="0"/>
    <x v="0"/>
    <x v="1"/>
  </r>
  <r>
    <d v="2025-01-01T00:00:00"/>
    <x v="0"/>
    <x v="0"/>
    <s v="Laptop"/>
    <s v="Laptop"/>
    <x v="0"/>
    <n v="17"/>
    <n v="584.70000000000005"/>
    <s v="Store D"/>
    <s v="Retail"/>
    <n v="0.1"/>
    <x v="0"/>
    <n v="8945.9100000000017"/>
    <s v="Online"/>
    <m/>
    <n v="1"/>
    <s v="REG100584"/>
    <s v="Cust 2774"/>
    <n v="46.59"/>
    <d v="2025-01-01T00:00:00"/>
    <d v="2025-01-03T00:00:00"/>
    <s v="Eric"/>
    <n v="8051.3190000000013"/>
    <n v="9939.9000000000015"/>
    <n v="1888.5810000000001"/>
    <x v="1"/>
    <x v="12"/>
  </r>
  <r>
    <d v="2025-03-14T00:00:00"/>
    <x v="0"/>
    <x v="1"/>
    <s v="Phone"/>
    <s v="Phone"/>
    <x v="0"/>
    <n v="4"/>
    <n v="23.27"/>
    <s v="Store C"/>
    <s v="Wholesale"/>
    <n v="0.15"/>
    <x v="4"/>
    <n v="79.117999999999995"/>
    <s v="Online"/>
    <s v="SAVE10"/>
    <n v="0"/>
    <s v="REG100585"/>
    <s v="Cust 4270"/>
    <n v="32.86"/>
    <d v="2025-03-14T00:00:00"/>
    <d v="2025-03-21T00:00:00"/>
    <s v="Eric"/>
    <n v="67.250299999999996"/>
    <n v="93.08"/>
    <n v="25.829700000000003"/>
    <x v="2"/>
    <x v="8"/>
  </r>
  <r>
    <d v="2024-01-16T00:00:00"/>
    <x v="1"/>
    <x v="5"/>
    <s v="Tablet"/>
    <s v="Tablet"/>
    <x v="0"/>
    <n v="5"/>
    <n v="440.93"/>
    <s v="Store B"/>
    <s v="Wholesale"/>
    <n v="0.1"/>
    <x v="3"/>
    <n v="1984.1849999999999"/>
    <s v="Gift Card"/>
    <m/>
    <n v="0"/>
    <s v="REG100586"/>
    <s v="Cust 3123"/>
    <n v="23.84"/>
    <d v="2024-01-16T00:00:00"/>
    <d v="2024-01-20T00:00:00"/>
    <s v="Sophie"/>
    <n v="1785.7665"/>
    <n v="2204.65"/>
    <n v="418.88350000000014"/>
    <x v="1"/>
    <x v="24"/>
  </r>
  <r>
    <d v="2024-04-19T00:00:00"/>
    <x v="4"/>
    <x v="5"/>
    <s v="Tablet"/>
    <s v="Tablet"/>
    <x v="0"/>
    <n v="10"/>
    <n v="278.45"/>
    <s v="Store D"/>
    <s v="Wholesale"/>
    <n v="0"/>
    <x v="0"/>
    <n v="2784.5"/>
    <s v="Credit Card"/>
    <s v="SAVE10"/>
    <n v="0"/>
    <s v="REG100587"/>
    <s v="Cust 7414"/>
    <n v="11.13"/>
    <d v="2024-04-19T00:00:00"/>
    <d v="2024-04-25T00:00:00"/>
    <s v="Wendy"/>
    <n v="2784.5"/>
    <n v="2784.5"/>
    <n v="0"/>
    <x v="0"/>
    <x v="9"/>
  </r>
  <r>
    <d v="2023-12-08T00:00:00"/>
    <x v="2"/>
    <x v="4"/>
    <s v="Monitor"/>
    <s v="Monitor"/>
    <x v="0"/>
    <n v="14"/>
    <n v="382.19"/>
    <s v="Store B"/>
    <s v="Wholesale"/>
    <n v="0.05"/>
    <x v="2"/>
    <n v="5083.1269999999986"/>
    <s v="Cash"/>
    <s v="FREESHIP"/>
    <n v="1"/>
    <s v="REG100588"/>
    <s v="Cust 5051"/>
    <n v="49.12"/>
    <d v="2023-12-08T00:00:00"/>
    <d v="2023-12-11T00:00:00"/>
    <s v="Ryan"/>
    <n v="4828.9706499999984"/>
    <n v="5350.66"/>
    <n v="521.68935000000147"/>
    <x v="1"/>
    <x v="27"/>
  </r>
  <r>
    <d v="2023-03-15T00:00:00"/>
    <x v="2"/>
    <x v="4"/>
    <s v="Monitor"/>
    <s v="Monitor"/>
    <x v="0"/>
    <n v="14"/>
    <n v="232.49"/>
    <s v="Store D"/>
    <s v="Wholesale"/>
    <n v="0.05"/>
    <x v="4"/>
    <n v="3092.1170000000002"/>
    <s v="Online"/>
    <s v="SAVE10"/>
    <n v="1"/>
    <s v="REG100589"/>
    <s v="Cust 5975"/>
    <n v="5.32"/>
    <d v="2023-03-15T00:00:00"/>
    <d v="2023-03-19T00:00:00"/>
    <s v="Ryan"/>
    <n v="2937.5111499999998"/>
    <n v="3254.86"/>
    <n v="317.34885000000031"/>
    <x v="1"/>
    <x v="17"/>
  </r>
  <r>
    <d v="2025-02-07T00:00:00"/>
    <x v="1"/>
    <x v="0"/>
    <s v="Laptop"/>
    <s v="Laptop"/>
    <x v="0"/>
    <n v="17"/>
    <n v="15.01"/>
    <s v="Store D"/>
    <s v="Wholesale"/>
    <n v="0.15"/>
    <x v="4"/>
    <n v="216.89449999999999"/>
    <s v="Debit Card"/>
    <s v="SAVE10"/>
    <n v="1"/>
    <s v="REG100590"/>
    <s v="Cust 6948"/>
    <n v="22"/>
    <d v="2025-02-07T00:00:00"/>
    <d v="2025-02-13T00:00:00"/>
    <s v="Sophie"/>
    <n v="184.36032499999999"/>
    <n v="255.17"/>
    <n v="70.809674999999999"/>
    <x v="2"/>
    <x v="3"/>
  </r>
  <r>
    <d v="2025-06-27T00:00:00"/>
    <x v="2"/>
    <x v="4"/>
    <s v="Monitor"/>
    <s v="Monitor"/>
    <x v="0"/>
    <n v="11"/>
    <n v="29.41"/>
    <s v="Store D"/>
    <s v="Retail"/>
    <n v="0.05"/>
    <x v="3"/>
    <n v="307.33449999999999"/>
    <s v="Credit Card"/>
    <s v="SAVE10"/>
    <n v="0"/>
    <s v="REG100591"/>
    <s v="Cust 8253"/>
    <n v="6.16"/>
    <d v="2025-06-27T00:00:00"/>
    <d v="2025-07-02T00:00:00"/>
    <s v="Ryan"/>
    <n v="291.96777499999996"/>
    <n v="323.51"/>
    <n v="31.54222500000003"/>
    <x v="1"/>
    <x v="16"/>
  </r>
  <r>
    <d v="2024-12-17T00:00:00"/>
    <x v="3"/>
    <x v="5"/>
    <s v="Tablet"/>
    <s v="Tablet"/>
    <x v="0"/>
    <n v="1"/>
    <n v="486.19"/>
    <s v="Store B"/>
    <s v="Retail"/>
    <n v="0.05"/>
    <x v="2"/>
    <n v="461.88049999999998"/>
    <s v="Online"/>
    <s v="SAVE10"/>
    <n v="0"/>
    <s v="REG100592"/>
    <s v="Cust 7238"/>
    <n v="41.73"/>
    <d v="2024-12-17T00:00:00"/>
    <d v="2024-12-20T00:00:00"/>
    <s v="Cameron"/>
    <n v="438.78647499999994"/>
    <n v="486.19"/>
    <n v="47.403525000000059"/>
    <x v="1"/>
    <x v="1"/>
  </r>
  <r>
    <d v="2024-05-03T00:00:00"/>
    <x v="1"/>
    <x v="0"/>
    <s v="Laptop"/>
    <s v="Laptop"/>
    <x v="0"/>
    <n v="6"/>
    <n v="266.67"/>
    <s v="Store B"/>
    <s v="Wholesale"/>
    <n v="0.05"/>
    <x v="0"/>
    <n v="1520.019"/>
    <s v="Debit Card"/>
    <m/>
    <n v="0"/>
    <s v="REG100593"/>
    <s v="Cust 2219"/>
    <n v="48.49"/>
    <d v="2024-05-03T00:00:00"/>
    <d v="2024-05-11T00:00:00"/>
    <s v="Sophie"/>
    <n v="1444.0180499999999"/>
    <n v="1600.02"/>
    <n v="156.00195000000008"/>
    <x v="1"/>
    <x v="14"/>
  </r>
  <r>
    <d v="2023-12-26T00:00:00"/>
    <x v="1"/>
    <x v="6"/>
    <s v="Printer"/>
    <s v="Printer"/>
    <x v="2"/>
    <n v="3"/>
    <n v="300.8"/>
    <s v="Store B"/>
    <s v="Wholesale"/>
    <n v="0.1"/>
    <x v="3"/>
    <n v="812.16000000000008"/>
    <s v="Cash"/>
    <m/>
    <n v="1"/>
    <s v="REG100594"/>
    <s v="Cust 4297"/>
    <n v="15.98"/>
    <d v="2023-12-26T00:00:00"/>
    <d v="2024-01-01T00:00:00"/>
    <s v="Sophie"/>
    <n v="730.94400000000007"/>
    <n v="902.40000000000009"/>
    <n v="171.45600000000002"/>
    <x v="1"/>
    <x v="27"/>
  </r>
  <r>
    <d v="2024-05-13T00:00:00"/>
    <x v="3"/>
    <x v="6"/>
    <s v="Printer"/>
    <s v="Printer"/>
    <x v="2"/>
    <n v="11"/>
    <n v="79.63"/>
    <s v="Store B"/>
    <s v="Wholesale"/>
    <n v="0.05"/>
    <x v="2"/>
    <n v="832.13349999999991"/>
    <s v="Online"/>
    <m/>
    <n v="0"/>
    <s v="REG100595"/>
    <s v="Cust 6665"/>
    <n v="43.84"/>
    <d v="2024-05-13T00:00:00"/>
    <d v="2024-05-19T00:00:00"/>
    <s v="Cameron"/>
    <n v="790.52682499999992"/>
    <n v="875.93"/>
    <n v="85.403175000000033"/>
    <x v="1"/>
    <x v="14"/>
  </r>
  <r>
    <d v="2023-10-07T00:00:00"/>
    <x v="1"/>
    <x v="0"/>
    <s v="Laptop"/>
    <s v="Laptop"/>
    <x v="0"/>
    <n v="6"/>
    <n v="505.7"/>
    <s v="Store C"/>
    <s v="Retail"/>
    <n v="0"/>
    <x v="1"/>
    <n v="3034.2"/>
    <s v="Cash"/>
    <m/>
    <n v="0"/>
    <s v="REG100596"/>
    <s v="Cust 4252"/>
    <n v="40.380000000000003"/>
    <d v="2023-10-07T00:00:00"/>
    <d v="2023-10-16T00:00:00"/>
    <s v="Sophie"/>
    <n v="3034.2"/>
    <n v="3034.2"/>
    <n v="0"/>
    <x v="0"/>
    <x v="19"/>
  </r>
  <r>
    <d v="2023-07-11T00:00:00"/>
    <x v="4"/>
    <x v="6"/>
    <s v="Printer"/>
    <s v="Printer"/>
    <x v="2"/>
    <n v="5"/>
    <n v="569.62"/>
    <s v="Store C"/>
    <s v="Wholesale"/>
    <n v="0"/>
    <x v="4"/>
    <n v="2848.1"/>
    <s v="Debit Card"/>
    <s v="FREESHIP"/>
    <n v="0"/>
    <s v="REG100597"/>
    <s v="Cust 6104"/>
    <n v="48.8"/>
    <d v="2023-07-11T00:00:00"/>
    <d v="2023-07-13T00:00:00"/>
    <s v="Wendy"/>
    <n v="2848.1"/>
    <n v="2848.1"/>
    <n v="0"/>
    <x v="0"/>
    <x v="11"/>
  </r>
  <r>
    <d v="2025-01-31T00:00:00"/>
    <x v="1"/>
    <x v="5"/>
    <s v="Tablet"/>
    <s v="Tablet"/>
    <x v="0"/>
    <n v="19"/>
    <n v="90.85"/>
    <s v="Store C"/>
    <s v="Retail"/>
    <n v="0.05"/>
    <x v="1"/>
    <n v="1639.8425"/>
    <s v="Credit Card"/>
    <s v="SAVE10"/>
    <n v="0"/>
    <s v="REG100598"/>
    <s v="Cust 6407"/>
    <n v="22.28"/>
    <d v="2025-01-31T00:00:00"/>
    <d v="2025-02-06T00:00:00"/>
    <s v="Sophie"/>
    <n v="1557.850375"/>
    <n v="1726.1499999999999"/>
    <n v="168.29962499999988"/>
    <x v="1"/>
    <x v="12"/>
  </r>
  <r>
    <d v="2023-02-04T00:00:00"/>
    <x v="1"/>
    <x v="3"/>
    <s v="Chair"/>
    <s v="Chair"/>
    <x v="1"/>
    <n v="2"/>
    <n v="296.91000000000003"/>
    <s v="Store A"/>
    <s v="Wholesale"/>
    <n v="0.05"/>
    <x v="3"/>
    <n v="564.12900000000002"/>
    <s v="Debit Card"/>
    <s v="WINTER15"/>
    <n v="0"/>
    <s v="REG100599"/>
    <s v="Cust 3573"/>
    <n v="44.35"/>
    <d v="2023-02-04T00:00:00"/>
    <d v="2023-02-07T00:00:00"/>
    <s v="Sophie"/>
    <n v="535.92255"/>
    <n v="593.82000000000005"/>
    <n v="57.897450000000049"/>
    <x v="1"/>
    <x v="0"/>
  </r>
  <r>
    <d v="2023-09-02T00:00:00"/>
    <x v="1"/>
    <x v="6"/>
    <s v="Printer"/>
    <s v="Printer"/>
    <x v="2"/>
    <n v="2"/>
    <n v="6.19"/>
    <s v="Store B"/>
    <s v="Retail"/>
    <n v="0.1"/>
    <x v="2"/>
    <n v="11.141999999999999"/>
    <s v="Credit Card"/>
    <s v="FREESHIP"/>
    <n v="1"/>
    <s v="REG100600"/>
    <s v="Cust 5280"/>
    <n v="47.24"/>
    <d v="2023-09-02T00:00:00"/>
    <d v="2023-09-12T00:00:00"/>
    <s v="Sophie"/>
    <n v="10.027799999999999"/>
    <n v="12.38"/>
    <n v="2.3522000000000016"/>
    <x v="1"/>
    <x v="22"/>
  </r>
  <r>
    <d v="2024-12-13T00:00:00"/>
    <x v="3"/>
    <x v="4"/>
    <s v="Monitor"/>
    <s v="Monitor"/>
    <x v="0"/>
    <n v="18"/>
    <n v="207.35"/>
    <s v="Store D"/>
    <s v="Wholesale"/>
    <n v="0.15"/>
    <x v="1"/>
    <n v="3172.454999999999"/>
    <s v="Debit Card"/>
    <s v="FREESHIP"/>
    <n v="0"/>
    <s v="REG100601"/>
    <s v="Cust 2365"/>
    <n v="11.17"/>
    <d v="2024-12-13T00:00:00"/>
    <d v="2024-12-15T00:00:00"/>
    <s v="Cameron"/>
    <n v="2696.586749999999"/>
    <n v="3732.2999999999997"/>
    <n v="1035.7132500000007"/>
    <x v="2"/>
    <x v="1"/>
  </r>
  <r>
    <d v="2023-10-13T00:00:00"/>
    <x v="3"/>
    <x v="5"/>
    <s v="Tablet"/>
    <s v="Tablet"/>
    <x v="0"/>
    <n v="5"/>
    <n v="75.27"/>
    <s v="Store A"/>
    <s v="Wholesale"/>
    <n v="0"/>
    <x v="3"/>
    <n v="376.35"/>
    <s v="Cash"/>
    <m/>
    <n v="0"/>
    <s v="REG100602"/>
    <s v="Cust 7130"/>
    <n v="31.61"/>
    <d v="2023-10-13T00:00:00"/>
    <d v="2023-10-22T00:00:00"/>
    <s v="Cameron"/>
    <n v="376.35"/>
    <n v="376.34999999999997"/>
    <n v="0"/>
    <x v="0"/>
    <x v="19"/>
  </r>
  <r>
    <d v="2024-10-03T00:00:00"/>
    <x v="1"/>
    <x v="4"/>
    <s v="Monitor"/>
    <s v="Monitor"/>
    <x v="0"/>
    <n v="3"/>
    <n v="136.15"/>
    <s v="Store A"/>
    <s v="Retail"/>
    <n v="0.1"/>
    <x v="4"/>
    <n v="367.60500000000008"/>
    <s v="Gift Card"/>
    <s v="SAVE10"/>
    <n v="0"/>
    <s v="REG100603"/>
    <s v="Cust 6539"/>
    <n v="48.38"/>
    <d v="2024-10-03T00:00:00"/>
    <d v="2024-10-07T00:00:00"/>
    <s v="Sophie"/>
    <n v="330.8445000000001"/>
    <n v="408.45000000000005"/>
    <n v="77.60549999999995"/>
    <x v="1"/>
    <x v="7"/>
  </r>
  <r>
    <d v="2024-04-28T00:00:00"/>
    <x v="3"/>
    <x v="2"/>
    <s v="Desk"/>
    <s v="Desk"/>
    <x v="1"/>
    <n v="5"/>
    <n v="544.66"/>
    <s v="Store B"/>
    <s v="Retail"/>
    <n v="0.1"/>
    <x v="4"/>
    <n v="2450.9699999999998"/>
    <s v="Online"/>
    <s v="SAVE10"/>
    <n v="0"/>
    <s v="REG100604"/>
    <s v="Cust 1656"/>
    <n v="8.39"/>
    <d v="2024-04-28T00:00:00"/>
    <d v="2024-05-04T00:00:00"/>
    <s v="Cameron"/>
    <n v="2205.873"/>
    <n v="2723.2999999999997"/>
    <n v="517.42699999999968"/>
    <x v="1"/>
    <x v="9"/>
  </r>
  <r>
    <d v="2024-02-07T00:00:00"/>
    <x v="3"/>
    <x v="2"/>
    <s v="Desk"/>
    <s v="Desk"/>
    <x v="1"/>
    <n v="8"/>
    <n v="561.9"/>
    <s v="Store A"/>
    <s v="Retail"/>
    <n v="0.15"/>
    <x v="5"/>
    <n v="3820.92"/>
    <s v="Online"/>
    <s v="FREESHIP"/>
    <n v="1"/>
    <s v="REG100605"/>
    <s v="Cust 1932"/>
    <n v="15.97"/>
    <d v="2024-02-07T00:00:00"/>
    <d v="2024-02-14T00:00:00"/>
    <s v="Cameron"/>
    <n v="3247.7820000000002"/>
    <n v="4495.2"/>
    <n v="1247.4179999999997"/>
    <x v="2"/>
    <x v="5"/>
  </r>
  <r>
    <d v="2023-02-08T00:00:00"/>
    <x v="1"/>
    <x v="3"/>
    <s v="Chair"/>
    <s v="Chair"/>
    <x v="1"/>
    <n v="20"/>
    <n v="313.47000000000003"/>
    <s v="Store C"/>
    <s v="Retail"/>
    <n v="0.15"/>
    <x v="1"/>
    <n v="5328.9900000000007"/>
    <s v="Online"/>
    <s v="FREESHIP"/>
    <n v="0"/>
    <s v="REG100606"/>
    <s v="Cust 7367"/>
    <n v="18.170000000000002"/>
    <d v="2023-02-08T00:00:00"/>
    <d v="2023-02-11T00:00:00"/>
    <s v="Sophie"/>
    <n v="4529.6415000000006"/>
    <n v="6269.4000000000005"/>
    <n v="1739.7584999999999"/>
    <x v="2"/>
    <x v="0"/>
  </r>
  <r>
    <d v="2023-06-17T00:00:00"/>
    <x v="1"/>
    <x v="1"/>
    <s v="Phone"/>
    <s v="Phone"/>
    <x v="0"/>
    <n v="1"/>
    <n v="418.45"/>
    <s v="Store C"/>
    <s v="Retail"/>
    <n v="0.15"/>
    <x v="4"/>
    <n v="355.6825"/>
    <s v="Cash"/>
    <s v="WINTER15"/>
    <n v="0"/>
    <s v="REG100607"/>
    <s v="Cust 1116"/>
    <n v="35.58"/>
    <d v="2023-06-17T00:00:00"/>
    <d v="2023-06-19T00:00:00"/>
    <s v="Sophie"/>
    <n v="302.33012500000001"/>
    <n v="418.45"/>
    <n v="116.11987499999998"/>
    <x v="2"/>
    <x v="4"/>
  </r>
  <r>
    <d v="2024-07-29T00:00:00"/>
    <x v="4"/>
    <x v="4"/>
    <s v="Monitor"/>
    <s v="Monitor"/>
    <x v="0"/>
    <n v="8"/>
    <n v="420.75"/>
    <s v="Store B"/>
    <s v="Wholesale"/>
    <n v="0.1"/>
    <x v="5"/>
    <n v="3029.4"/>
    <s v="Online"/>
    <s v="SAVE10"/>
    <n v="1"/>
    <s v="REG100608"/>
    <s v="Cust 4464"/>
    <n v="44.61"/>
    <d v="2024-07-29T00:00:00"/>
    <d v="2024-08-01T00:00:00"/>
    <s v="Wendy"/>
    <n v="2726.46"/>
    <n v="3366"/>
    <n v="639.54"/>
    <x v="1"/>
    <x v="10"/>
  </r>
  <r>
    <d v="2024-01-29T00:00:00"/>
    <x v="4"/>
    <x v="6"/>
    <s v="Printer"/>
    <s v="Printer"/>
    <x v="2"/>
    <n v="16"/>
    <n v="514.36"/>
    <s v="Store D"/>
    <s v="Wholesale"/>
    <n v="0"/>
    <x v="1"/>
    <n v="8229.76"/>
    <s v="Online"/>
    <s v="SAVE10"/>
    <n v="0"/>
    <s v="REG100609"/>
    <s v="Cust 2543"/>
    <n v="40.75"/>
    <d v="2024-01-29T00:00:00"/>
    <d v="2024-02-01T00:00:00"/>
    <s v="Wendy"/>
    <n v="8229.76"/>
    <n v="8229.76"/>
    <n v="0"/>
    <x v="0"/>
    <x v="24"/>
  </r>
  <r>
    <d v="2024-01-18T00:00:00"/>
    <x v="0"/>
    <x v="1"/>
    <s v="Phone"/>
    <s v="Phone"/>
    <x v="0"/>
    <n v="2"/>
    <n v="297.2"/>
    <s v="Store B"/>
    <s v="Retail"/>
    <n v="0.1"/>
    <x v="2"/>
    <n v="534.96"/>
    <s v="Gift Card"/>
    <s v="FREESHIP"/>
    <n v="0"/>
    <s v="REG100610"/>
    <s v="Cust 7948"/>
    <n v="8.7100000000000009"/>
    <d v="2024-01-18T00:00:00"/>
    <d v="2024-01-23T00:00:00"/>
    <s v="Eric"/>
    <n v="481.46400000000006"/>
    <n v="594.4"/>
    <n v="112.93599999999992"/>
    <x v="1"/>
    <x v="24"/>
  </r>
  <r>
    <d v="2024-08-12T00:00:00"/>
    <x v="2"/>
    <x v="3"/>
    <s v="Chair"/>
    <s v="Chair"/>
    <x v="1"/>
    <n v="10"/>
    <n v="278"/>
    <s v="Store C"/>
    <s v="Retail"/>
    <n v="0"/>
    <x v="5"/>
    <n v="2780"/>
    <s v="Credit Card"/>
    <m/>
    <n v="0"/>
    <s v="REG100611"/>
    <s v="Cust 3199"/>
    <n v="24.25"/>
    <d v="2024-08-12T00:00:00"/>
    <d v="2024-08-22T00:00:00"/>
    <s v="Ryan"/>
    <n v="2780"/>
    <n v="2780"/>
    <n v="0"/>
    <x v="0"/>
    <x v="29"/>
  </r>
  <r>
    <d v="2025-04-16T00:00:00"/>
    <x v="4"/>
    <x v="4"/>
    <s v="Monitor"/>
    <s v="Monitor"/>
    <x v="0"/>
    <n v="8"/>
    <n v="583.16999999999996"/>
    <s v="Store D"/>
    <s v="Wholesale"/>
    <n v="0.1"/>
    <x v="2"/>
    <n v="4198.8239999999996"/>
    <s v="Credit Card"/>
    <s v="WINTER15"/>
    <n v="0"/>
    <s v="REG100612"/>
    <s v="Cust 2800"/>
    <n v="49.18"/>
    <d v="2025-04-16T00:00:00"/>
    <d v="2025-04-20T00:00:00"/>
    <s v="Wendy"/>
    <n v="3778.9415999999997"/>
    <n v="4665.3599999999997"/>
    <n v="886.41840000000002"/>
    <x v="1"/>
    <x v="28"/>
  </r>
  <r>
    <d v="2023-02-26T00:00:00"/>
    <x v="3"/>
    <x v="2"/>
    <s v="Desk"/>
    <s v="Desk"/>
    <x v="1"/>
    <n v="16"/>
    <n v="75.62"/>
    <s v="Store D"/>
    <s v="Retail"/>
    <n v="0.1"/>
    <x v="4"/>
    <n v="1088.9280000000001"/>
    <s v="Cash"/>
    <s v="WINTER15"/>
    <n v="0"/>
    <s v="REG100613"/>
    <s v="Cust 3863"/>
    <n v="27.39"/>
    <d v="2023-02-26T00:00:00"/>
    <d v="2023-03-02T00:00:00"/>
    <s v="Cameron"/>
    <n v="980.03520000000015"/>
    <n v="1209.92"/>
    <n v="229.88479999999993"/>
    <x v="1"/>
    <x v="0"/>
  </r>
  <r>
    <d v="2023-01-07T00:00:00"/>
    <x v="0"/>
    <x v="2"/>
    <s v="Desk"/>
    <s v="Desk"/>
    <x v="1"/>
    <n v="13"/>
    <n v="561.62"/>
    <s v="Store C"/>
    <s v="Wholesale"/>
    <n v="0.05"/>
    <x v="2"/>
    <n v="6936.0069999999996"/>
    <s v="Gift Card"/>
    <s v="FREESHIP"/>
    <n v="0"/>
    <s v="REG100614"/>
    <s v="Cust 8391"/>
    <n v="12.91"/>
    <d v="2023-01-07T00:00:00"/>
    <d v="2023-01-11T00:00:00"/>
    <s v="Eric"/>
    <n v="6589.2066499999992"/>
    <n v="7301.06"/>
    <n v="711.85335000000123"/>
    <x v="1"/>
    <x v="6"/>
  </r>
  <r>
    <d v="2023-10-24T00:00:00"/>
    <x v="1"/>
    <x v="2"/>
    <s v="Desk"/>
    <s v="Desk"/>
    <x v="1"/>
    <n v="5"/>
    <n v="359.61"/>
    <s v="Store A"/>
    <s v="Retail"/>
    <n v="0"/>
    <x v="5"/>
    <n v="1798.05"/>
    <s v="Online"/>
    <s v="FREESHIP"/>
    <n v="0"/>
    <s v="REG100615"/>
    <s v="Cust 6711"/>
    <n v="41.31"/>
    <d v="2023-10-24T00:00:00"/>
    <d v="2023-11-03T00:00:00"/>
    <s v="Sophie"/>
    <n v="1798.05"/>
    <n v="1798.0500000000002"/>
    <n v="0"/>
    <x v="0"/>
    <x v="19"/>
  </r>
  <r>
    <d v="2024-01-02T00:00:00"/>
    <x v="2"/>
    <x v="5"/>
    <s v="Tablet"/>
    <s v="Tablet"/>
    <x v="0"/>
    <n v="15"/>
    <n v="115.48"/>
    <s v="Store A"/>
    <s v="Retail"/>
    <n v="0.15"/>
    <x v="2"/>
    <n v="1472.37"/>
    <s v="Credit Card"/>
    <m/>
    <n v="0"/>
    <s v="REG100616"/>
    <s v="Cust 8653"/>
    <n v="6.04"/>
    <d v="2024-01-02T00:00:00"/>
    <d v="2024-01-12T00:00:00"/>
    <s v="Ryan"/>
    <n v="1251.5144999999998"/>
    <n v="1732.2"/>
    <n v="480.68550000000027"/>
    <x v="2"/>
    <x v="24"/>
  </r>
  <r>
    <d v="2024-09-17T00:00:00"/>
    <x v="1"/>
    <x v="0"/>
    <s v="Laptop"/>
    <s v="Laptop"/>
    <x v="0"/>
    <n v="12"/>
    <n v="596.26"/>
    <s v="Store D"/>
    <s v="Wholesale"/>
    <n v="0.15"/>
    <x v="0"/>
    <n v="6081.8519999999999"/>
    <s v="Gift Card"/>
    <s v="WINTER15"/>
    <n v="0"/>
    <s v="REG100617"/>
    <s v="Cust 7937"/>
    <n v="28.27"/>
    <d v="2024-09-17T00:00:00"/>
    <d v="2024-09-25T00:00:00"/>
    <s v="Sophie"/>
    <n v="5169.5742"/>
    <n v="7155.12"/>
    <n v="1985.5457999999999"/>
    <x v="2"/>
    <x v="26"/>
  </r>
  <r>
    <d v="2024-05-05T00:00:00"/>
    <x v="3"/>
    <x v="5"/>
    <s v="Tablet"/>
    <s v="Tablet"/>
    <x v="0"/>
    <n v="19"/>
    <n v="401.68"/>
    <s v="Store C"/>
    <s v="Wholesale"/>
    <n v="0.05"/>
    <x v="1"/>
    <n v="7250.3239999999996"/>
    <s v="Debit Card"/>
    <s v="WINTER15"/>
    <n v="1"/>
    <s v="REG100618"/>
    <s v="Cust 5972"/>
    <n v="37.770000000000003"/>
    <d v="2024-05-05T00:00:00"/>
    <d v="2024-05-11T00:00:00"/>
    <s v="Cameron"/>
    <n v="6887.8077999999996"/>
    <n v="7631.92"/>
    <n v="744.11220000000048"/>
    <x v="1"/>
    <x v="14"/>
  </r>
  <r>
    <d v="2025-06-27T00:00:00"/>
    <x v="4"/>
    <x v="2"/>
    <s v="Desk"/>
    <s v="Desk"/>
    <x v="1"/>
    <n v="13"/>
    <n v="112.88"/>
    <s v="Store D"/>
    <s v="Retail"/>
    <n v="0"/>
    <x v="2"/>
    <n v="1467.44"/>
    <s v="Debit Card"/>
    <m/>
    <n v="0"/>
    <s v="REG100619"/>
    <s v="Cust 8597"/>
    <n v="12.39"/>
    <d v="2025-06-27T00:00:00"/>
    <d v="2025-06-29T00:00:00"/>
    <s v="Wendy"/>
    <n v="1467.44"/>
    <n v="1467.44"/>
    <n v="0"/>
    <x v="0"/>
    <x v="16"/>
  </r>
  <r>
    <d v="2024-05-14T00:00:00"/>
    <x v="4"/>
    <x v="1"/>
    <s v="Phone"/>
    <s v="Phone"/>
    <x v="0"/>
    <n v="6"/>
    <n v="370.08"/>
    <s v="Store D"/>
    <s v="Retail"/>
    <n v="0.15"/>
    <x v="1"/>
    <n v="1887.4079999999999"/>
    <s v="Online"/>
    <s v="SAVE10"/>
    <n v="0"/>
    <s v="REG100620"/>
    <s v="Cust 5382"/>
    <n v="7.39"/>
    <d v="2024-05-14T00:00:00"/>
    <d v="2024-05-22T00:00:00"/>
    <s v="Wendy"/>
    <n v="1604.2967999999998"/>
    <n v="2220.48"/>
    <n v="616.18320000000017"/>
    <x v="2"/>
    <x v="14"/>
  </r>
  <r>
    <d v="2024-02-29T00:00:00"/>
    <x v="2"/>
    <x v="3"/>
    <s v="Chair"/>
    <s v="Chair"/>
    <x v="1"/>
    <n v="15"/>
    <n v="119.86"/>
    <s v="Store A"/>
    <s v="Wholesale"/>
    <n v="0.15"/>
    <x v="5"/>
    <n v="1528.2149999999999"/>
    <s v="Debit Card"/>
    <m/>
    <n v="1"/>
    <s v="REG100621"/>
    <s v="Cust 4323"/>
    <n v="30.78"/>
    <d v="2024-02-29T00:00:00"/>
    <d v="2024-03-05T00:00:00"/>
    <s v="Ryan"/>
    <n v="1298.9827499999999"/>
    <n v="1797.9"/>
    <n v="498.91725000000019"/>
    <x v="2"/>
    <x v="5"/>
  </r>
  <r>
    <d v="2025-05-19T00:00:00"/>
    <x v="0"/>
    <x v="1"/>
    <s v="Phone"/>
    <s v="Phone"/>
    <x v="0"/>
    <n v="5"/>
    <n v="271.44"/>
    <s v="Store A"/>
    <s v="Wholesale"/>
    <n v="0.15"/>
    <x v="4"/>
    <n v="1153.6199999999999"/>
    <s v="Debit Card"/>
    <s v="FREESHIP"/>
    <n v="0"/>
    <s v="REG100622"/>
    <s v="Cust 1767"/>
    <n v="5.98"/>
    <d v="2025-05-19T00:00:00"/>
    <d v="2025-05-27T00:00:00"/>
    <s v="Eric"/>
    <n v="980.57699999999988"/>
    <n v="1357.2"/>
    <n v="376.62300000000016"/>
    <x v="2"/>
    <x v="13"/>
  </r>
  <r>
    <d v="2024-12-02T00:00:00"/>
    <x v="0"/>
    <x v="2"/>
    <s v="Desk"/>
    <s v="Desk"/>
    <x v="1"/>
    <n v="9"/>
    <n v="363.39"/>
    <s v="Store B"/>
    <s v="Wholesale"/>
    <n v="0.05"/>
    <x v="4"/>
    <n v="3106.9845"/>
    <s v="Gift Card"/>
    <m/>
    <n v="0"/>
    <s v="REG100623"/>
    <s v="Cust 3845"/>
    <n v="41.64"/>
    <d v="2024-12-02T00:00:00"/>
    <d v="2024-12-04T00:00:00"/>
    <s v="Eric"/>
    <n v="2951.6352750000001"/>
    <n v="3270.5099999999998"/>
    <n v="318.87472499999967"/>
    <x v="1"/>
    <x v="1"/>
  </r>
  <r>
    <d v="2024-07-30T00:00:00"/>
    <x v="4"/>
    <x v="6"/>
    <s v="Printer"/>
    <s v="Printer"/>
    <x v="2"/>
    <n v="12"/>
    <n v="533.77"/>
    <s v="Store D"/>
    <s v="Wholesale"/>
    <n v="0.15"/>
    <x v="1"/>
    <n v="5444.4539999999997"/>
    <s v="Cash"/>
    <s v="SAVE10"/>
    <n v="0"/>
    <s v="REG100624"/>
    <s v="Cust 5912"/>
    <n v="48.71"/>
    <d v="2024-07-30T00:00:00"/>
    <d v="2024-08-04T00:00:00"/>
    <s v="Wendy"/>
    <n v="4627.7858999999999"/>
    <n v="6405.24"/>
    <n v="1777.4540999999999"/>
    <x v="2"/>
    <x v="10"/>
  </r>
  <r>
    <d v="2023-06-25T00:00:00"/>
    <x v="1"/>
    <x v="2"/>
    <s v="Desk"/>
    <s v="Desk"/>
    <x v="1"/>
    <n v="12"/>
    <n v="192.03"/>
    <s v="Store B"/>
    <s v="Wholesale"/>
    <n v="0.1"/>
    <x v="3"/>
    <n v="2073.924"/>
    <s v="Credit Card"/>
    <m/>
    <n v="0"/>
    <s v="REG100625"/>
    <s v="Cust 4446"/>
    <n v="41.08"/>
    <d v="2023-06-25T00:00:00"/>
    <d v="2023-07-03T00:00:00"/>
    <s v="Sophie"/>
    <n v="1866.5316"/>
    <n v="2304.36"/>
    <n v="437.8284000000001"/>
    <x v="1"/>
    <x v="4"/>
  </r>
  <r>
    <d v="2024-07-10T00:00:00"/>
    <x v="1"/>
    <x v="3"/>
    <s v="Chair"/>
    <s v="Chair"/>
    <x v="1"/>
    <n v="20"/>
    <n v="504.22"/>
    <s v="Store D"/>
    <s v="Wholesale"/>
    <n v="0"/>
    <x v="2"/>
    <n v="10084.4"/>
    <s v="Online"/>
    <s v="WINTER15"/>
    <n v="0"/>
    <s v="REG100626"/>
    <s v="Cust 6107"/>
    <n v="14.61"/>
    <d v="2024-07-10T00:00:00"/>
    <d v="2024-07-19T00:00:00"/>
    <s v="Sophie"/>
    <n v="10084.4"/>
    <n v="10084.400000000001"/>
    <n v="0"/>
    <x v="0"/>
    <x v="10"/>
  </r>
  <r>
    <d v="2023-01-06T00:00:00"/>
    <x v="0"/>
    <x v="0"/>
    <s v="Laptop"/>
    <s v="Laptop"/>
    <x v="0"/>
    <n v="7"/>
    <n v="193.66"/>
    <s v="Store A"/>
    <s v="Wholesale"/>
    <n v="0.1"/>
    <x v="4"/>
    <n v="1220.058"/>
    <s v="Credit Card"/>
    <s v="FREESHIP"/>
    <n v="0"/>
    <s v="REG100627"/>
    <s v="Cust 3330"/>
    <n v="39.01"/>
    <d v="2023-01-06T00:00:00"/>
    <d v="2023-01-15T00:00:00"/>
    <s v="Eric"/>
    <n v="1098.0522000000001"/>
    <n v="1355.62"/>
    <n v="257.56779999999981"/>
    <x v="1"/>
    <x v="6"/>
  </r>
  <r>
    <d v="2024-02-24T00:00:00"/>
    <x v="1"/>
    <x v="3"/>
    <s v="Chair"/>
    <s v="Chair"/>
    <x v="1"/>
    <n v="3"/>
    <n v="270.83"/>
    <s v="Store B"/>
    <s v="Wholesale"/>
    <n v="0.1"/>
    <x v="3"/>
    <n v="731.24099999999999"/>
    <s v="Online"/>
    <s v="SAVE10"/>
    <n v="1"/>
    <s v="REG100628"/>
    <s v="Cust 3604"/>
    <n v="17.2"/>
    <d v="2024-02-24T00:00:00"/>
    <d v="2024-02-29T00:00:00"/>
    <s v="Sophie"/>
    <n v="658.11689999999999"/>
    <n v="812.49"/>
    <n v="154.37310000000002"/>
    <x v="1"/>
    <x v="5"/>
  </r>
  <r>
    <d v="2023-12-11T00:00:00"/>
    <x v="3"/>
    <x v="5"/>
    <s v="Tablet"/>
    <s v="Tablet"/>
    <x v="0"/>
    <n v="18"/>
    <n v="62.08"/>
    <s v="Store B"/>
    <s v="Retail"/>
    <n v="0"/>
    <x v="4"/>
    <n v="1117.44"/>
    <s v="Credit Card"/>
    <s v="SAVE10"/>
    <n v="1"/>
    <s v="REG100629"/>
    <s v="Cust 7412"/>
    <n v="8.67"/>
    <d v="2023-12-11T00:00:00"/>
    <d v="2023-12-20T00:00:00"/>
    <s v="Cameron"/>
    <n v="1117.44"/>
    <n v="1117.44"/>
    <n v="0"/>
    <x v="0"/>
    <x v="27"/>
  </r>
  <r>
    <d v="2025-02-19T00:00:00"/>
    <x v="1"/>
    <x v="6"/>
    <s v="Printer"/>
    <s v="Printer"/>
    <x v="2"/>
    <n v="11"/>
    <n v="505.96"/>
    <s v="Store C"/>
    <s v="Wholesale"/>
    <n v="0.15"/>
    <x v="0"/>
    <n v="4730.7259999999997"/>
    <s v="Debit Card"/>
    <s v="FREESHIP"/>
    <n v="1"/>
    <s v="REG100630"/>
    <s v="Cust 5183"/>
    <n v="22.84"/>
    <d v="2025-02-19T00:00:00"/>
    <d v="2025-02-23T00:00:00"/>
    <s v="Sophie"/>
    <n v="4021.1170999999995"/>
    <n v="5565.5599999999995"/>
    <n v="1544.4429"/>
    <x v="2"/>
    <x v="3"/>
  </r>
  <r>
    <d v="2025-03-18T00:00:00"/>
    <x v="4"/>
    <x v="5"/>
    <s v="Tablet"/>
    <s v="Tablet"/>
    <x v="0"/>
    <n v="4"/>
    <n v="62.46"/>
    <s v="Store D"/>
    <s v="Wholesale"/>
    <n v="0.15"/>
    <x v="1"/>
    <n v="212.364"/>
    <s v="Debit Card"/>
    <s v="WINTER15"/>
    <n v="0"/>
    <s v="REG100631"/>
    <s v="Cust 4825"/>
    <n v="31.91"/>
    <d v="2025-03-18T00:00:00"/>
    <d v="2025-03-26T00:00:00"/>
    <s v="Wendy"/>
    <n v="180.5094"/>
    <n v="249.84"/>
    <n v="69.330600000000004"/>
    <x v="2"/>
    <x v="8"/>
  </r>
  <r>
    <d v="2023-09-22T00:00:00"/>
    <x v="1"/>
    <x v="1"/>
    <s v="Phone"/>
    <s v="Phone"/>
    <x v="0"/>
    <n v="7"/>
    <n v="480.08"/>
    <s v="Store B"/>
    <s v="Wholesale"/>
    <n v="0.1"/>
    <x v="4"/>
    <n v="3024.5039999999999"/>
    <s v="Online"/>
    <m/>
    <n v="1"/>
    <s v="REG100632"/>
    <s v="Cust 2123"/>
    <n v="44.37"/>
    <d v="2023-09-22T00:00:00"/>
    <d v="2023-09-27T00:00:00"/>
    <s v="Sophie"/>
    <n v="2722.0536000000002"/>
    <n v="3360.56"/>
    <n v="638.50639999999976"/>
    <x v="1"/>
    <x v="22"/>
  </r>
  <r>
    <d v="2023-12-23T00:00:00"/>
    <x v="4"/>
    <x v="5"/>
    <s v="Tablet"/>
    <s v="Tablet"/>
    <x v="0"/>
    <n v="18"/>
    <n v="60.66"/>
    <s v="Store A"/>
    <s v="Retail"/>
    <n v="0"/>
    <x v="5"/>
    <n v="1091.8800000000001"/>
    <s v="Online"/>
    <s v="FREESHIP"/>
    <n v="1"/>
    <s v="REG100633"/>
    <s v="Cust 8684"/>
    <n v="10.08"/>
    <d v="2023-12-23T00:00:00"/>
    <d v="2023-12-28T00:00:00"/>
    <s v="Wendy"/>
    <n v="1091.8800000000001"/>
    <n v="1091.8799999999999"/>
    <n v="0"/>
    <x v="0"/>
    <x v="27"/>
  </r>
  <r>
    <d v="2025-05-04T00:00:00"/>
    <x v="2"/>
    <x v="2"/>
    <s v="Desk"/>
    <s v="Desk"/>
    <x v="1"/>
    <n v="6"/>
    <n v="249.09"/>
    <s v="Store B"/>
    <s v="Retail"/>
    <n v="0.05"/>
    <x v="2"/>
    <n v="1419.8130000000001"/>
    <s v="Cash"/>
    <m/>
    <n v="0"/>
    <s v="REG100634"/>
    <s v="Cust 5964"/>
    <n v="20.38"/>
    <d v="2025-05-04T00:00:00"/>
    <d v="2025-05-10T00:00:00"/>
    <s v="Ryan"/>
    <n v="1348.8223500000001"/>
    <n v="1494.54"/>
    <n v="145.71764999999982"/>
    <x v="1"/>
    <x v="13"/>
  </r>
  <r>
    <d v="2025-01-11T00:00:00"/>
    <x v="0"/>
    <x v="1"/>
    <s v="Phone"/>
    <s v="Phone"/>
    <x v="0"/>
    <n v="20"/>
    <n v="400.05"/>
    <s v="Store D"/>
    <s v="Wholesale"/>
    <n v="0.1"/>
    <x v="4"/>
    <n v="7200.9000000000005"/>
    <s v="Debit Card"/>
    <s v="WINTER15"/>
    <n v="0"/>
    <s v="REG100635"/>
    <s v="Cust 1810"/>
    <n v="24.41"/>
    <d v="2025-01-11T00:00:00"/>
    <d v="2025-01-13T00:00:00"/>
    <s v="Eric"/>
    <n v="6480.81"/>
    <n v="8001"/>
    <n v="1520.1899999999996"/>
    <x v="1"/>
    <x v="12"/>
  </r>
  <r>
    <d v="2025-04-21T00:00:00"/>
    <x v="1"/>
    <x v="6"/>
    <s v="Printer"/>
    <s v="Printer"/>
    <x v="2"/>
    <n v="1"/>
    <n v="130.87"/>
    <s v="Store B"/>
    <s v="Retail"/>
    <n v="0.05"/>
    <x v="4"/>
    <n v="124.3265"/>
    <s v="Online"/>
    <s v="WINTER15"/>
    <n v="0"/>
    <s v="REG100636"/>
    <s v="Cust 2685"/>
    <n v="43.21"/>
    <d v="2025-04-21T00:00:00"/>
    <d v="2025-04-24T00:00:00"/>
    <s v="Sophie"/>
    <n v="118.11017499999998"/>
    <n v="130.87"/>
    <n v="12.759825000000021"/>
    <x v="1"/>
    <x v="28"/>
  </r>
  <r>
    <d v="2023-12-13T00:00:00"/>
    <x v="3"/>
    <x v="5"/>
    <s v="Tablet"/>
    <s v="Tablet"/>
    <x v="0"/>
    <n v="11"/>
    <n v="133.08000000000001"/>
    <s v="Store A"/>
    <s v="Wholesale"/>
    <n v="0.15"/>
    <x v="2"/>
    <n v="1244.298"/>
    <s v="Credit Card"/>
    <s v="WINTER15"/>
    <n v="0"/>
    <s v="REG100637"/>
    <s v="Cust 7855"/>
    <n v="44.61"/>
    <d v="2023-12-13T00:00:00"/>
    <d v="2023-12-22T00:00:00"/>
    <s v="Cameron"/>
    <n v="1057.6532999999999"/>
    <n v="1463.88"/>
    <n v="406.22670000000016"/>
    <x v="2"/>
    <x v="27"/>
  </r>
  <r>
    <d v="2024-02-07T00:00:00"/>
    <x v="0"/>
    <x v="3"/>
    <s v="Chair"/>
    <s v="Chair"/>
    <x v="1"/>
    <n v="13"/>
    <n v="448.68"/>
    <s v="Store B"/>
    <s v="Wholesale"/>
    <n v="0.1"/>
    <x v="4"/>
    <n v="5249.5559999999996"/>
    <s v="Credit Card"/>
    <s v="FREESHIP"/>
    <n v="1"/>
    <s v="REG100638"/>
    <s v="Cust 4101"/>
    <n v="16.82"/>
    <d v="2024-02-07T00:00:00"/>
    <d v="2024-02-11T00:00:00"/>
    <s v="Eric"/>
    <n v="4724.6003999999994"/>
    <n v="5832.84"/>
    <n v="1108.2396000000008"/>
    <x v="1"/>
    <x v="5"/>
  </r>
  <r>
    <d v="2024-04-24T00:00:00"/>
    <x v="2"/>
    <x v="5"/>
    <s v="Tablet"/>
    <s v="Tablet"/>
    <x v="0"/>
    <n v="19"/>
    <n v="36.229999999999997"/>
    <s v="Store B"/>
    <s v="Wholesale"/>
    <n v="0"/>
    <x v="4"/>
    <n v="688.36999999999989"/>
    <s v="Debit Card"/>
    <s v="WINTER15"/>
    <n v="0"/>
    <s v="REG100639"/>
    <s v="Cust 7964"/>
    <n v="33.94"/>
    <d v="2024-04-24T00:00:00"/>
    <d v="2024-04-27T00:00:00"/>
    <s v="Ryan"/>
    <n v="688.36999999999989"/>
    <n v="688.36999999999989"/>
    <n v="0"/>
    <x v="0"/>
    <x v="9"/>
  </r>
  <r>
    <d v="2023-09-11T00:00:00"/>
    <x v="4"/>
    <x v="3"/>
    <s v="Chair"/>
    <s v="Chair"/>
    <x v="1"/>
    <n v="14"/>
    <n v="113.77"/>
    <s v="Store C"/>
    <s v="Retail"/>
    <n v="0"/>
    <x v="0"/>
    <n v="1592.78"/>
    <s v="Cash"/>
    <s v="FREESHIP"/>
    <n v="0"/>
    <s v="REG100640"/>
    <s v="Cust 5857"/>
    <n v="25.35"/>
    <d v="2023-09-11T00:00:00"/>
    <d v="2023-09-16T00:00:00"/>
    <s v="Wendy"/>
    <n v="1592.78"/>
    <n v="1592.78"/>
    <n v="0"/>
    <x v="0"/>
    <x v="22"/>
  </r>
  <r>
    <d v="2025-06-09T00:00:00"/>
    <x v="3"/>
    <x v="6"/>
    <s v="Printer"/>
    <s v="Printer"/>
    <x v="2"/>
    <n v="2"/>
    <n v="89.6"/>
    <s v="Store A"/>
    <s v="Retail"/>
    <n v="0"/>
    <x v="4"/>
    <n v="179.2"/>
    <s v="Gift Card"/>
    <s v="FREESHIP"/>
    <n v="0"/>
    <s v="REG100641"/>
    <s v="Cust 7010"/>
    <n v="23.69"/>
    <d v="2025-06-09T00:00:00"/>
    <d v="2025-06-12T00:00:00"/>
    <s v="Cameron"/>
    <n v="179.2"/>
    <n v="179.2"/>
    <n v="0"/>
    <x v="0"/>
    <x v="16"/>
  </r>
  <r>
    <d v="2025-06-06T00:00:00"/>
    <x v="0"/>
    <x v="2"/>
    <s v="Desk"/>
    <s v="Desk"/>
    <x v="1"/>
    <n v="3"/>
    <n v="391.92"/>
    <s v="Store A"/>
    <s v="Wholesale"/>
    <n v="0.15"/>
    <x v="1"/>
    <n v="999.39599999999996"/>
    <s v="Debit Card"/>
    <s v="SAVE10"/>
    <n v="0"/>
    <s v="REG100642"/>
    <s v="Cust 7917"/>
    <n v="9.86"/>
    <d v="2025-06-06T00:00:00"/>
    <d v="2025-06-16T00:00:00"/>
    <s v="Eric"/>
    <n v="849.48659999999995"/>
    <n v="1175.76"/>
    <n v="326.27340000000004"/>
    <x v="2"/>
    <x v="16"/>
  </r>
  <r>
    <d v="2024-12-23T00:00:00"/>
    <x v="1"/>
    <x v="3"/>
    <s v="Chair"/>
    <s v="Chair"/>
    <x v="1"/>
    <n v="10"/>
    <n v="418.93"/>
    <s v="Store C"/>
    <s v="Wholesale"/>
    <n v="0.1"/>
    <x v="5"/>
    <n v="3770.37"/>
    <s v="Credit Card"/>
    <s v="FREESHIP"/>
    <n v="0"/>
    <s v="REG100643"/>
    <s v="Cust 8111"/>
    <n v="45.63"/>
    <d v="2024-12-23T00:00:00"/>
    <d v="2024-12-28T00:00:00"/>
    <s v="Sophie"/>
    <n v="3393.3330000000001"/>
    <n v="4189.3"/>
    <n v="795.9670000000001"/>
    <x v="1"/>
    <x v="1"/>
  </r>
  <r>
    <d v="2023-08-27T00:00:00"/>
    <x v="0"/>
    <x v="4"/>
    <s v="Monitor"/>
    <s v="Monitor"/>
    <x v="0"/>
    <n v="12"/>
    <n v="303.08999999999997"/>
    <s v="Store B"/>
    <s v="Wholesale"/>
    <n v="0"/>
    <x v="1"/>
    <n v="3637.08"/>
    <s v="Gift Card"/>
    <s v="WINTER15"/>
    <n v="1"/>
    <s v="REG100644"/>
    <s v="Cust 4715"/>
    <n v="5.48"/>
    <d v="2023-08-27T00:00:00"/>
    <d v="2023-09-03T00:00:00"/>
    <s v="Eric"/>
    <n v="3637.08"/>
    <n v="3637.08"/>
    <n v="0"/>
    <x v="0"/>
    <x v="18"/>
  </r>
  <r>
    <d v="2023-01-09T00:00:00"/>
    <x v="0"/>
    <x v="4"/>
    <s v="Monitor"/>
    <s v="Monitor"/>
    <x v="0"/>
    <n v="10"/>
    <n v="209.95"/>
    <s v="Store A"/>
    <s v="Wholesale"/>
    <n v="0.1"/>
    <x v="0"/>
    <n v="1889.55"/>
    <s v="Cash"/>
    <s v="WINTER15"/>
    <n v="0"/>
    <s v="REG100645"/>
    <s v="Cust 8720"/>
    <n v="10.99"/>
    <d v="2023-01-09T00:00:00"/>
    <d v="2023-01-13T00:00:00"/>
    <s v="Eric"/>
    <n v="1700.595"/>
    <n v="2099.5"/>
    <n v="398.90499999999997"/>
    <x v="1"/>
    <x v="6"/>
  </r>
  <r>
    <d v="2025-04-22T00:00:00"/>
    <x v="0"/>
    <x v="0"/>
    <s v="Laptop"/>
    <s v="Laptop"/>
    <x v="0"/>
    <n v="8"/>
    <n v="283.63"/>
    <s v="Store C"/>
    <s v="Wholesale"/>
    <n v="0.1"/>
    <x v="1"/>
    <n v="2042.136"/>
    <s v="Cash"/>
    <s v="SAVE10"/>
    <n v="0"/>
    <s v="REG100646"/>
    <s v="Cust 8216"/>
    <n v="49.91"/>
    <d v="2025-04-22T00:00:00"/>
    <d v="2025-04-25T00:00:00"/>
    <s v="Eric"/>
    <n v="1837.9223999999999"/>
    <n v="2269.04"/>
    <n v="431.11760000000004"/>
    <x v="1"/>
    <x v="28"/>
  </r>
  <r>
    <d v="2023-09-06T00:00:00"/>
    <x v="1"/>
    <x v="1"/>
    <s v="Phone"/>
    <s v="Phone"/>
    <x v="0"/>
    <n v="7"/>
    <n v="18.36"/>
    <s v="Store D"/>
    <s v="Retail"/>
    <n v="0.1"/>
    <x v="1"/>
    <n v="115.66800000000001"/>
    <s v="Online"/>
    <m/>
    <n v="0"/>
    <s v="REG100647"/>
    <s v="Cust 6946"/>
    <n v="48.92"/>
    <d v="2023-09-06T00:00:00"/>
    <d v="2023-09-11T00:00:00"/>
    <s v="Sophie"/>
    <n v="104.10120000000001"/>
    <n v="128.51999999999998"/>
    <n v="24.418799999999976"/>
    <x v="1"/>
    <x v="22"/>
  </r>
  <r>
    <d v="2023-01-21T00:00:00"/>
    <x v="0"/>
    <x v="4"/>
    <s v="Monitor"/>
    <s v="Monitor"/>
    <x v="0"/>
    <n v="9"/>
    <n v="475.38"/>
    <s v="Store A"/>
    <s v="Wholesale"/>
    <n v="0.1"/>
    <x v="3"/>
    <n v="3850.578"/>
    <s v="Debit Card"/>
    <s v="SAVE10"/>
    <n v="0"/>
    <s v="REG100648"/>
    <s v="Cust 9888"/>
    <n v="39.979999999999997"/>
    <d v="2023-01-21T00:00:00"/>
    <d v="2023-01-27T00:00:00"/>
    <s v="Eric"/>
    <n v="3465.5201999999999"/>
    <n v="4278.42"/>
    <n v="812.89980000000014"/>
    <x v="1"/>
    <x v="6"/>
  </r>
  <r>
    <d v="2024-04-26T00:00:00"/>
    <x v="3"/>
    <x v="3"/>
    <s v="Chair"/>
    <s v="Chair"/>
    <x v="1"/>
    <n v="12"/>
    <n v="591.91999999999996"/>
    <s v="Store D"/>
    <s v="Retail"/>
    <n v="0"/>
    <x v="0"/>
    <n v="7103.0399999999991"/>
    <s v="Debit Card"/>
    <s v="SAVE10"/>
    <n v="0"/>
    <s v="REG100649"/>
    <s v="Cust 4009"/>
    <n v="25.2"/>
    <d v="2024-04-26T00:00:00"/>
    <d v="2024-05-06T00:00:00"/>
    <s v="Cameron"/>
    <n v="7103.0399999999991"/>
    <n v="7103.0399999999991"/>
    <n v="0"/>
    <x v="0"/>
    <x v="9"/>
  </r>
  <r>
    <d v="2023-06-27T00:00:00"/>
    <x v="2"/>
    <x v="1"/>
    <s v="Phone"/>
    <s v="Phone"/>
    <x v="0"/>
    <n v="7"/>
    <n v="93.23"/>
    <s v="Store B"/>
    <s v="Retail"/>
    <n v="0.05"/>
    <x v="1"/>
    <n v="619.97950000000003"/>
    <s v="Credit Card"/>
    <s v="FREESHIP"/>
    <n v="1"/>
    <s v="REG100650"/>
    <s v="Cust 9489"/>
    <n v="6.47"/>
    <d v="2023-06-27T00:00:00"/>
    <d v="2023-06-30T00:00:00"/>
    <s v="Ryan"/>
    <n v="588.98052500000006"/>
    <n v="652.61"/>
    <n v="63.629474999999957"/>
    <x v="1"/>
    <x v="4"/>
  </r>
  <r>
    <d v="2023-01-01T00:00:00"/>
    <x v="0"/>
    <x v="5"/>
    <s v="Tablet"/>
    <s v="Tablet"/>
    <x v="0"/>
    <n v="15"/>
    <n v="298.70999999999998"/>
    <s v="Store C"/>
    <s v="Retail"/>
    <n v="0"/>
    <x v="5"/>
    <n v="4480.6499999999996"/>
    <s v="Debit Card"/>
    <s v="SAVE10"/>
    <n v="0"/>
    <s v="REG100651"/>
    <s v="Cust 2446"/>
    <n v="11.38"/>
    <d v="2023-01-01T00:00:00"/>
    <d v="2023-01-08T00:00:00"/>
    <s v="Eric"/>
    <n v="4480.6499999999996"/>
    <n v="4480.6499999999996"/>
    <n v="0"/>
    <x v="0"/>
    <x v="6"/>
  </r>
  <r>
    <d v="2023-12-30T00:00:00"/>
    <x v="4"/>
    <x v="5"/>
    <s v="Tablet"/>
    <s v="Tablet"/>
    <x v="0"/>
    <n v="15"/>
    <n v="52.37"/>
    <s v="Store A"/>
    <s v="Retail"/>
    <n v="0.15"/>
    <x v="4"/>
    <n v="667.71749999999997"/>
    <s v="Online"/>
    <s v="SAVE10"/>
    <n v="0"/>
    <s v="REG100652"/>
    <s v="Cust 4150"/>
    <n v="8.93"/>
    <d v="2023-12-30T00:00:00"/>
    <d v="2024-01-02T00:00:00"/>
    <s v="Wendy"/>
    <n v="567.55987499999992"/>
    <n v="785.55"/>
    <n v="217.99012500000003"/>
    <x v="2"/>
    <x v="27"/>
  </r>
  <r>
    <d v="2023-01-22T00:00:00"/>
    <x v="3"/>
    <x v="1"/>
    <s v="Phone"/>
    <s v="Phone"/>
    <x v="0"/>
    <n v="6"/>
    <n v="104.19"/>
    <s v="Store C"/>
    <s v="Retail"/>
    <n v="0.1"/>
    <x v="4"/>
    <n v="562.62599999999998"/>
    <s v="Online"/>
    <m/>
    <n v="0"/>
    <s v="REG100653"/>
    <s v="Cust 3569"/>
    <n v="8.6199999999999992"/>
    <d v="2023-01-22T00:00:00"/>
    <d v="2023-01-24T00:00:00"/>
    <s v="Cameron"/>
    <n v="506.36340000000001"/>
    <n v="625.14"/>
    <n v="118.77659999999997"/>
    <x v="1"/>
    <x v="6"/>
  </r>
  <r>
    <d v="2024-07-27T00:00:00"/>
    <x v="1"/>
    <x v="0"/>
    <s v="Laptop"/>
    <s v="Laptop"/>
    <x v="0"/>
    <n v="8"/>
    <n v="493.09"/>
    <s v="Store A"/>
    <s v="Retail"/>
    <n v="0.05"/>
    <x v="4"/>
    <n v="3747.483999999999"/>
    <s v="Credit Card"/>
    <s v="FREESHIP"/>
    <n v="0"/>
    <s v="REG100654"/>
    <s v="Cust 1023"/>
    <n v="11.49"/>
    <d v="2024-07-27T00:00:00"/>
    <d v="2024-08-05T00:00:00"/>
    <s v="Sophie"/>
    <n v="3560.1097999999988"/>
    <n v="3944.72"/>
    <n v="384.61020000000099"/>
    <x v="1"/>
    <x v="10"/>
  </r>
  <r>
    <d v="2024-01-15T00:00:00"/>
    <x v="1"/>
    <x v="3"/>
    <s v="Chair"/>
    <s v="Chair"/>
    <x v="1"/>
    <n v="6"/>
    <n v="291.58"/>
    <s v="Store B"/>
    <s v="Wholesale"/>
    <n v="0"/>
    <x v="2"/>
    <n v="1749.48"/>
    <s v="Credit Card"/>
    <s v="FREESHIP"/>
    <n v="0"/>
    <s v="REG100655"/>
    <s v="Cust 3748"/>
    <n v="30.25"/>
    <d v="2024-01-15T00:00:00"/>
    <d v="2024-01-17T00:00:00"/>
    <s v="Sophie"/>
    <n v="1749.48"/>
    <n v="1749.48"/>
    <n v="0"/>
    <x v="0"/>
    <x v="24"/>
  </r>
  <r>
    <d v="2024-01-04T00:00:00"/>
    <x v="4"/>
    <x v="5"/>
    <s v="Tablet"/>
    <s v="Tablet"/>
    <x v="0"/>
    <n v="1"/>
    <n v="103.13"/>
    <s v="Store B"/>
    <s v="Wholesale"/>
    <n v="0"/>
    <x v="5"/>
    <n v="103.13"/>
    <s v="Online"/>
    <s v="FREESHIP"/>
    <n v="0"/>
    <s v="REG100656"/>
    <s v="Cust 4798"/>
    <n v="42.38"/>
    <d v="2024-01-04T00:00:00"/>
    <d v="2024-01-14T00:00:00"/>
    <s v="Wendy"/>
    <n v="103.13"/>
    <n v="103.13"/>
    <n v="0"/>
    <x v="0"/>
    <x v="24"/>
  </r>
  <r>
    <d v="2023-02-09T00:00:00"/>
    <x v="0"/>
    <x v="4"/>
    <s v="Monitor"/>
    <s v="Monitor"/>
    <x v="0"/>
    <n v="1"/>
    <n v="541.9"/>
    <s v="Store A"/>
    <s v="Retail"/>
    <n v="0.05"/>
    <x v="0"/>
    <n v="514.80499999999995"/>
    <s v="Cash"/>
    <s v="WINTER15"/>
    <n v="0"/>
    <s v="REG100657"/>
    <s v="Cust 8305"/>
    <n v="40.35"/>
    <d v="2023-02-09T00:00:00"/>
    <d v="2023-02-19T00:00:00"/>
    <s v="Eric"/>
    <n v="489.06474999999995"/>
    <n v="541.9"/>
    <n v="52.83525000000003"/>
    <x v="1"/>
    <x v="0"/>
  </r>
  <r>
    <d v="2024-06-20T00:00:00"/>
    <x v="2"/>
    <x v="1"/>
    <s v="Phone"/>
    <s v="Phone"/>
    <x v="0"/>
    <n v="11"/>
    <n v="303.08999999999997"/>
    <s v="Store D"/>
    <s v="Wholesale"/>
    <n v="0.1"/>
    <x v="4"/>
    <n v="3000.5909999999999"/>
    <s v="Online"/>
    <s v="SAVE10"/>
    <n v="0"/>
    <s v="REG100658"/>
    <s v="Cust 3864"/>
    <n v="21.88"/>
    <d v="2024-06-20T00:00:00"/>
    <d v="2024-06-24T00:00:00"/>
    <s v="Ryan"/>
    <n v="2700.5319"/>
    <n v="3333.99"/>
    <n v="633.45809999999983"/>
    <x v="1"/>
    <x v="23"/>
  </r>
  <r>
    <d v="2023-02-21T00:00:00"/>
    <x v="3"/>
    <x v="2"/>
    <s v="Desk"/>
    <s v="Desk"/>
    <x v="1"/>
    <n v="11"/>
    <n v="61.81"/>
    <s v="Store C"/>
    <s v="Retail"/>
    <n v="0.05"/>
    <x v="5"/>
    <n v="645.91450000000009"/>
    <s v="Gift Card"/>
    <s v="WINTER15"/>
    <n v="0"/>
    <s v="REG100659"/>
    <s v="Cust 3459"/>
    <n v="47.95"/>
    <d v="2023-02-21T00:00:00"/>
    <d v="2023-03-03T00:00:00"/>
    <s v="Cameron"/>
    <n v="613.61877500000003"/>
    <n v="679.91000000000008"/>
    <n v="66.291225000000054"/>
    <x v="1"/>
    <x v="0"/>
  </r>
  <r>
    <d v="2023-08-16T00:00:00"/>
    <x v="3"/>
    <x v="2"/>
    <s v="Desk"/>
    <s v="Desk"/>
    <x v="1"/>
    <n v="8"/>
    <n v="355.15"/>
    <s v="Store B"/>
    <s v="Retail"/>
    <n v="0.1"/>
    <x v="3"/>
    <n v="2557.08"/>
    <s v="Online"/>
    <m/>
    <n v="1"/>
    <s v="REG100660"/>
    <s v="Cust 1187"/>
    <n v="38.590000000000003"/>
    <d v="2023-08-16T00:00:00"/>
    <d v="2023-08-24T00:00:00"/>
    <s v="Cameron"/>
    <n v="2301.3719999999998"/>
    <n v="2841.2"/>
    <n v="539.82799999999997"/>
    <x v="1"/>
    <x v="18"/>
  </r>
  <r>
    <d v="2023-11-03T00:00:00"/>
    <x v="4"/>
    <x v="4"/>
    <s v="Monitor"/>
    <s v="Monitor"/>
    <x v="0"/>
    <n v="11"/>
    <n v="119.84"/>
    <s v="Store D"/>
    <s v="Wholesale"/>
    <n v="0.1"/>
    <x v="0"/>
    <n v="1186.4159999999999"/>
    <s v="Online"/>
    <s v="SAVE10"/>
    <n v="0"/>
    <s v="REG100661"/>
    <s v="Cust 7509"/>
    <n v="16.64"/>
    <d v="2023-11-03T00:00:00"/>
    <d v="2023-11-11T00:00:00"/>
    <s v="Wendy"/>
    <n v="1067.7744"/>
    <n v="1318.24"/>
    <n v="250.46559999999999"/>
    <x v="1"/>
    <x v="15"/>
  </r>
  <r>
    <d v="2024-04-26T00:00:00"/>
    <x v="1"/>
    <x v="0"/>
    <s v="Laptop"/>
    <s v="Laptop"/>
    <x v="0"/>
    <n v="16"/>
    <n v="318.32"/>
    <s v="Store C"/>
    <s v="Wholesale"/>
    <n v="0.05"/>
    <x v="4"/>
    <n v="4838.4639999999999"/>
    <s v="Credit Card"/>
    <s v="FREESHIP"/>
    <n v="0"/>
    <s v="REG100662"/>
    <s v="Cust 1869"/>
    <n v="40.78"/>
    <d v="2024-04-26T00:00:00"/>
    <d v="2024-05-01T00:00:00"/>
    <s v="Sophie"/>
    <n v="4596.5407999999998"/>
    <n v="5093.12"/>
    <n v="496.57920000000013"/>
    <x v="1"/>
    <x v="9"/>
  </r>
  <r>
    <d v="2024-10-08T00:00:00"/>
    <x v="1"/>
    <x v="2"/>
    <s v="Desk"/>
    <s v="Desk"/>
    <x v="1"/>
    <n v="9"/>
    <n v="446.49"/>
    <s v="Store D"/>
    <s v="Wholesale"/>
    <n v="0.15"/>
    <x v="3"/>
    <n v="3415.6484999999998"/>
    <s v="Cash"/>
    <s v="FREESHIP"/>
    <n v="0"/>
    <s v="REG100663"/>
    <s v="Cust 5943"/>
    <n v="5.77"/>
    <d v="2024-10-08T00:00:00"/>
    <d v="2024-10-17T00:00:00"/>
    <s v="Sophie"/>
    <n v="2903.3012249999997"/>
    <n v="4018.41"/>
    <n v="1115.1087750000002"/>
    <x v="2"/>
    <x v="7"/>
  </r>
  <r>
    <d v="2023-01-09T00:00:00"/>
    <x v="1"/>
    <x v="2"/>
    <s v="Desk"/>
    <s v="Desk"/>
    <x v="1"/>
    <n v="16"/>
    <n v="258.82"/>
    <s v="Store D"/>
    <s v="Retail"/>
    <n v="0.1"/>
    <x v="4"/>
    <n v="3727.0079999999998"/>
    <s v="Online"/>
    <s v="SAVE10"/>
    <n v="0"/>
    <s v="REG100664"/>
    <s v="Cust 8364"/>
    <n v="46.93"/>
    <d v="2023-01-09T00:00:00"/>
    <d v="2023-01-17T00:00:00"/>
    <s v="Sophie"/>
    <n v="3354.3071999999997"/>
    <n v="4141.12"/>
    <n v="786.81280000000015"/>
    <x v="1"/>
    <x v="6"/>
  </r>
  <r>
    <d v="2023-12-25T00:00:00"/>
    <x v="2"/>
    <x v="6"/>
    <s v="Printer"/>
    <s v="Printer"/>
    <x v="2"/>
    <n v="9"/>
    <n v="272.68"/>
    <s v="Store D"/>
    <s v="Wholesale"/>
    <n v="0.05"/>
    <x v="0"/>
    <n v="2331.4140000000002"/>
    <s v="Online"/>
    <s v="SAVE10"/>
    <n v="0"/>
    <s v="REG100665"/>
    <s v="Cust 8401"/>
    <n v="16.43"/>
    <d v="2023-12-25T00:00:00"/>
    <d v="2024-01-02T00:00:00"/>
    <s v="Ryan"/>
    <n v="2214.8433"/>
    <n v="2454.12"/>
    <n v="239.27669999999989"/>
    <x v="1"/>
    <x v="27"/>
  </r>
  <r>
    <d v="2024-05-11T00:00:00"/>
    <x v="3"/>
    <x v="4"/>
    <s v="Monitor"/>
    <s v="Monitor"/>
    <x v="0"/>
    <n v="12"/>
    <n v="438.77"/>
    <s v="Store C"/>
    <s v="Retail"/>
    <n v="0"/>
    <x v="0"/>
    <n v="5265.24"/>
    <s v="Debit Card"/>
    <s v="SAVE10"/>
    <n v="0"/>
    <s v="REG100666"/>
    <s v="Cust 4047"/>
    <n v="9.31"/>
    <d v="2024-05-11T00:00:00"/>
    <d v="2024-05-20T00:00:00"/>
    <s v="Cameron"/>
    <n v="5265.24"/>
    <n v="5265.24"/>
    <n v="0"/>
    <x v="0"/>
    <x v="14"/>
  </r>
  <r>
    <d v="2023-11-23T00:00:00"/>
    <x v="4"/>
    <x v="5"/>
    <s v="Tablet"/>
    <s v="Tablet"/>
    <x v="0"/>
    <n v="18"/>
    <n v="267.63"/>
    <s v="Store B"/>
    <s v="Retail"/>
    <n v="0"/>
    <x v="3"/>
    <n v="4817.34"/>
    <s v="Gift Card"/>
    <s v="SAVE10"/>
    <n v="0"/>
    <s v="REG100667"/>
    <s v="Cust 6019"/>
    <n v="44.48"/>
    <d v="2023-11-23T00:00:00"/>
    <d v="2023-11-26T00:00:00"/>
    <s v="Wendy"/>
    <n v="4817.34"/>
    <n v="4817.34"/>
    <n v="0"/>
    <x v="0"/>
    <x v="15"/>
  </r>
  <r>
    <d v="2023-12-10T00:00:00"/>
    <x v="3"/>
    <x v="6"/>
    <s v="Printer"/>
    <s v="Printer"/>
    <x v="2"/>
    <n v="6"/>
    <n v="115.94"/>
    <s v="Store A"/>
    <s v="Wholesale"/>
    <n v="0.05"/>
    <x v="3"/>
    <n v="660.85799999999995"/>
    <s v="Credit Card"/>
    <s v="SAVE10"/>
    <n v="0"/>
    <s v="REG100668"/>
    <s v="Cust 8750"/>
    <n v="23.91"/>
    <d v="2023-12-10T00:00:00"/>
    <d v="2023-12-12T00:00:00"/>
    <s v="Cameron"/>
    <n v="627.81509999999992"/>
    <n v="695.64"/>
    <n v="67.824900000000071"/>
    <x v="1"/>
    <x v="27"/>
  </r>
  <r>
    <d v="2024-02-03T00:00:00"/>
    <x v="2"/>
    <x v="6"/>
    <s v="Printer"/>
    <s v="Printer"/>
    <x v="2"/>
    <n v="19"/>
    <n v="275.77999999999997"/>
    <s v="Store C"/>
    <s v="Retail"/>
    <n v="0"/>
    <x v="2"/>
    <n v="5239.82"/>
    <s v="Cash"/>
    <s v="SAVE10"/>
    <n v="0"/>
    <s v="REG100669"/>
    <s v="Cust 5782"/>
    <n v="47"/>
    <d v="2024-02-03T00:00:00"/>
    <d v="2024-02-05T00:00:00"/>
    <s v="Ryan"/>
    <n v="5239.82"/>
    <n v="5239.82"/>
    <n v="0"/>
    <x v="0"/>
    <x v="5"/>
  </r>
  <r>
    <d v="2024-11-24T00:00:00"/>
    <x v="3"/>
    <x v="3"/>
    <s v="Chair"/>
    <s v="Chair"/>
    <x v="1"/>
    <n v="12"/>
    <n v="255.93"/>
    <s v="Store B"/>
    <s v="Retail"/>
    <n v="0"/>
    <x v="0"/>
    <n v="3071.16"/>
    <s v="Cash"/>
    <s v="WINTER15"/>
    <n v="0"/>
    <s v="REG100670"/>
    <s v="Cust 4090"/>
    <n v="23.74"/>
    <d v="2024-11-24T00:00:00"/>
    <d v="2024-12-04T00:00:00"/>
    <s v="Cameron"/>
    <n v="3071.16"/>
    <n v="3071.16"/>
    <n v="0"/>
    <x v="0"/>
    <x v="20"/>
  </r>
  <r>
    <d v="2024-03-06T00:00:00"/>
    <x v="4"/>
    <x v="1"/>
    <s v="Phone"/>
    <s v="Phone"/>
    <x v="0"/>
    <n v="1"/>
    <n v="381.21"/>
    <s v="Store D"/>
    <s v="Wholesale"/>
    <n v="0.15"/>
    <x v="5"/>
    <n v="324.02850000000001"/>
    <s v="Online"/>
    <m/>
    <n v="0"/>
    <s v="REG100671"/>
    <s v="Cust 4730"/>
    <n v="9.9499999999999993"/>
    <d v="2024-03-06T00:00:00"/>
    <d v="2024-03-11T00:00:00"/>
    <s v="Wendy"/>
    <n v="275.42422499999998"/>
    <n v="381.21"/>
    <n v="105.785775"/>
    <x v="2"/>
    <x v="25"/>
  </r>
  <r>
    <d v="2025-02-01T00:00:00"/>
    <x v="1"/>
    <x v="2"/>
    <s v="Desk"/>
    <s v="Desk"/>
    <x v="1"/>
    <n v="5"/>
    <n v="38.229999999999997"/>
    <s v="Store C"/>
    <s v="Wholesale"/>
    <n v="0.15"/>
    <x v="5"/>
    <n v="162.47749999999999"/>
    <s v="Debit Card"/>
    <m/>
    <n v="0"/>
    <s v="REG100672"/>
    <s v="Cust 5648"/>
    <n v="21.06"/>
    <d v="2025-02-01T00:00:00"/>
    <d v="2025-02-11T00:00:00"/>
    <s v="Sophie"/>
    <n v="138.105875"/>
    <n v="191.14999999999998"/>
    <n v="53.04412499999998"/>
    <x v="2"/>
    <x v="3"/>
  </r>
  <r>
    <d v="2024-06-04T00:00:00"/>
    <x v="3"/>
    <x v="0"/>
    <s v="Laptop"/>
    <s v="Laptop"/>
    <x v="0"/>
    <n v="7"/>
    <n v="225.86"/>
    <s v="Store B"/>
    <s v="Wholesale"/>
    <n v="0"/>
    <x v="3"/>
    <n v="1581.02"/>
    <s v="Debit Card"/>
    <m/>
    <n v="0"/>
    <s v="REG100673"/>
    <s v="Cust 8933"/>
    <n v="24.48"/>
    <d v="2024-06-04T00:00:00"/>
    <d v="2024-06-09T00:00:00"/>
    <s v="Cameron"/>
    <n v="1581.02"/>
    <n v="1581.02"/>
    <n v="0"/>
    <x v="0"/>
    <x v="23"/>
  </r>
  <r>
    <d v="2023-08-06T00:00:00"/>
    <x v="3"/>
    <x v="2"/>
    <s v="Desk"/>
    <s v="Desk"/>
    <x v="1"/>
    <n v="8"/>
    <n v="548.02"/>
    <s v="Store D"/>
    <s v="Retail"/>
    <n v="0.05"/>
    <x v="0"/>
    <n v="4164.9519999999993"/>
    <s v="Online"/>
    <m/>
    <n v="0"/>
    <s v="REG100674"/>
    <s v="Cust 9280"/>
    <n v="33.4"/>
    <d v="2023-08-06T00:00:00"/>
    <d v="2023-08-13T00:00:00"/>
    <s v="Cameron"/>
    <n v="3956.7043999999992"/>
    <n v="4384.16"/>
    <n v="427.45560000000069"/>
    <x v="1"/>
    <x v="18"/>
  </r>
  <r>
    <d v="2023-06-30T00:00:00"/>
    <x v="4"/>
    <x v="6"/>
    <s v="Printer"/>
    <s v="Printer"/>
    <x v="2"/>
    <n v="18"/>
    <n v="485.3"/>
    <s v="Store D"/>
    <s v="Wholesale"/>
    <n v="0.05"/>
    <x v="5"/>
    <n v="8298.6299999999992"/>
    <s v="Debit Card"/>
    <s v="FREESHIP"/>
    <n v="1"/>
    <s v="REG100675"/>
    <s v="Cust 8696"/>
    <n v="47.77"/>
    <d v="2023-06-30T00:00:00"/>
    <d v="2023-07-05T00:00:00"/>
    <s v="Wendy"/>
    <n v="7883.6984999999986"/>
    <n v="8735.4"/>
    <n v="851.70150000000103"/>
    <x v="1"/>
    <x v="4"/>
  </r>
  <r>
    <d v="2023-02-15T00:00:00"/>
    <x v="4"/>
    <x v="6"/>
    <s v="Printer"/>
    <s v="Printer"/>
    <x v="2"/>
    <n v="19"/>
    <n v="414.31"/>
    <s v="Store A"/>
    <s v="Retail"/>
    <n v="0.1"/>
    <x v="0"/>
    <n v="7084.701"/>
    <s v="Credit Card"/>
    <s v="SAVE10"/>
    <n v="0"/>
    <s v="REG100676"/>
    <s v="Cust 1944"/>
    <n v="17.43"/>
    <d v="2023-02-15T00:00:00"/>
    <d v="2023-02-19T00:00:00"/>
    <s v="Wendy"/>
    <n v="6376.2309000000005"/>
    <n v="7871.89"/>
    <n v="1495.6590999999999"/>
    <x v="1"/>
    <x v="0"/>
  </r>
  <r>
    <d v="2024-01-23T00:00:00"/>
    <x v="2"/>
    <x v="6"/>
    <s v="Printer"/>
    <s v="Printer"/>
    <x v="2"/>
    <n v="8"/>
    <n v="50.72"/>
    <s v="Store A"/>
    <s v="Wholesale"/>
    <n v="0.05"/>
    <x v="3"/>
    <n v="385.47199999999998"/>
    <s v="Debit Card"/>
    <m/>
    <n v="0"/>
    <s v="REG100677"/>
    <s v="Cust 7780"/>
    <n v="12.35"/>
    <d v="2024-01-23T00:00:00"/>
    <d v="2024-01-30T00:00:00"/>
    <s v="Ryan"/>
    <n v="366.19839999999994"/>
    <n v="405.76"/>
    <n v="39.561600000000055"/>
    <x v="1"/>
    <x v="24"/>
  </r>
  <r>
    <d v="2024-10-31T00:00:00"/>
    <x v="2"/>
    <x v="5"/>
    <s v="Tablet"/>
    <s v="Tablet"/>
    <x v="0"/>
    <n v="17"/>
    <n v="83.26"/>
    <s v="Store A"/>
    <s v="Wholesale"/>
    <n v="0.15"/>
    <x v="0"/>
    <n v="1203.107"/>
    <s v="Cash"/>
    <s v="SAVE10"/>
    <n v="0"/>
    <s v="REG100678"/>
    <s v="Cust 8055"/>
    <n v="42.68"/>
    <d v="2024-10-31T00:00:00"/>
    <d v="2024-11-06T00:00:00"/>
    <s v="Ryan"/>
    <n v="1022.64095"/>
    <n v="1415.42"/>
    <n v="392.7790500000001"/>
    <x v="2"/>
    <x v="7"/>
  </r>
  <r>
    <d v="2023-12-19T00:00:00"/>
    <x v="3"/>
    <x v="2"/>
    <s v="Desk"/>
    <s v="Desk"/>
    <x v="1"/>
    <n v="20"/>
    <n v="51.85"/>
    <s v="Store C"/>
    <s v="Wholesale"/>
    <n v="0.15"/>
    <x v="3"/>
    <n v="881.44999999999993"/>
    <s v="Cash"/>
    <m/>
    <n v="0"/>
    <s v="REG100679"/>
    <s v="Cust 4707"/>
    <n v="33.159999999999997"/>
    <d v="2023-12-19T00:00:00"/>
    <d v="2023-12-21T00:00:00"/>
    <s v="Cameron"/>
    <n v="749.23249999999996"/>
    <n v="1037"/>
    <n v="287.76750000000004"/>
    <x v="2"/>
    <x v="27"/>
  </r>
  <r>
    <d v="2023-07-04T00:00:00"/>
    <x v="1"/>
    <x v="5"/>
    <s v="Tablet"/>
    <s v="Tablet"/>
    <x v="0"/>
    <n v="12"/>
    <n v="122.51"/>
    <s v="Store B"/>
    <s v="Wholesale"/>
    <n v="0.05"/>
    <x v="4"/>
    <n v="1396.614"/>
    <s v="Gift Card"/>
    <s v="WINTER15"/>
    <n v="0"/>
    <s v="REG100680"/>
    <s v="Cust 8088"/>
    <n v="43.47"/>
    <d v="2023-07-04T00:00:00"/>
    <d v="2023-07-06T00:00:00"/>
    <s v="Sophie"/>
    <n v="1326.7833000000001"/>
    <n v="1470.1200000000001"/>
    <n v="143.33670000000006"/>
    <x v="1"/>
    <x v="11"/>
  </r>
  <r>
    <d v="2024-05-16T00:00:00"/>
    <x v="0"/>
    <x v="0"/>
    <s v="Laptop"/>
    <s v="Laptop"/>
    <x v="0"/>
    <n v="11"/>
    <n v="222.13"/>
    <s v="Store D"/>
    <s v="Wholesale"/>
    <n v="0.15"/>
    <x v="0"/>
    <n v="2076.9155000000001"/>
    <s v="Cash"/>
    <s v="WINTER15"/>
    <n v="1"/>
    <s v="REG100681"/>
    <s v="Cust 7806"/>
    <n v="9.8800000000000008"/>
    <d v="2024-05-16T00:00:00"/>
    <d v="2024-05-18T00:00:00"/>
    <s v="Eric"/>
    <n v="1765.3781750000001"/>
    <n v="2443.4299999999998"/>
    <n v="678.05182499999978"/>
    <x v="2"/>
    <x v="14"/>
  </r>
  <r>
    <d v="2023-09-16T00:00:00"/>
    <x v="2"/>
    <x v="4"/>
    <s v="Monitor"/>
    <s v="Monitor"/>
    <x v="0"/>
    <n v="8"/>
    <n v="204.84"/>
    <s v="Store C"/>
    <s v="Retail"/>
    <n v="0"/>
    <x v="5"/>
    <n v="1638.72"/>
    <s v="Cash"/>
    <m/>
    <n v="0"/>
    <s v="REG100682"/>
    <s v="Cust 7033"/>
    <n v="43.4"/>
    <d v="2023-09-16T00:00:00"/>
    <d v="2023-09-21T00:00:00"/>
    <s v="Ryan"/>
    <n v="1638.72"/>
    <n v="1638.72"/>
    <n v="0"/>
    <x v="0"/>
    <x v="22"/>
  </r>
  <r>
    <d v="2024-11-22T00:00:00"/>
    <x v="0"/>
    <x v="3"/>
    <s v="Chair"/>
    <s v="Chair"/>
    <x v="1"/>
    <n v="3"/>
    <n v="536.97"/>
    <s v="Store C"/>
    <s v="Wholesale"/>
    <n v="0"/>
    <x v="3"/>
    <n v="1610.91"/>
    <s v="Debit Card"/>
    <m/>
    <n v="0"/>
    <s v="REG100683"/>
    <s v="Cust 8372"/>
    <n v="13.86"/>
    <d v="2024-11-22T00:00:00"/>
    <d v="2024-12-01T00:00:00"/>
    <s v="Eric"/>
    <n v="1610.91"/>
    <n v="1610.91"/>
    <n v="0"/>
    <x v="0"/>
    <x v="20"/>
  </r>
  <r>
    <d v="2024-04-13T00:00:00"/>
    <x v="4"/>
    <x v="3"/>
    <s v="Chair"/>
    <s v="Chair"/>
    <x v="1"/>
    <n v="15"/>
    <n v="553.01"/>
    <s v="Store A"/>
    <s v="Retail"/>
    <n v="0.1"/>
    <x v="3"/>
    <n v="7465.6350000000002"/>
    <s v="Credit Card"/>
    <s v="SAVE10"/>
    <n v="1"/>
    <s v="REG100684"/>
    <s v="Cust 1935"/>
    <n v="23.3"/>
    <d v="2024-04-13T00:00:00"/>
    <d v="2024-04-21T00:00:00"/>
    <s v="Wendy"/>
    <n v="6719.0715"/>
    <n v="8295.15"/>
    <n v="1576.0784999999996"/>
    <x v="1"/>
    <x v="9"/>
  </r>
  <r>
    <d v="2024-06-30T00:00:00"/>
    <x v="1"/>
    <x v="3"/>
    <s v="Chair"/>
    <s v="Chair"/>
    <x v="1"/>
    <n v="20"/>
    <n v="284.82"/>
    <s v="Store D"/>
    <s v="Retail"/>
    <n v="0.1"/>
    <x v="1"/>
    <n v="5126.76"/>
    <s v="Credit Card"/>
    <s v="WINTER15"/>
    <n v="1"/>
    <s v="REG100685"/>
    <s v="Cust 8417"/>
    <n v="27"/>
    <d v="2024-06-30T00:00:00"/>
    <d v="2024-07-06T00:00:00"/>
    <s v="Sophie"/>
    <n v="4614.0840000000007"/>
    <n v="5696.4"/>
    <n v="1082.3159999999989"/>
    <x v="1"/>
    <x v="23"/>
  </r>
  <r>
    <d v="2024-08-29T00:00:00"/>
    <x v="2"/>
    <x v="2"/>
    <s v="Desk"/>
    <s v="Desk"/>
    <x v="1"/>
    <n v="18"/>
    <n v="523.87"/>
    <s v="Store C"/>
    <s v="Retail"/>
    <n v="0.15"/>
    <x v="4"/>
    <n v="8015.2109999999993"/>
    <s v="Gift Card"/>
    <s v="WINTER15"/>
    <n v="0"/>
    <s v="REG100686"/>
    <s v="Cust 3370"/>
    <n v="42.63"/>
    <d v="2024-08-29T00:00:00"/>
    <d v="2024-09-02T00:00:00"/>
    <s v="Ryan"/>
    <n v="6812.9293499999994"/>
    <n v="9429.66"/>
    <n v="2616.7306500000004"/>
    <x v="2"/>
    <x v="29"/>
  </r>
  <r>
    <d v="2023-12-26T00:00:00"/>
    <x v="3"/>
    <x v="2"/>
    <s v="Desk"/>
    <s v="Desk"/>
    <x v="1"/>
    <n v="3"/>
    <n v="232.13"/>
    <s v="Store B"/>
    <s v="Retail"/>
    <n v="0.1"/>
    <x v="4"/>
    <n v="626.75099999999998"/>
    <s v="Cash"/>
    <m/>
    <n v="1"/>
    <s v="REG100687"/>
    <s v="Cust 3664"/>
    <n v="46.65"/>
    <d v="2023-12-26T00:00:00"/>
    <d v="2023-12-31T00:00:00"/>
    <s v="Cameron"/>
    <n v="564.07590000000005"/>
    <n v="696.39"/>
    <n v="132.31409999999994"/>
    <x v="1"/>
    <x v="27"/>
  </r>
  <r>
    <d v="2025-01-30T00:00:00"/>
    <x v="2"/>
    <x v="1"/>
    <s v="Phone"/>
    <s v="Phone"/>
    <x v="0"/>
    <n v="17"/>
    <n v="179.32"/>
    <s v="Store A"/>
    <s v="Retail"/>
    <n v="0.1"/>
    <x v="5"/>
    <n v="2743.596"/>
    <s v="Debit Card"/>
    <s v="SAVE10"/>
    <n v="1"/>
    <s v="REG100688"/>
    <s v="Cust 5760"/>
    <n v="26.74"/>
    <d v="2025-01-30T00:00:00"/>
    <d v="2025-02-06T00:00:00"/>
    <s v="Ryan"/>
    <n v="2469.2364000000002"/>
    <n v="3048.44"/>
    <n v="579.20359999999982"/>
    <x v="1"/>
    <x v="12"/>
  </r>
  <r>
    <d v="2023-05-17T00:00:00"/>
    <x v="1"/>
    <x v="3"/>
    <s v="Chair"/>
    <s v="Chair"/>
    <x v="1"/>
    <n v="1"/>
    <n v="396.35"/>
    <s v="Store B"/>
    <s v="Retail"/>
    <n v="0.15"/>
    <x v="2"/>
    <n v="336.89749999999998"/>
    <s v="Debit Card"/>
    <s v="SAVE10"/>
    <n v="1"/>
    <s v="REG100689"/>
    <s v="Cust 3037"/>
    <n v="19.89"/>
    <d v="2023-05-17T00:00:00"/>
    <d v="2023-05-25T00:00:00"/>
    <s v="Sophie"/>
    <n v="286.36287499999997"/>
    <n v="396.35"/>
    <n v="109.98712500000005"/>
    <x v="2"/>
    <x v="2"/>
  </r>
  <r>
    <d v="2024-01-27T00:00:00"/>
    <x v="3"/>
    <x v="2"/>
    <s v="Desk"/>
    <s v="Desk"/>
    <x v="1"/>
    <n v="17"/>
    <n v="108.48"/>
    <s v="Store A"/>
    <s v="Wholesale"/>
    <n v="0.1"/>
    <x v="3"/>
    <n v="1659.7439999999999"/>
    <s v="Online"/>
    <m/>
    <n v="1"/>
    <s v="REG100690"/>
    <s v="Cust 9828"/>
    <n v="48.9"/>
    <d v="2024-01-27T00:00:00"/>
    <d v="2024-02-05T00:00:00"/>
    <s v="Cameron"/>
    <n v="1493.7695999999999"/>
    <n v="1844.16"/>
    <n v="350.39040000000023"/>
    <x v="1"/>
    <x v="24"/>
  </r>
  <r>
    <d v="2025-05-26T00:00:00"/>
    <x v="0"/>
    <x v="6"/>
    <s v="Printer"/>
    <s v="Printer"/>
    <x v="2"/>
    <n v="10"/>
    <n v="149.66999999999999"/>
    <s v="Store D"/>
    <s v="Retail"/>
    <n v="0.1"/>
    <x v="3"/>
    <n v="1347.03"/>
    <s v="Cash"/>
    <s v="FREESHIP"/>
    <n v="1"/>
    <s v="REG100691"/>
    <s v="Cust 5297"/>
    <n v="49.67"/>
    <d v="2025-05-26T00:00:00"/>
    <d v="2025-06-02T00:00:00"/>
    <s v="Eric"/>
    <n v="1212.327"/>
    <n v="1496.6999999999998"/>
    <n v="284.37299999999982"/>
    <x v="1"/>
    <x v="13"/>
  </r>
  <r>
    <d v="2025-03-09T00:00:00"/>
    <x v="2"/>
    <x v="1"/>
    <s v="Phone"/>
    <s v="Phone"/>
    <x v="0"/>
    <n v="1"/>
    <n v="506.41"/>
    <s v="Store D"/>
    <s v="Wholesale"/>
    <n v="0"/>
    <x v="5"/>
    <n v="506.41"/>
    <s v="Cash"/>
    <m/>
    <n v="0"/>
    <s v="REG100692"/>
    <s v="Cust 6785"/>
    <n v="17.899999999999999"/>
    <d v="2025-03-09T00:00:00"/>
    <d v="2025-03-17T00:00:00"/>
    <s v="Ryan"/>
    <n v="506.41"/>
    <n v="506.41"/>
    <n v="0"/>
    <x v="0"/>
    <x v="8"/>
  </r>
  <r>
    <d v="2024-02-22T00:00:00"/>
    <x v="4"/>
    <x v="5"/>
    <s v="Tablet"/>
    <s v="Tablet"/>
    <x v="0"/>
    <n v="6"/>
    <n v="345.9"/>
    <s v="Store B"/>
    <s v="Retail"/>
    <n v="0.15"/>
    <x v="2"/>
    <n v="1764.09"/>
    <s v="Credit Card"/>
    <s v="WINTER15"/>
    <n v="0"/>
    <s v="REG100693"/>
    <s v="Cust 1344"/>
    <n v="30.58"/>
    <d v="2024-02-22T00:00:00"/>
    <d v="2024-03-03T00:00:00"/>
    <s v="Wendy"/>
    <n v="1499.4765"/>
    <n v="2075.3999999999996"/>
    <n v="575.92349999999965"/>
    <x v="2"/>
    <x v="5"/>
  </r>
  <r>
    <d v="2025-02-03T00:00:00"/>
    <x v="0"/>
    <x v="5"/>
    <s v="Tablet"/>
    <s v="Tablet"/>
    <x v="0"/>
    <n v="15"/>
    <n v="342.04"/>
    <s v="Store C"/>
    <s v="Retail"/>
    <n v="0.15"/>
    <x v="4"/>
    <n v="4361.01"/>
    <s v="Gift Card"/>
    <s v="WINTER15"/>
    <n v="0"/>
    <s v="REG100694"/>
    <s v="Cust 4023"/>
    <n v="44.91"/>
    <d v="2025-02-03T00:00:00"/>
    <d v="2025-02-08T00:00:00"/>
    <s v="Eric"/>
    <n v="3706.8585000000003"/>
    <n v="5130.6000000000004"/>
    <n v="1423.7415000000001"/>
    <x v="2"/>
    <x v="3"/>
  </r>
  <r>
    <d v="2024-01-09T00:00:00"/>
    <x v="3"/>
    <x v="6"/>
    <s v="Printer"/>
    <s v="Printer"/>
    <x v="2"/>
    <n v="11"/>
    <n v="404.88"/>
    <s v="Store A"/>
    <s v="Wholesale"/>
    <n v="0.05"/>
    <x v="1"/>
    <n v="4230.9960000000001"/>
    <s v="Gift Card"/>
    <s v="SAVE10"/>
    <n v="0"/>
    <s v="REG100695"/>
    <s v="Cust 3721"/>
    <n v="18.920000000000002"/>
    <d v="2024-01-09T00:00:00"/>
    <d v="2024-01-16T00:00:00"/>
    <s v="Cameron"/>
    <n v="4019.4461999999999"/>
    <n v="4453.68"/>
    <n v="434.23380000000043"/>
    <x v="1"/>
    <x v="24"/>
  </r>
  <r>
    <d v="2025-05-05T00:00:00"/>
    <x v="2"/>
    <x v="2"/>
    <s v="Desk"/>
    <s v="Desk"/>
    <x v="1"/>
    <n v="9"/>
    <n v="292.45999999999998"/>
    <s v="Store A"/>
    <s v="Wholesale"/>
    <n v="0.05"/>
    <x v="3"/>
    <n v="2500.5329999999999"/>
    <s v="Credit Card"/>
    <m/>
    <n v="0"/>
    <s v="REG100696"/>
    <s v="Cust 1486"/>
    <n v="34.26"/>
    <d v="2025-05-05T00:00:00"/>
    <d v="2025-05-14T00:00:00"/>
    <s v="Ryan"/>
    <n v="2375.5063499999997"/>
    <n v="2632.14"/>
    <n v="256.63365000000022"/>
    <x v="1"/>
    <x v="13"/>
  </r>
  <r>
    <d v="2023-04-17T00:00:00"/>
    <x v="3"/>
    <x v="2"/>
    <s v="Desk"/>
    <s v="Desk"/>
    <x v="1"/>
    <n v="5"/>
    <n v="547.53"/>
    <s v="Store A"/>
    <s v="Retail"/>
    <n v="0.1"/>
    <x v="0"/>
    <n v="2463.8850000000002"/>
    <s v="Debit Card"/>
    <m/>
    <n v="0"/>
    <s v="REG100697"/>
    <s v="Cust 3958"/>
    <n v="24.68"/>
    <d v="2023-04-17T00:00:00"/>
    <d v="2023-04-21T00:00:00"/>
    <s v="Cameron"/>
    <n v="2217.4965000000002"/>
    <n v="2737.6499999999996"/>
    <n v="520.15349999999944"/>
    <x v="1"/>
    <x v="21"/>
  </r>
  <r>
    <d v="2024-06-16T00:00:00"/>
    <x v="1"/>
    <x v="2"/>
    <s v="Desk"/>
    <s v="Desk"/>
    <x v="1"/>
    <n v="12"/>
    <n v="348.88"/>
    <s v="Store C"/>
    <s v="Wholesale"/>
    <n v="0"/>
    <x v="1"/>
    <n v="4186.5599999999986"/>
    <s v="Credit Card"/>
    <s v="SAVE10"/>
    <n v="0"/>
    <s v="REG100698"/>
    <s v="Cust 6914"/>
    <n v="31.28"/>
    <d v="2024-06-16T00:00:00"/>
    <d v="2024-06-21T00:00:00"/>
    <s v="Sophie"/>
    <n v="4186.5599999999986"/>
    <n v="4186.5599999999995"/>
    <n v="0"/>
    <x v="0"/>
    <x v="23"/>
  </r>
  <r>
    <d v="2024-11-01T00:00:00"/>
    <x v="1"/>
    <x v="1"/>
    <s v="Phone"/>
    <s v="Phone"/>
    <x v="0"/>
    <n v="15"/>
    <n v="486.03"/>
    <s v="Store C"/>
    <s v="Wholesale"/>
    <n v="0"/>
    <x v="1"/>
    <n v="7290.45"/>
    <s v="Debit Card"/>
    <s v="WINTER15"/>
    <n v="0"/>
    <s v="REG100699"/>
    <s v="Cust 3287"/>
    <n v="14.9"/>
    <d v="2024-11-01T00:00:00"/>
    <d v="2024-11-04T00:00:00"/>
    <s v="Sophie"/>
    <n v="7290.45"/>
    <n v="7290.45"/>
    <n v="0"/>
    <x v="0"/>
    <x v="20"/>
  </r>
  <r>
    <d v="2025-02-07T00:00:00"/>
    <x v="0"/>
    <x v="5"/>
    <s v="Tablet"/>
    <s v="Tablet"/>
    <x v="0"/>
    <n v="14"/>
    <n v="159.09"/>
    <s v="Store C"/>
    <s v="Retail"/>
    <n v="0.15"/>
    <x v="5"/>
    <n v="1893.171"/>
    <s v="Debit Card"/>
    <s v="FREESHIP"/>
    <n v="0"/>
    <s v="REG100700"/>
    <s v="Cust 9072"/>
    <n v="27.05"/>
    <d v="2025-02-07T00:00:00"/>
    <d v="2025-02-10T00:00:00"/>
    <s v="Eric"/>
    <n v="1609.19535"/>
    <n v="2227.2600000000002"/>
    <n v="618.06465000000026"/>
    <x v="2"/>
    <x v="3"/>
  </r>
  <r>
    <d v="2024-11-24T00:00:00"/>
    <x v="1"/>
    <x v="4"/>
    <s v="Monitor"/>
    <s v="Monitor"/>
    <x v="0"/>
    <n v="12"/>
    <n v="173.79"/>
    <s v="Store D"/>
    <s v="Retail"/>
    <n v="0.15"/>
    <x v="0"/>
    <n v="1772.6579999999999"/>
    <s v="Credit Card"/>
    <m/>
    <n v="0"/>
    <s v="REG100701"/>
    <s v="Cust 3098"/>
    <n v="21.23"/>
    <d v="2024-11-24T00:00:00"/>
    <d v="2024-12-04T00:00:00"/>
    <s v="Sophie"/>
    <n v="1506.7592999999999"/>
    <n v="2085.48"/>
    <n v="578.72070000000008"/>
    <x v="2"/>
    <x v="20"/>
  </r>
  <r>
    <d v="2024-04-23T00:00:00"/>
    <x v="3"/>
    <x v="4"/>
    <s v="Monitor"/>
    <s v="Monitor"/>
    <x v="0"/>
    <n v="13"/>
    <n v="439.75"/>
    <s v="Store A"/>
    <s v="Wholesale"/>
    <n v="0"/>
    <x v="2"/>
    <n v="5716.75"/>
    <s v="Online"/>
    <m/>
    <n v="1"/>
    <s v="REG100702"/>
    <s v="Cust 7942"/>
    <n v="12.23"/>
    <d v="2024-04-23T00:00:00"/>
    <d v="2024-05-02T00:00:00"/>
    <s v="Cameron"/>
    <n v="5716.75"/>
    <n v="5716.75"/>
    <n v="0"/>
    <x v="0"/>
    <x v="9"/>
  </r>
  <r>
    <d v="2024-06-24T00:00:00"/>
    <x v="0"/>
    <x v="0"/>
    <s v="Laptop"/>
    <s v="Laptop"/>
    <x v="0"/>
    <n v="9"/>
    <n v="265.43"/>
    <s v="Store D"/>
    <s v="Wholesale"/>
    <n v="0.05"/>
    <x v="0"/>
    <n v="2269.4265"/>
    <s v="Credit Card"/>
    <s v="FREESHIP"/>
    <n v="0"/>
    <s v="REG100703"/>
    <s v="Cust 4307"/>
    <n v="40.18"/>
    <d v="2024-06-24T00:00:00"/>
    <d v="2024-06-27T00:00:00"/>
    <s v="Eric"/>
    <n v="2155.9551750000001"/>
    <n v="2388.87"/>
    <n v="232.91482499999984"/>
    <x v="1"/>
    <x v="23"/>
  </r>
  <r>
    <d v="2025-06-01T00:00:00"/>
    <x v="4"/>
    <x v="4"/>
    <s v="Monitor"/>
    <s v="Monitor"/>
    <x v="0"/>
    <n v="12"/>
    <n v="290.27999999999997"/>
    <s v="Store B"/>
    <s v="Retail"/>
    <n v="0.1"/>
    <x v="3"/>
    <n v="3135.0239999999999"/>
    <s v="Cash"/>
    <s v="FREESHIP"/>
    <n v="1"/>
    <s v="REG100704"/>
    <s v="Cust 4618"/>
    <n v="5.55"/>
    <d v="2025-06-01T00:00:00"/>
    <d v="2025-06-07T00:00:00"/>
    <s v="Wendy"/>
    <n v="2821.5216"/>
    <n v="3483.3599999999997"/>
    <n v="661.83839999999964"/>
    <x v="1"/>
    <x v="16"/>
  </r>
  <r>
    <d v="2023-03-12T00:00:00"/>
    <x v="4"/>
    <x v="5"/>
    <s v="Tablet"/>
    <s v="Tablet"/>
    <x v="0"/>
    <n v="6"/>
    <n v="88.7"/>
    <s v="Store B"/>
    <s v="Wholesale"/>
    <n v="0"/>
    <x v="3"/>
    <n v="532.20000000000005"/>
    <s v="Gift Card"/>
    <m/>
    <n v="0"/>
    <s v="REG100705"/>
    <s v="Cust 5322"/>
    <n v="16.98"/>
    <d v="2023-03-12T00:00:00"/>
    <d v="2023-03-14T00:00:00"/>
    <s v="Wendy"/>
    <n v="532.20000000000005"/>
    <n v="532.20000000000005"/>
    <n v="0"/>
    <x v="0"/>
    <x v="17"/>
  </r>
  <r>
    <d v="2024-11-11T00:00:00"/>
    <x v="3"/>
    <x v="2"/>
    <s v="Desk"/>
    <s v="Desk"/>
    <x v="1"/>
    <n v="2"/>
    <n v="239.69"/>
    <s v="Store C"/>
    <s v="Retail"/>
    <n v="0"/>
    <x v="4"/>
    <n v="479.38"/>
    <s v="Credit Card"/>
    <s v="WINTER15"/>
    <n v="0"/>
    <s v="REG100706"/>
    <s v="Cust 9873"/>
    <n v="28.96"/>
    <d v="2024-11-11T00:00:00"/>
    <d v="2024-11-19T00:00:00"/>
    <s v="Cameron"/>
    <n v="479.38"/>
    <n v="479.38"/>
    <n v="0"/>
    <x v="0"/>
    <x v="20"/>
  </r>
  <r>
    <d v="2024-10-17T00:00:00"/>
    <x v="3"/>
    <x v="5"/>
    <s v="Tablet"/>
    <s v="Tablet"/>
    <x v="0"/>
    <n v="8"/>
    <n v="39.79"/>
    <s v="Store C"/>
    <s v="Retail"/>
    <n v="0.1"/>
    <x v="5"/>
    <n v="286.488"/>
    <s v="Credit Card"/>
    <s v="SAVE10"/>
    <n v="0"/>
    <s v="REG100707"/>
    <s v="Cust 3652"/>
    <n v="46.16"/>
    <d v="2024-10-17T00:00:00"/>
    <d v="2024-10-26T00:00:00"/>
    <s v="Cameron"/>
    <n v="257.83920000000001"/>
    <n v="318.32"/>
    <n v="60.480799999999988"/>
    <x v="1"/>
    <x v="7"/>
  </r>
  <r>
    <d v="2023-05-10T00:00:00"/>
    <x v="0"/>
    <x v="6"/>
    <s v="Printer"/>
    <s v="Printer"/>
    <x v="2"/>
    <n v="18"/>
    <n v="206.8"/>
    <s v="Store A"/>
    <s v="Retail"/>
    <n v="0.05"/>
    <x v="2"/>
    <n v="3536.28"/>
    <s v="Debit Card"/>
    <s v="FREESHIP"/>
    <n v="1"/>
    <s v="REG100708"/>
    <s v="Cust 5569"/>
    <n v="39.25"/>
    <d v="2023-05-10T00:00:00"/>
    <d v="2023-05-13T00:00:00"/>
    <s v="Eric"/>
    <n v="3359.4659999999999"/>
    <n v="3722.4"/>
    <n v="362.9340000000002"/>
    <x v="1"/>
    <x v="2"/>
  </r>
  <r>
    <d v="2023-07-29T00:00:00"/>
    <x v="0"/>
    <x v="0"/>
    <s v="Laptop"/>
    <s v="Laptop"/>
    <x v="0"/>
    <n v="18"/>
    <n v="175.81"/>
    <s v="Store C"/>
    <s v="Retail"/>
    <n v="0"/>
    <x v="0"/>
    <n v="3164.58"/>
    <s v="Gift Card"/>
    <s v="WINTER15"/>
    <n v="1"/>
    <s v="REG100709"/>
    <s v="Cust 5369"/>
    <n v="26.97"/>
    <d v="2023-07-29T00:00:00"/>
    <d v="2023-08-07T00:00:00"/>
    <s v="Eric"/>
    <n v="3164.58"/>
    <n v="3164.58"/>
    <n v="0"/>
    <x v="0"/>
    <x v="11"/>
  </r>
  <r>
    <d v="2023-08-26T00:00:00"/>
    <x v="3"/>
    <x v="1"/>
    <s v="Phone"/>
    <s v="Phone"/>
    <x v="0"/>
    <n v="14"/>
    <n v="547.36"/>
    <s v="Store C"/>
    <s v="Retail"/>
    <n v="0.15"/>
    <x v="4"/>
    <n v="6513.5839999999998"/>
    <s v="Online"/>
    <s v="FREESHIP"/>
    <n v="0"/>
    <s v="REG100710"/>
    <s v="Cust 9044"/>
    <n v="25.24"/>
    <d v="2023-08-26T00:00:00"/>
    <d v="2023-08-29T00:00:00"/>
    <s v="Cameron"/>
    <n v="5536.5463999999993"/>
    <n v="7663.04"/>
    <n v="2126.4936000000007"/>
    <x v="2"/>
    <x v="18"/>
  </r>
  <r>
    <d v="2023-12-28T00:00:00"/>
    <x v="0"/>
    <x v="0"/>
    <s v="Laptop"/>
    <s v="Laptop"/>
    <x v="0"/>
    <n v="19"/>
    <n v="374.8"/>
    <s v="Store A"/>
    <s v="Retail"/>
    <n v="0.05"/>
    <x v="3"/>
    <n v="6765.1399999999994"/>
    <s v="Online"/>
    <s v="WINTER15"/>
    <n v="0"/>
    <s v="REG100711"/>
    <s v="Cust 1887"/>
    <n v="41.67"/>
    <d v="2023-12-28T00:00:00"/>
    <d v="2024-01-03T00:00:00"/>
    <s v="Eric"/>
    <n v="6426.8829999999989"/>
    <n v="7121.2"/>
    <n v="694.31700000000092"/>
    <x v="1"/>
    <x v="27"/>
  </r>
  <r>
    <d v="2025-03-10T00:00:00"/>
    <x v="2"/>
    <x v="5"/>
    <s v="Tablet"/>
    <s v="Tablet"/>
    <x v="0"/>
    <n v="9"/>
    <n v="507.74"/>
    <s v="Store D"/>
    <s v="Retail"/>
    <n v="0.15"/>
    <x v="5"/>
    <n v="3884.2109999999998"/>
    <s v="Cash"/>
    <s v="FREESHIP"/>
    <n v="1"/>
    <s v="REG100712"/>
    <s v="Cust 1559"/>
    <n v="22.08"/>
    <d v="2025-03-10T00:00:00"/>
    <d v="2025-03-17T00:00:00"/>
    <s v="Ryan"/>
    <n v="3301.5793499999995"/>
    <n v="4569.66"/>
    <n v="1268.0806500000003"/>
    <x v="2"/>
    <x v="8"/>
  </r>
  <r>
    <d v="2023-09-09T00:00:00"/>
    <x v="3"/>
    <x v="2"/>
    <s v="Desk"/>
    <s v="Desk"/>
    <x v="1"/>
    <n v="1"/>
    <n v="223.56"/>
    <s v="Store B"/>
    <s v="Wholesale"/>
    <n v="0.15"/>
    <x v="5"/>
    <n v="190.02600000000001"/>
    <s v="Credit Card"/>
    <s v="WINTER15"/>
    <n v="0"/>
    <s v="REG100713"/>
    <s v="Cust 1722"/>
    <n v="37.840000000000003"/>
    <d v="2023-09-09T00:00:00"/>
    <d v="2023-09-14T00:00:00"/>
    <s v="Cameron"/>
    <n v="161.52209999999999"/>
    <n v="223.56"/>
    <n v="62.037900000000008"/>
    <x v="2"/>
    <x v="22"/>
  </r>
  <r>
    <d v="2023-05-28T00:00:00"/>
    <x v="2"/>
    <x v="5"/>
    <s v="Tablet"/>
    <s v="Tablet"/>
    <x v="0"/>
    <n v="2"/>
    <n v="294.27"/>
    <s v="Store C"/>
    <s v="Retail"/>
    <n v="0.1"/>
    <x v="4"/>
    <n v="529.68600000000004"/>
    <s v="Gift Card"/>
    <m/>
    <n v="0"/>
    <s v="REG100714"/>
    <s v="Cust 9029"/>
    <n v="9.0500000000000007"/>
    <d v="2023-05-28T00:00:00"/>
    <d v="2023-06-01T00:00:00"/>
    <s v="Ryan"/>
    <n v="476.71740000000005"/>
    <n v="588.54"/>
    <n v="111.82259999999991"/>
    <x v="1"/>
    <x v="2"/>
  </r>
  <r>
    <d v="2025-05-21T00:00:00"/>
    <x v="4"/>
    <x v="4"/>
    <s v="Monitor"/>
    <s v="Monitor"/>
    <x v="0"/>
    <n v="1"/>
    <n v="319.49"/>
    <s v="Store C"/>
    <s v="Wholesale"/>
    <n v="0.15"/>
    <x v="4"/>
    <n v="271.56650000000002"/>
    <s v="Online"/>
    <s v="FREESHIP"/>
    <n v="1"/>
    <s v="REG100715"/>
    <s v="Cust 9555"/>
    <n v="18.100000000000001"/>
    <d v="2025-05-21T00:00:00"/>
    <d v="2025-05-31T00:00:00"/>
    <s v="Wendy"/>
    <n v="230.831525"/>
    <n v="319.49"/>
    <n v="88.65847500000001"/>
    <x v="2"/>
    <x v="13"/>
  </r>
  <r>
    <d v="2023-09-30T00:00:00"/>
    <x v="0"/>
    <x v="0"/>
    <s v="Laptop"/>
    <s v="Laptop"/>
    <x v="0"/>
    <n v="14"/>
    <n v="243.96"/>
    <s v="Store D"/>
    <s v="Wholesale"/>
    <n v="0.05"/>
    <x v="4"/>
    <n v="3244.6680000000001"/>
    <s v="Online"/>
    <m/>
    <n v="1"/>
    <s v="REG100716"/>
    <s v="Cust 2484"/>
    <n v="13.24"/>
    <d v="2023-09-30T00:00:00"/>
    <d v="2023-10-04T00:00:00"/>
    <s v="Eric"/>
    <n v="3082.4346"/>
    <n v="3415.44"/>
    <n v="333.00540000000001"/>
    <x v="1"/>
    <x v="22"/>
  </r>
  <r>
    <d v="2024-10-08T00:00:00"/>
    <x v="1"/>
    <x v="0"/>
    <s v="Laptop"/>
    <s v="Laptop"/>
    <x v="0"/>
    <n v="6"/>
    <n v="48.48"/>
    <s v="Store D"/>
    <s v="Retail"/>
    <n v="0.1"/>
    <x v="4"/>
    <n v="261.79199999999997"/>
    <s v="Online"/>
    <m/>
    <n v="0"/>
    <s v="REG100717"/>
    <s v="Cust 4763"/>
    <n v="6.11"/>
    <d v="2024-10-08T00:00:00"/>
    <d v="2024-10-13T00:00:00"/>
    <s v="Sophie"/>
    <n v="235.61279999999999"/>
    <n v="290.88"/>
    <n v="55.267200000000003"/>
    <x v="1"/>
    <x v="7"/>
  </r>
  <r>
    <d v="2023-04-14T00:00:00"/>
    <x v="0"/>
    <x v="0"/>
    <s v="Laptop"/>
    <s v="Laptop"/>
    <x v="0"/>
    <n v="20"/>
    <n v="87.47"/>
    <s v="Store B"/>
    <s v="Retail"/>
    <n v="0"/>
    <x v="3"/>
    <n v="1749.4"/>
    <s v="Online"/>
    <s v="WINTER15"/>
    <n v="0"/>
    <s v="REG100718"/>
    <s v="Cust 5016"/>
    <n v="48.48"/>
    <d v="2023-04-14T00:00:00"/>
    <d v="2023-04-23T00:00:00"/>
    <s v="Eric"/>
    <n v="1749.4"/>
    <n v="1749.4"/>
    <n v="0"/>
    <x v="0"/>
    <x v="21"/>
  </r>
  <r>
    <d v="2023-03-05T00:00:00"/>
    <x v="1"/>
    <x v="4"/>
    <s v="Monitor"/>
    <s v="Monitor"/>
    <x v="0"/>
    <n v="17"/>
    <n v="465.6"/>
    <s v="Store C"/>
    <s v="Retail"/>
    <n v="0.1"/>
    <x v="5"/>
    <n v="7123.6800000000012"/>
    <s v="Debit Card"/>
    <s v="SAVE10"/>
    <n v="0"/>
    <s v="REG100719"/>
    <s v="Cust 5528"/>
    <n v="7.76"/>
    <d v="2023-03-05T00:00:00"/>
    <d v="2023-03-10T00:00:00"/>
    <s v="Sophie"/>
    <n v="6411.3120000000008"/>
    <n v="7915.2000000000007"/>
    <n v="1503.8879999999999"/>
    <x v="1"/>
    <x v="17"/>
  </r>
  <r>
    <d v="2024-07-17T00:00:00"/>
    <x v="2"/>
    <x v="2"/>
    <s v="Desk"/>
    <s v="Desk"/>
    <x v="1"/>
    <n v="17"/>
    <n v="279.38"/>
    <s v="Store B"/>
    <s v="Wholesale"/>
    <n v="0.05"/>
    <x v="2"/>
    <n v="4511.9870000000001"/>
    <s v="Credit Card"/>
    <s v="WINTER15"/>
    <n v="0"/>
    <s v="REG100720"/>
    <s v="Cust 6922"/>
    <n v="30.3"/>
    <d v="2024-07-17T00:00:00"/>
    <d v="2024-07-20T00:00:00"/>
    <s v="Ryan"/>
    <n v="4286.3876499999997"/>
    <n v="4749.46"/>
    <n v="463.07235000000037"/>
    <x v="1"/>
    <x v="10"/>
  </r>
  <r>
    <d v="2024-05-20T00:00:00"/>
    <x v="2"/>
    <x v="5"/>
    <s v="Tablet"/>
    <s v="Tablet"/>
    <x v="0"/>
    <n v="16"/>
    <n v="427.68"/>
    <s v="Store A"/>
    <s v="Retail"/>
    <n v="0.1"/>
    <x v="3"/>
    <n v="6158.5920000000006"/>
    <s v="Debit Card"/>
    <m/>
    <n v="0"/>
    <s v="REG100721"/>
    <s v="Cust 4807"/>
    <n v="18.72"/>
    <d v="2024-05-20T00:00:00"/>
    <d v="2024-05-29T00:00:00"/>
    <s v="Ryan"/>
    <n v="5542.7328000000007"/>
    <n v="6842.88"/>
    <n v="1300.1471999999994"/>
    <x v="1"/>
    <x v="14"/>
  </r>
  <r>
    <d v="2025-05-06T00:00:00"/>
    <x v="2"/>
    <x v="0"/>
    <s v="Laptop"/>
    <s v="Laptop"/>
    <x v="0"/>
    <n v="15"/>
    <n v="281.73"/>
    <s v="Store B"/>
    <s v="Wholesale"/>
    <n v="0.1"/>
    <x v="5"/>
    <n v="3803.3550000000009"/>
    <s v="Credit Card"/>
    <s v="WINTER15"/>
    <n v="0"/>
    <s v="REG100722"/>
    <s v="Cust 3368"/>
    <n v="36.869999999999997"/>
    <d v="2025-05-06T00:00:00"/>
    <d v="2025-05-10T00:00:00"/>
    <s v="Ryan"/>
    <n v="3423.0195000000008"/>
    <n v="4225.9500000000007"/>
    <n v="802.93049999999994"/>
    <x v="1"/>
    <x v="13"/>
  </r>
  <r>
    <d v="2023-01-15T00:00:00"/>
    <x v="2"/>
    <x v="2"/>
    <s v="Desk"/>
    <s v="Desk"/>
    <x v="1"/>
    <n v="15"/>
    <n v="185"/>
    <s v="Store B"/>
    <s v="Wholesale"/>
    <n v="0"/>
    <x v="1"/>
    <n v="2775"/>
    <s v="Cash"/>
    <s v="FREESHIP"/>
    <n v="0"/>
    <s v="REG100723"/>
    <s v="Cust 2871"/>
    <n v="29.31"/>
    <d v="2023-01-15T00:00:00"/>
    <d v="2023-01-17T00:00:00"/>
    <s v="Ryan"/>
    <n v="2775"/>
    <n v="2775"/>
    <n v="0"/>
    <x v="0"/>
    <x v="6"/>
  </r>
  <r>
    <d v="2024-01-09T00:00:00"/>
    <x v="3"/>
    <x v="4"/>
    <s v="Monitor"/>
    <s v="Monitor"/>
    <x v="0"/>
    <n v="19"/>
    <n v="380.82"/>
    <s v="Store D"/>
    <s v="Wholesale"/>
    <n v="0.1"/>
    <x v="4"/>
    <n v="6512.0219999999999"/>
    <s v="Credit Card"/>
    <s v="SAVE10"/>
    <n v="0"/>
    <s v="REG100724"/>
    <s v="Cust 6229"/>
    <n v="48.73"/>
    <d v="2024-01-09T00:00:00"/>
    <d v="2024-01-12T00:00:00"/>
    <s v="Cameron"/>
    <n v="5860.8198000000002"/>
    <n v="7235.58"/>
    <n v="1374.7601999999997"/>
    <x v="1"/>
    <x v="24"/>
  </r>
  <r>
    <d v="2023-07-12T00:00:00"/>
    <x v="1"/>
    <x v="3"/>
    <s v="Chair"/>
    <s v="Chair"/>
    <x v="1"/>
    <n v="4"/>
    <n v="444.87"/>
    <s v="Store B"/>
    <s v="Retail"/>
    <n v="0.15"/>
    <x v="3"/>
    <n v="1512.558"/>
    <s v="Online"/>
    <s v="FREESHIP"/>
    <n v="0"/>
    <s v="REG100725"/>
    <s v="Cust 4560"/>
    <n v="47.14"/>
    <d v="2023-07-12T00:00:00"/>
    <d v="2023-07-21T00:00:00"/>
    <s v="Sophie"/>
    <n v="1285.6742999999999"/>
    <n v="1779.48"/>
    <n v="493.80570000000012"/>
    <x v="2"/>
    <x v="11"/>
  </r>
  <r>
    <d v="2025-06-21T00:00:00"/>
    <x v="0"/>
    <x v="3"/>
    <s v="Chair"/>
    <s v="Chair"/>
    <x v="1"/>
    <n v="7"/>
    <n v="590.79"/>
    <s v="Store B"/>
    <s v="Retail"/>
    <n v="0.05"/>
    <x v="0"/>
    <n v="3928.7534999999989"/>
    <s v="Cash"/>
    <s v="FREESHIP"/>
    <n v="1"/>
    <s v="REG100726"/>
    <s v="Cust 7099"/>
    <n v="41.39"/>
    <d v="2025-06-21T00:00:00"/>
    <d v="2025-06-26T00:00:00"/>
    <s v="Eric"/>
    <n v="3732.3158249999988"/>
    <n v="4135.53"/>
    <n v="403.21417500000098"/>
    <x v="1"/>
    <x v="16"/>
  </r>
  <r>
    <d v="2024-12-29T00:00:00"/>
    <x v="2"/>
    <x v="6"/>
    <s v="Printer"/>
    <s v="Printer"/>
    <x v="2"/>
    <n v="5"/>
    <n v="34.58"/>
    <s v="Store A"/>
    <s v="Retail"/>
    <n v="0.1"/>
    <x v="2"/>
    <n v="155.61000000000001"/>
    <s v="Gift Card"/>
    <s v="WINTER15"/>
    <n v="0"/>
    <s v="REG100727"/>
    <s v="Cust 6333"/>
    <n v="27.1"/>
    <d v="2024-12-29T00:00:00"/>
    <d v="2025-01-02T00:00:00"/>
    <s v="Ryan"/>
    <n v="140.04900000000001"/>
    <n v="172.89999999999998"/>
    <n v="32.850999999999971"/>
    <x v="1"/>
    <x v="1"/>
  </r>
  <r>
    <d v="2023-05-23T00:00:00"/>
    <x v="4"/>
    <x v="5"/>
    <s v="Tablet"/>
    <s v="Tablet"/>
    <x v="0"/>
    <n v="9"/>
    <n v="438.22"/>
    <s v="Store D"/>
    <s v="Retail"/>
    <n v="0.05"/>
    <x v="5"/>
    <n v="3746.7809999999999"/>
    <s v="Cash"/>
    <m/>
    <n v="0"/>
    <s v="REG100728"/>
    <s v="Cust 4678"/>
    <n v="22.73"/>
    <d v="2023-05-23T00:00:00"/>
    <d v="2023-05-29T00:00:00"/>
    <s v="Wendy"/>
    <n v="3559.4419499999999"/>
    <n v="3943.9800000000005"/>
    <n v="384.53805000000057"/>
    <x v="1"/>
    <x v="2"/>
  </r>
  <r>
    <d v="2024-04-03T00:00:00"/>
    <x v="3"/>
    <x v="2"/>
    <s v="Desk"/>
    <s v="Desk"/>
    <x v="1"/>
    <n v="5"/>
    <n v="84.91"/>
    <s v="Store A"/>
    <s v="Retail"/>
    <n v="0.1"/>
    <x v="3"/>
    <n v="382.09500000000003"/>
    <s v="Cash"/>
    <s v="FREESHIP"/>
    <n v="1"/>
    <s v="REG100729"/>
    <s v="Cust 6657"/>
    <n v="29.06"/>
    <d v="2024-04-03T00:00:00"/>
    <d v="2024-04-09T00:00:00"/>
    <s v="Cameron"/>
    <n v="343.88550000000004"/>
    <n v="424.54999999999995"/>
    <n v="80.664499999999919"/>
    <x v="1"/>
    <x v="9"/>
  </r>
  <r>
    <d v="2024-01-17T00:00:00"/>
    <x v="0"/>
    <x v="0"/>
    <s v="Laptop"/>
    <s v="Laptop"/>
    <x v="0"/>
    <n v="7"/>
    <n v="322.11"/>
    <s v="Store C"/>
    <s v="Wholesale"/>
    <n v="0.1"/>
    <x v="4"/>
    <n v="2029.2929999999999"/>
    <s v="Debit Card"/>
    <s v="SAVE10"/>
    <n v="0"/>
    <s v="REG100730"/>
    <s v="Cust 1267"/>
    <n v="19.91"/>
    <d v="2024-01-17T00:00:00"/>
    <d v="2024-01-27T00:00:00"/>
    <s v="Eric"/>
    <n v="1826.3636999999999"/>
    <n v="2254.77"/>
    <n v="428.4063000000001"/>
    <x v="1"/>
    <x v="24"/>
  </r>
  <r>
    <d v="2025-04-05T00:00:00"/>
    <x v="3"/>
    <x v="4"/>
    <s v="Monitor"/>
    <s v="Monitor"/>
    <x v="0"/>
    <n v="2"/>
    <n v="231.96"/>
    <s v="Store B"/>
    <s v="Retail"/>
    <n v="0.1"/>
    <x v="1"/>
    <n v="417.52800000000002"/>
    <s v="Debit Card"/>
    <m/>
    <n v="1"/>
    <s v="REG100731"/>
    <s v="Cust 8150"/>
    <n v="32.659999999999997"/>
    <d v="2025-04-05T00:00:00"/>
    <d v="2025-04-14T00:00:00"/>
    <s v="Cameron"/>
    <n v="375.77520000000004"/>
    <n v="463.92"/>
    <n v="88.144799999999975"/>
    <x v="1"/>
    <x v="28"/>
  </r>
  <r>
    <d v="2025-04-17T00:00:00"/>
    <x v="3"/>
    <x v="3"/>
    <s v="Chair"/>
    <s v="Chair"/>
    <x v="1"/>
    <n v="15"/>
    <n v="242.07"/>
    <s v="Store A"/>
    <s v="Wholesale"/>
    <n v="0.15"/>
    <x v="5"/>
    <n v="3086.392499999999"/>
    <s v="Credit Card"/>
    <m/>
    <n v="0"/>
    <s v="REG100732"/>
    <s v="Cust 3668"/>
    <n v="19.18"/>
    <d v="2025-04-17T00:00:00"/>
    <d v="2025-04-23T00:00:00"/>
    <s v="Cameron"/>
    <n v="2623.4336249999992"/>
    <n v="3631.0499999999997"/>
    <n v="1007.6163750000005"/>
    <x v="2"/>
    <x v="28"/>
  </r>
  <r>
    <d v="2024-10-12T00:00:00"/>
    <x v="3"/>
    <x v="0"/>
    <s v="Laptop"/>
    <s v="Laptop"/>
    <x v="0"/>
    <n v="2"/>
    <n v="48.02"/>
    <s v="Store C"/>
    <s v="Retail"/>
    <n v="0.05"/>
    <x v="3"/>
    <n v="91.238"/>
    <s v="Debit Card"/>
    <s v="FREESHIP"/>
    <n v="1"/>
    <s v="REG100733"/>
    <s v="Cust 4803"/>
    <n v="25.81"/>
    <d v="2024-10-12T00:00:00"/>
    <d v="2024-10-15T00:00:00"/>
    <s v="Cameron"/>
    <n v="86.676099999999991"/>
    <n v="96.04"/>
    <n v="9.3639000000000152"/>
    <x v="1"/>
    <x v="7"/>
  </r>
  <r>
    <d v="2024-07-27T00:00:00"/>
    <x v="3"/>
    <x v="3"/>
    <s v="Chair"/>
    <s v="Chair"/>
    <x v="1"/>
    <n v="1"/>
    <n v="534.28"/>
    <s v="Store D"/>
    <s v="Wholesale"/>
    <n v="0.1"/>
    <x v="0"/>
    <n v="480.85199999999998"/>
    <s v="Online"/>
    <s v="FREESHIP"/>
    <n v="0"/>
    <s v="REG100734"/>
    <s v="Cust 8633"/>
    <n v="31.3"/>
    <d v="2024-07-27T00:00:00"/>
    <d v="2024-08-01T00:00:00"/>
    <s v="Cameron"/>
    <n v="432.76679999999999"/>
    <n v="534.28"/>
    <n v="101.51319999999998"/>
    <x v="1"/>
    <x v="10"/>
  </r>
  <r>
    <d v="2025-01-10T00:00:00"/>
    <x v="4"/>
    <x v="5"/>
    <s v="Tablet"/>
    <s v="Tablet"/>
    <x v="0"/>
    <n v="3"/>
    <n v="98.15"/>
    <s v="Store D"/>
    <s v="Wholesale"/>
    <n v="0.15"/>
    <x v="4"/>
    <n v="250.2825"/>
    <s v="Debit Card"/>
    <s v="SAVE10"/>
    <n v="0"/>
    <s v="REG100735"/>
    <s v="Cust 7235"/>
    <n v="46.37"/>
    <d v="2025-01-10T00:00:00"/>
    <d v="2025-01-18T00:00:00"/>
    <s v="Wendy"/>
    <n v="212.74012500000001"/>
    <n v="294.45000000000005"/>
    <n v="81.709875000000039"/>
    <x v="2"/>
    <x v="12"/>
  </r>
  <r>
    <d v="2024-07-25T00:00:00"/>
    <x v="1"/>
    <x v="3"/>
    <s v="Chair"/>
    <s v="Chair"/>
    <x v="1"/>
    <n v="12"/>
    <n v="61.85"/>
    <s v="Store D"/>
    <s v="Wholesale"/>
    <n v="0.05"/>
    <x v="1"/>
    <n v="705.09"/>
    <s v="Credit Card"/>
    <m/>
    <n v="1"/>
    <s v="REG100736"/>
    <s v="Cust 8992"/>
    <n v="24.34"/>
    <d v="2024-07-25T00:00:00"/>
    <d v="2024-07-31T00:00:00"/>
    <s v="Sophie"/>
    <n v="669.83550000000002"/>
    <n v="742.2"/>
    <n v="72.364500000000021"/>
    <x v="1"/>
    <x v="10"/>
  </r>
  <r>
    <d v="2024-05-22T00:00:00"/>
    <x v="4"/>
    <x v="5"/>
    <s v="Tablet"/>
    <s v="Tablet"/>
    <x v="0"/>
    <n v="6"/>
    <n v="268.33999999999997"/>
    <s v="Store A"/>
    <s v="Wholesale"/>
    <n v="0.1"/>
    <x v="4"/>
    <n v="1449.0360000000001"/>
    <s v="Debit Card"/>
    <s v="WINTER15"/>
    <n v="1"/>
    <s v="REG100737"/>
    <s v="Cust 1889"/>
    <n v="35.69"/>
    <d v="2024-05-22T00:00:00"/>
    <d v="2024-05-25T00:00:00"/>
    <s v="Wendy"/>
    <n v="1304.1324000000002"/>
    <n v="1610.04"/>
    <n v="305.90759999999977"/>
    <x v="1"/>
    <x v="14"/>
  </r>
  <r>
    <d v="2024-08-10T00:00:00"/>
    <x v="3"/>
    <x v="2"/>
    <s v="Desk"/>
    <s v="Desk"/>
    <x v="1"/>
    <n v="4"/>
    <n v="529.03"/>
    <s v="Store B"/>
    <s v="Wholesale"/>
    <n v="0.05"/>
    <x v="3"/>
    <n v="2010.3140000000001"/>
    <s v="Online"/>
    <s v="SAVE10"/>
    <n v="0"/>
    <s v="REG100738"/>
    <s v="Cust 5411"/>
    <n v="25.96"/>
    <d v="2024-08-10T00:00:00"/>
    <d v="2024-08-20T00:00:00"/>
    <s v="Cameron"/>
    <n v="1909.7982999999999"/>
    <n v="2116.12"/>
    <n v="206.32169999999996"/>
    <x v="1"/>
    <x v="29"/>
  </r>
  <r>
    <d v="2023-04-27T00:00:00"/>
    <x v="4"/>
    <x v="5"/>
    <s v="Tablet"/>
    <s v="Tablet"/>
    <x v="0"/>
    <n v="2"/>
    <n v="107.32"/>
    <s v="Store B"/>
    <s v="Retail"/>
    <n v="0.05"/>
    <x v="1"/>
    <n v="203.90799999999999"/>
    <s v="Credit Card"/>
    <m/>
    <n v="0"/>
    <s v="REG100739"/>
    <s v="Cust 3411"/>
    <n v="47.33"/>
    <d v="2023-04-27T00:00:00"/>
    <d v="2023-04-29T00:00:00"/>
    <s v="Wendy"/>
    <n v="193.71259999999998"/>
    <n v="214.64"/>
    <n v="20.927400000000006"/>
    <x v="1"/>
    <x v="21"/>
  </r>
  <r>
    <d v="2023-06-21T00:00:00"/>
    <x v="1"/>
    <x v="5"/>
    <s v="Tablet"/>
    <s v="Tablet"/>
    <x v="0"/>
    <n v="1"/>
    <n v="500.96"/>
    <s v="Store C"/>
    <s v="Wholesale"/>
    <n v="0.05"/>
    <x v="2"/>
    <n v="475.91199999999998"/>
    <s v="Online"/>
    <s v="WINTER15"/>
    <n v="0"/>
    <s v="REG100740"/>
    <s v="Cust 7449"/>
    <n v="42.1"/>
    <d v="2023-06-21T00:00:00"/>
    <d v="2023-06-25T00:00:00"/>
    <s v="Sophie"/>
    <n v="452.11639999999994"/>
    <n v="500.96"/>
    <n v="48.843600000000038"/>
    <x v="1"/>
    <x v="4"/>
  </r>
  <r>
    <d v="2024-10-11T00:00:00"/>
    <x v="4"/>
    <x v="6"/>
    <s v="Printer"/>
    <s v="Printer"/>
    <x v="2"/>
    <n v="17"/>
    <n v="549.78"/>
    <s v="Store B"/>
    <s v="Wholesale"/>
    <n v="0.05"/>
    <x v="1"/>
    <n v="8878.9470000000001"/>
    <s v="Credit Card"/>
    <m/>
    <n v="1"/>
    <s v="REG100741"/>
    <s v="Cust 4788"/>
    <n v="44.42"/>
    <d v="2024-10-11T00:00:00"/>
    <d v="2024-10-14T00:00:00"/>
    <s v="Wendy"/>
    <n v="8434.9996499999997"/>
    <n v="9346.26"/>
    <n v="911.26035000000047"/>
    <x v="1"/>
    <x v="7"/>
  </r>
  <r>
    <d v="2025-01-26T00:00:00"/>
    <x v="2"/>
    <x v="0"/>
    <s v="Laptop"/>
    <s v="Laptop"/>
    <x v="0"/>
    <n v="3"/>
    <n v="58.51"/>
    <s v="Store A"/>
    <s v="Retail"/>
    <n v="0.05"/>
    <x v="3"/>
    <n v="166.7535"/>
    <s v="Cash"/>
    <s v="WINTER15"/>
    <n v="0"/>
    <s v="REG100742"/>
    <s v="Cust 3564"/>
    <n v="23.57"/>
    <d v="2025-01-26T00:00:00"/>
    <d v="2025-01-30T00:00:00"/>
    <s v="Ryan"/>
    <n v="158.41582499999998"/>
    <n v="175.53"/>
    <n v="17.114175000000017"/>
    <x v="1"/>
    <x v="12"/>
  </r>
  <r>
    <d v="2024-06-18T00:00:00"/>
    <x v="1"/>
    <x v="3"/>
    <s v="Chair"/>
    <s v="Chair"/>
    <x v="1"/>
    <n v="17"/>
    <n v="504.08"/>
    <s v="Store A"/>
    <s v="Wholesale"/>
    <n v="0.1"/>
    <x v="4"/>
    <n v="7712.4240000000009"/>
    <s v="Online"/>
    <s v="SAVE10"/>
    <n v="0"/>
    <s v="REG100743"/>
    <s v="Cust 8018"/>
    <n v="26.47"/>
    <d v="2024-06-18T00:00:00"/>
    <d v="2024-06-26T00:00:00"/>
    <s v="Sophie"/>
    <n v="6941.1816000000008"/>
    <n v="8569.36"/>
    <n v="1628.1783999999998"/>
    <x v="1"/>
    <x v="23"/>
  </r>
  <r>
    <d v="2025-06-18T00:00:00"/>
    <x v="0"/>
    <x v="4"/>
    <s v="Monitor"/>
    <s v="Monitor"/>
    <x v="0"/>
    <n v="17"/>
    <n v="419.63"/>
    <s v="Store D"/>
    <s v="Wholesale"/>
    <n v="0"/>
    <x v="1"/>
    <n v="7133.71"/>
    <s v="Cash"/>
    <s v="SAVE10"/>
    <n v="0"/>
    <s v="REG100744"/>
    <s v="Cust 3045"/>
    <n v="17.399999999999999"/>
    <d v="2025-06-18T00:00:00"/>
    <d v="2025-06-24T00:00:00"/>
    <s v="Eric"/>
    <n v="7133.71"/>
    <n v="7133.71"/>
    <n v="0"/>
    <x v="0"/>
    <x v="16"/>
  </r>
  <r>
    <d v="2024-10-29T00:00:00"/>
    <x v="1"/>
    <x v="0"/>
    <s v="Laptop"/>
    <s v="Laptop"/>
    <x v="0"/>
    <n v="2"/>
    <n v="267.36"/>
    <s v="Store B"/>
    <s v="Wholesale"/>
    <n v="0.05"/>
    <x v="2"/>
    <n v="507.98399999999998"/>
    <s v="Online"/>
    <m/>
    <n v="0"/>
    <s v="REG100745"/>
    <s v="Cust 7020"/>
    <n v="21.36"/>
    <d v="2024-10-29T00:00:00"/>
    <d v="2024-11-07T00:00:00"/>
    <s v="Sophie"/>
    <n v="482.58479999999997"/>
    <n v="534.72"/>
    <n v="52.135200000000054"/>
    <x v="1"/>
    <x v="7"/>
  </r>
  <r>
    <d v="2025-04-08T00:00:00"/>
    <x v="3"/>
    <x v="1"/>
    <s v="Phone"/>
    <s v="Phone"/>
    <x v="0"/>
    <n v="2"/>
    <n v="298.06"/>
    <s v="Store B"/>
    <s v="Wholesale"/>
    <n v="0"/>
    <x v="1"/>
    <n v="596.12"/>
    <s v="Debit Card"/>
    <s v="SAVE10"/>
    <n v="1"/>
    <s v="REG100746"/>
    <s v="Cust 1905"/>
    <n v="35.369999999999997"/>
    <d v="2025-04-08T00:00:00"/>
    <d v="2025-04-14T00:00:00"/>
    <s v="Cameron"/>
    <n v="596.12"/>
    <n v="596.12"/>
    <n v="0"/>
    <x v="0"/>
    <x v="28"/>
  </r>
  <r>
    <d v="2023-01-31T00:00:00"/>
    <x v="3"/>
    <x v="5"/>
    <s v="Tablet"/>
    <s v="Tablet"/>
    <x v="0"/>
    <n v="13"/>
    <n v="132.97"/>
    <s v="Store B"/>
    <s v="Wholesale"/>
    <n v="0.05"/>
    <x v="2"/>
    <n v="1642.1795"/>
    <s v="Debit Card"/>
    <s v="WINTER15"/>
    <n v="0"/>
    <s v="REG100747"/>
    <s v="Cust 4592"/>
    <n v="42.87"/>
    <d v="2023-01-31T00:00:00"/>
    <d v="2023-02-05T00:00:00"/>
    <s v="Cameron"/>
    <n v="1560.0705249999999"/>
    <n v="1728.61"/>
    <n v="168.53947500000004"/>
    <x v="1"/>
    <x v="6"/>
  </r>
  <r>
    <d v="2024-03-15T00:00:00"/>
    <x v="4"/>
    <x v="3"/>
    <s v="Chair"/>
    <s v="Chair"/>
    <x v="1"/>
    <n v="14"/>
    <n v="476.28"/>
    <s v="Store A"/>
    <s v="Wholesale"/>
    <n v="0.1"/>
    <x v="0"/>
    <n v="6001.1280000000006"/>
    <s v="Credit Card"/>
    <s v="FREESHIP"/>
    <n v="0"/>
    <s v="REG100748"/>
    <s v="Cust 5482"/>
    <n v="22.11"/>
    <d v="2024-03-15T00:00:00"/>
    <d v="2024-03-20T00:00:00"/>
    <s v="Wendy"/>
    <n v="5401.0152000000007"/>
    <n v="6667.92"/>
    <n v="1266.9047999999993"/>
    <x v="1"/>
    <x v="25"/>
  </r>
  <r>
    <d v="2023-06-23T00:00:00"/>
    <x v="2"/>
    <x v="5"/>
    <s v="Tablet"/>
    <s v="Tablet"/>
    <x v="0"/>
    <n v="16"/>
    <n v="294.88"/>
    <s v="Store B"/>
    <s v="Retail"/>
    <n v="0.05"/>
    <x v="2"/>
    <n v="4482.1759999999986"/>
    <s v="Cash"/>
    <m/>
    <n v="1"/>
    <s v="REG100749"/>
    <s v="Cust 1947"/>
    <n v="17.190000000000001"/>
    <d v="2023-06-23T00:00:00"/>
    <d v="2023-06-27T00:00:00"/>
    <s v="Ryan"/>
    <n v="4258.0671999999986"/>
    <n v="4718.08"/>
    <n v="460.01280000000133"/>
    <x v="1"/>
    <x v="4"/>
  </r>
  <r>
    <d v="2024-06-14T00:00:00"/>
    <x v="2"/>
    <x v="4"/>
    <s v="Monitor"/>
    <s v="Monitor"/>
    <x v="0"/>
    <n v="19"/>
    <n v="596.03"/>
    <s v="Store C"/>
    <s v="Retail"/>
    <n v="0.15"/>
    <x v="0"/>
    <n v="9625.8845000000001"/>
    <s v="Debit Card"/>
    <m/>
    <n v="0"/>
    <s v="REG100750"/>
    <s v="Cust 2801"/>
    <n v="31.95"/>
    <d v="2024-06-14T00:00:00"/>
    <d v="2024-06-23T00:00:00"/>
    <s v="Ryan"/>
    <n v="8182.0018250000003"/>
    <n v="11324.57"/>
    <n v="3142.5681749999994"/>
    <x v="2"/>
    <x v="23"/>
  </r>
  <r>
    <d v="2023-11-30T00:00:00"/>
    <x v="4"/>
    <x v="2"/>
    <s v="Desk"/>
    <s v="Desk"/>
    <x v="1"/>
    <n v="6"/>
    <n v="182.4"/>
    <s v="Store B"/>
    <s v="Wholesale"/>
    <n v="0"/>
    <x v="1"/>
    <n v="1094.4000000000001"/>
    <s v="Online"/>
    <s v="FREESHIP"/>
    <n v="1"/>
    <s v="REG100751"/>
    <s v="Cust 8206"/>
    <n v="49.49"/>
    <d v="2023-11-30T00:00:00"/>
    <d v="2023-12-09T00:00:00"/>
    <s v="Wendy"/>
    <n v="1094.4000000000001"/>
    <n v="1094.4000000000001"/>
    <n v="0"/>
    <x v="0"/>
    <x v="15"/>
  </r>
  <r>
    <d v="2024-04-21T00:00:00"/>
    <x v="2"/>
    <x v="0"/>
    <s v="Laptop"/>
    <s v="Laptop"/>
    <x v="0"/>
    <n v="10"/>
    <n v="400.95"/>
    <s v="Store C"/>
    <s v="Retail"/>
    <n v="0.05"/>
    <x v="3"/>
    <n v="3809.0250000000001"/>
    <s v="Online"/>
    <m/>
    <n v="0"/>
    <s v="REG100752"/>
    <s v="Cust 5277"/>
    <n v="17.46"/>
    <d v="2024-04-21T00:00:00"/>
    <d v="2024-04-30T00:00:00"/>
    <s v="Ryan"/>
    <n v="3618.57375"/>
    <n v="4009.5"/>
    <n v="390.92624999999998"/>
    <x v="1"/>
    <x v="9"/>
  </r>
  <r>
    <d v="2023-08-06T00:00:00"/>
    <x v="0"/>
    <x v="2"/>
    <s v="Desk"/>
    <s v="Desk"/>
    <x v="1"/>
    <n v="7"/>
    <n v="373.66"/>
    <s v="Store B"/>
    <s v="Retail"/>
    <n v="0.05"/>
    <x v="1"/>
    <n v="2484.8389999999999"/>
    <s v="Gift Card"/>
    <s v="SAVE10"/>
    <n v="0"/>
    <s v="REG100753"/>
    <s v="Cust 8900"/>
    <n v="46.33"/>
    <d v="2023-08-06T00:00:00"/>
    <d v="2023-08-12T00:00:00"/>
    <s v="Eric"/>
    <n v="2360.5970499999999"/>
    <n v="2615.6200000000003"/>
    <n v="255.02295000000049"/>
    <x v="1"/>
    <x v="18"/>
  </r>
  <r>
    <d v="2024-06-21T00:00:00"/>
    <x v="4"/>
    <x v="2"/>
    <s v="Desk"/>
    <s v="Desk"/>
    <x v="1"/>
    <n v="7"/>
    <n v="355.66"/>
    <s v="Store C"/>
    <s v="Retail"/>
    <n v="0.15"/>
    <x v="3"/>
    <n v="2116.1770000000001"/>
    <s v="Gift Card"/>
    <s v="FREESHIP"/>
    <n v="1"/>
    <s v="REG100754"/>
    <s v="Cust 9387"/>
    <n v="28.77"/>
    <d v="2024-06-21T00:00:00"/>
    <d v="2024-06-27T00:00:00"/>
    <s v="Wendy"/>
    <n v="1798.75045"/>
    <n v="2489.6200000000003"/>
    <n v="690.86955000000034"/>
    <x v="2"/>
    <x v="23"/>
  </r>
  <r>
    <d v="2025-03-16T00:00:00"/>
    <x v="2"/>
    <x v="5"/>
    <s v="Tablet"/>
    <s v="Tablet"/>
    <x v="0"/>
    <n v="12"/>
    <n v="260.31"/>
    <s v="Store C"/>
    <s v="Retail"/>
    <n v="0.1"/>
    <x v="5"/>
    <n v="2811.348"/>
    <s v="Cash"/>
    <s v="SAVE10"/>
    <n v="0"/>
    <s v="REG100755"/>
    <s v="Cust 7013"/>
    <n v="14.58"/>
    <d v="2025-03-16T00:00:00"/>
    <d v="2025-03-24T00:00:00"/>
    <s v="Ryan"/>
    <n v="2530.2132000000001"/>
    <n v="3123.7200000000003"/>
    <n v="593.50680000000011"/>
    <x v="1"/>
    <x v="8"/>
  </r>
  <r>
    <d v="2024-04-20T00:00:00"/>
    <x v="4"/>
    <x v="5"/>
    <s v="Tablet"/>
    <s v="Tablet"/>
    <x v="0"/>
    <n v="10"/>
    <n v="370.99"/>
    <s v="Store B"/>
    <s v="Retail"/>
    <n v="0.15"/>
    <x v="2"/>
    <n v="3153.415"/>
    <s v="Online"/>
    <s v="SAVE10"/>
    <n v="1"/>
    <s v="REG100756"/>
    <s v="Cust 4868"/>
    <n v="11.16"/>
    <d v="2024-04-20T00:00:00"/>
    <d v="2024-04-25T00:00:00"/>
    <s v="Wendy"/>
    <n v="2680.4027499999997"/>
    <n v="3709.9"/>
    <n v="1029.4972500000003"/>
    <x v="2"/>
    <x v="9"/>
  </r>
  <r>
    <d v="2024-12-20T00:00:00"/>
    <x v="0"/>
    <x v="0"/>
    <s v="Laptop"/>
    <s v="Laptop"/>
    <x v="0"/>
    <n v="2"/>
    <n v="548.72"/>
    <s v="Store A"/>
    <s v="Wholesale"/>
    <n v="0.1"/>
    <x v="2"/>
    <n v="987.69600000000003"/>
    <s v="Credit Card"/>
    <s v="FREESHIP"/>
    <n v="1"/>
    <s v="REG100757"/>
    <s v="Cust 5239"/>
    <n v="26.35"/>
    <d v="2024-12-20T00:00:00"/>
    <d v="2024-12-29T00:00:00"/>
    <s v="Eric"/>
    <n v="888.92640000000006"/>
    <n v="1097.44"/>
    <n v="208.5136"/>
    <x v="1"/>
    <x v="1"/>
  </r>
  <r>
    <d v="2023-08-22T00:00:00"/>
    <x v="2"/>
    <x v="6"/>
    <s v="Printer"/>
    <s v="Printer"/>
    <x v="2"/>
    <n v="8"/>
    <n v="343.53"/>
    <s v="Store A"/>
    <s v="Wholesale"/>
    <n v="0"/>
    <x v="2"/>
    <n v="2748.24"/>
    <s v="Cash"/>
    <m/>
    <n v="0"/>
    <s v="REG100758"/>
    <s v="Cust 4703"/>
    <n v="16.100000000000001"/>
    <d v="2023-08-22T00:00:00"/>
    <d v="2023-09-01T00:00:00"/>
    <s v="Ryan"/>
    <n v="2748.24"/>
    <n v="2748.24"/>
    <n v="0"/>
    <x v="0"/>
    <x v="18"/>
  </r>
  <r>
    <d v="2023-03-04T00:00:00"/>
    <x v="2"/>
    <x v="5"/>
    <s v="Tablet"/>
    <s v="Tablet"/>
    <x v="0"/>
    <n v="13"/>
    <n v="494.78"/>
    <s v="Store A"/>
    <s v="Wholesale"/>
    <n v="0.15"/>
    <x v="4"/>
    <n v="5467.3190000000004"/>
    <s v="Cash"/>
    <s v="FREESHIP"/>
    <n v="0"/>
    <s v="REG100759"/>
    <s v="Cust 7224"/>
    <n v="5.85"/>
    <d v="2023-03-04T00:00:00"/>
    <d v="2023-03-13T00:00:00"/>
    <s v="Ryan"/>
    <n v="4647.2211500000003"/>
    <n v="6432.1399999999994"/>
    <n v="1784.9188499999991"/>
    <x v="2"/>
    <x v="17"/>
  </r>
  <r>
    <d v="2024-06-24T00:00:00"/>
    <x v="2"/>
    <x v="0"/>
    <s v="Laptop"/>
    <s v="Laptop"/>
    <x v="0"/>
    <n v="9"/>
    <n v="36.619999999999997"/>
    <s v="Store B"/>
    <s v="Wholesale"/>
    <n v="0.1"/>
    <x v="0"/>
    <n v="296.62200000000001"/>
    <s v="Debit Card"/>
    <s v="FREESHIP"/>
    <n v="1"/>
    <s v="REG100760"/>
    <s v="Cust 4751"/>
    <n v="29.9"/>
    <d v="2024-06-24T00:00:00"/>
    <d v="2024-07-01T00:00:00"/>
    <s v="Ryan"/>
    <n v="266.95980000000003"/>
    <n v="329.58"/>
    <n v="62.620199999999954"/>
    <x v="1"/>
    <x v="23"/>
  </r>
  <r>
    <d v="2024-12-09T00:00:00"/>
    <x v="0"/>
    <x v="5"/>
    <s v="Tablet"/>
    <s v="Tablet"/>
    <x v="0"/>
    <n v="14"/>
    <n v="216.2"/>
    <s v="Store C"/>
    <s v="Wholesale"/>
    <n v="0"/>
    <x v="4"/>
    <n v="3026.8"/>
    <s v="Online"/>
    <s v="WINTER15"/>
    <n v="0"/>
    <s v="REG100761"/>
    <s v="Cust 1201"/>
    <n v="14.39"/>
    <d v="2024-12-09T00:00:00"/>
    <d v="2024-12-13T00:00:00"/>
    <s v="Eric"/>
    <n v="3026.8"/>
    <n v="3026.7999999999997"/>
    <n v="0"/>
    <x v="0"/>
    <x v="1"/>
  </r>
  <r>
    <d v="2024-07-04T00:00:00"/>
    <x v="4"/>
    <x v="0"/>
    <s v="Laptop"/>
    <s v="Laptop"/>
    <x v="0"/>
    <n v="11"/>
    <n v="128.99"/>
    <s v="Store A"/>
    <s v="Retail"/>
    <n v="0.05"/>
    <x v="4"/>
    <n v="1347.9455"/>
    <s v="Debit Card"/>
    <s v="SAVE10"/>
    <n v="0"/>
    <s v="REG100762"/>
    <s v="Cust 9584"/>
    <n v="38.58"/>
    <d v="2024-07-04T00:00:00"/>
    <d v="2024-07-07T00:00:00"/>
    <s v="Wendy"/>
    <n v="1280.548225"/>
    <n v="1418.89"/>
    <n v="138.3417750000001"/>
    <x v="1"/>
    <x v="10"/>
  </r>
  <r>
    <d v="2025-03-04T00:00:00"/>
    <x v="0"/>
    <x v="1"/>
    <s v="Phone"/>
    <s v="Phone"/>
    <x v="0"/>
    <n v="11"/>
    <n v="183.11"/>
    <s v="Store B"/>
    <s v="Retail"/>
    <n v="0.15"/>
    <x v="2"/>
    <n v="1712.0785000000001"/>
    <s v="Gift Card"/>
    <s v="FREESHIP"/>
    <n v="0"/>
    <s v="REG100763"/>
    <s v="Cust 6980"/>
    <n v="41.83"/>
    <d v="2025-03-04T00:00:00"/>
    <d v="2025-03-06T00:00:00"/>
    <s v="Eric"/>
    <n v="1455.266725"/>
    <n v="2014.21"/>
    <n v="558.94327500000009"/>
    <x v="2"/>
    <x v="8"/>
  </r>
  <r>
    <d v="2024-01-22T00:00:00"/>
    <x v="0"/>
    <x v="6"/>
    <s v="Printer"/>
    <s v="Printer"/>
    <x v="2"/>
    <n v="11"/>
    <n v="277.95"/>
    <s v="Store A"/>
    <s v="Retail"/>
    <n v="0.05"/>
    <x v="2"/>
    <n v="2904.5774999999999"/>
    <s v="Gift Card"/>
    <s v="WINTER15"/>
    <n v="0"/>
    <s v="REG100764"/>
    <s v="Cust 2835"/>
    <n v="44.04"/>
    <d v="2024-01-22T00:00:00"/>
    <d v="2024-01-29T00:00:00"/>
    <s v="Eric"/>
    <n v="2759.3486249999996"/>
    <n v="3057.45"/>
    <n v="298.10137500000019"/>
    <x v="1"/>
    <x v="24"/>
  </r>
  <r>
    <d v="2025-03-12T00:00:00"/>
    <x v="0"/>
    <x v="2"/>
    <s v="Desk"/>
    <s v="Desk"/>
    <x v="1"/>
    <n v="14"/>
    <n v="554.08000000000004"/>
    <s v="Store A"/>
    <s v="Retail"/>
    <n v="0.05"/>
    <x v="4"/>
    <n v="7369.2640000000001"/>
    <s v="Cash"/>
    <m/>
    <n v="0"/>
    <s v="REG100765"/>
    <s v="Cust 4286"/>
    <n v="36.72"/>
    <d v="2025-03-12T00:00:00"/>
    <d v="2025-03-21T00:00:00"/>
    <s v="Eric"/>
    <n v="7000.8008"/>
    <n v="7757.1200000000008"/>
    <n v="756.31920000000082"/>
    <x v="1"/>
    <x v="8"/>
  </r>
  <r>
    <d v="2025-02-28T00:00:00"/>
    <x v="3"/>
    <x v="1"/>
    <s v="Phone"/>
    <s v="Phone"/>
    <x v="0"/>
    <n v="15"/>
    <n v="23.32"/>
    <s v="Store A"/>
    <s v="Retail"/>
    <n v="0.05"/>
    <x v="3"/>
    <n v="332.31"/>
    <s v="Debit Card"/>
    <m/>
    <n v="0"/>
    <s v="REG100766"/>
    <s v="Cust 7876"/>
    <n v="25.27"/>
    <d v="2025-02-28T00:00:00"/>
    <d v="2025-03-03T00:00:00"/>
    <s v="Cameron"/>
    <n v="315.69450000000001"/>
    <n v="349.8"/>
    <n v="34.105500000000006"/>
    <x v="1"/>
    <x v="3"/>
  </r>
  <r>
    <d v="2024-05-23T00:00:00"/>
    <x v="0"/>
    <x v="2"/>
    <s v="Desk"/>
    <s v="Desk"/>
    <x v="1"/>
    <n v="4"/>
    <n v="20.96"/>
    <s v="Store D"/>
    <s v="Wholesale"/>
    <n v="0.05"/>
    <x v="5"/>
    <n v="79.647999999999996"/>
    <s v="Online"/>
    <s v="FREESHIP"/>
    <n v="1"/>
    <s v="REG100767"/>
    <s v="Cust 5926"/>
    <n v="33.67"/>
    <d v="2024-05-23T00:00:00"/>
    <d v="2024-05-31T00:00:00"/>
    <s v="Eric"/>
    <n v="75.665599999999998"/>
    <n v="83.84"/>
    <n v="8.1744000000000057"/>
    <x v="1"/>
    <x v="14"/>
  </r>
  <r>
    <d v="2023-09-17T00:00:00"/>
    <x v="2"/>
    <x v="2"/>
    <s v="Desk"/>
    <s v="Desk"/>
    <x v="1"/>
    <n v="18"/>
    <n v="132.29"/>
    <s v="Store A"/>
    <s v="Wholesale"/>
    <n v="0.05"/>
    <x v="4"/>
    <n v="2262.1590000000001"/>
    <s v="Credit Card"/>
    <m/>
    <n v="1"/>
    <s v="REG100768"/>
    <s v="Cust 4478"/>
    <n v="24.3"/>
    <d v="2023-09-17T00:00:00"/>
    <d v="2023-09-20T00:00:00"/>
    <s v="Ryan"/>
    <n v="2149.05105"/>
    <n v="2381.2199999999998"/>
    <n v="232.16894999999977"/>
    <x v="1"/>
    <x v="22"/>
  </r>
  <r>
    <d v="2023-06-13T00:00:00"/>
    <x v="0"/>
    <x v="1"/>
    <s v="Phone"/>
    <s v="Phone"/>
    <x v="0"/>
    <n v="19"/>
    <n v="199.65"/>
    <s v="Store A"/>
    <s v="Retail"/>
    <n v="0.1"/>
    <x v="3"/>
    <n v="3414.0149999999999"/>
    <s v="Cash"/>
    <s v="SAVE10"/>
    <n v="1"/>
    <s v="REG100769"/>
    <s v="Cust 4711"/>
    <n v="35.119999999999997"/>
    <d v="2023-06-13T00:00:00"/>
    <d v="2023-06-18T00:00:00"/>
    <s v="Eric"/>
    <n v="3072.6134999999999"/>
    <n v="3793.35"/>
    <n v="720.73649999999998"/>
    <x v="1"/>
    <x v="4"/>
  </r>
  <r>
    <d v="2025-05-31T00:00:00"/>
    <x v="4"/>
    <x v="1"/>
    <s v="Phone"/>
    <s v="Phone"/>
    <x v="0"/>
    <n v="16"/>
    <n v="307"/>
    <s v="Store A"/>
    <s v="Wholesale"/>
    <n v="0"/>
    <x v="5"/>
    <n v="4912"/>
    <s v="Debit Card"/>
    <s v="FREESHIP"/>
    <n v="0"/>
    <s v="REG100770"/>
    <s v="Cust 9227"/>
    <n v="11.99"/>
    <d v="2025-05-31T00:00:00"/>
    <d v="2025-06-02T00:00:00"/>
    <s v="Wendy"/>
    <n v="4912"/>
    <n v="4912"/>
    <n v="0"/>
    <x v="0"/>
    <x v="13"/>
  </r>
  <r>
    <d v="2023-10-11T00:00:00"/>
    <x v="0"/>
    <x v="5"/>
    <s v="Tablet"/>
    <s v="Tablet"/>
    <x v="0"/>
    <n v="1"/>
    <n v="315.93"/>
    <s v="Store C"/>
    <s v="Retail"/>
    <n v="0.15"/>
    <x v="1"/>
    <n v="268.54050000000001"/>
    <s v="Credit Card"/>
    <s v="SAVE10"/>
    <n v="0"/>
    <s v="REG100771"/>
    <s v="Cust 2830"/>
    <n v="43.2"/>
    <d v="2023-10-11T00:00:00"/>
    <d v="2023-10-14T00:00:00"/>
    <s v="Eric"/>
    <n v="228.25942499999999"/>
    <n v="315.93"/>
    <n v="87.670575000000014"/>
    <x v="2"/>
    <x v="19"/>
  </r>
  <r>
    <d v="2023-08-07T00:00:00"/>
    <x v="4"/>
    <x v="6"/>
    <s v="Printer"/>
    <s v="Printer"/>
    <x v="2"/>
    <n v="5"/>
    <n v="596.97"/>
    <s v="Store A"/>
    <s v="Retail"/>
    <n v="0"/>
    <x v="0"/>
    <n v="2984.85"/>
    <s v="Cash"/>
    <s v="SAVE10"/>
    <n v="0"/>
    <s v="REG100772"/>
    <s v="Cust 3767"/>
    <n v="14.43"/>
    <d v="2023-08-07T00:00:00"/>
    <d v="2023-08-14T00:00:00"/>
    <s v="Wendy"/>
    <n v="2984.85"/>
    <n v="2984.8500000000004"/>
    <n v="0"/>
    <x v="0"/>
    <x v="18"/>
  </r>
  <r>
    <d v="2023-12-03T00:00:00"/>
    <x v="2"/>
    <x v="0"/>
    <s v="Laptop"/>
    <s v="Laptop"/>
    <x v="0"/>
    <n v="17"/>
    <n v="376.98"/>
    <s v="Store A"/>
    <s v="Retail"/>
    <n v="0.05"/>
    <x v="3"/>
    <n v="6088.2269999999999"/>
    <s v="Debit Card"/>
    <m/>
    <n v="1"/>
    <s v="REG100773"/>
    <s v="Cust 1561"/>
    <n v="38.479999999999997"/>
    <d v="2023-12-03T00:00:00"/>
    <d v="2023-12-05T00:00:00"/>
    <s v="Ryan"/>
    <n v="5783.8156499999996"/>
    <n v="6408.66"/>
    <n v="624.8443500000003"/>
    <x v="1"/>
    <x v="27"/>
  </r>
  <r>
    <d v="2024-08-01T00:00:00"/>
    <x v="3"/>
    <x v="6"/>
    <s v="Printer"/>
    <s v="Printer"/>
    <x v="2"/>
    <n v="6"/>
    <n v="208.64"/>
    <s v="Store D"/>
    <s v="Retail"/>
    <n v="0.1"/>
    <x v="2"/>
    <n v="1126.6559999999999"/>
    <s v="Credit Card"/>
    <s v="FREESHIP"/>
    <n v="0"/>
    <s v="REG100774"/>
    <s v="Cust 8569"/>
    <n v="49.93"/>
    <d v="2024-08-01T00:00:00"/>
    <d v="2024-08-04T00:00:00"/>
    <s v="Cameron"/>
    <n v="1013.9904"/>
    <n v="1251.8399999999999"/>
    <n v="237.8495999999999"/>
    <x v="1"/>
    <x v="29"/>
  </r>
  <r>
    <d v="2023-03-20T00:00:00"/>
    <x v="0"/>
    <x v="3"/>
    <s v="Chair"/>
    <s v="Chair"/>
    <x v="1"/>
    <n v="7"/>
    <n v="307.82"/>
    <s v="Store B"/>
    <s v="Wholesale"/>
    <n v="0"/>
    <x v="0"/>
    <n v="2154.7399999999998"/>
    <s v="Debit Card"/>
    <s v="WINTER15"/>
    <n v="1"/>
    <s v="REG100775"/>
    <s v="Cust 1254"/>
    <n v="14"/>
    <d v="2023-03-20T00:00:00"/>
    <d v="2023-03-27T00:00:00"/>
    <s v="Eric"/>
    <n v="2154.7399999999998"/>
    <n v="2154.7399999999998"/>
    <n v="0"/>
    <x v="0"/>
    <x v="17"/>
  </r>
  <r>
    <d v="2025-06-30T00:00:00"/>
    <x v="3"/>
    <x v="5"/>
    <s v="Tablet"/>
    <s v="Tablet"/>
    <x v="0"/>
    <n v="13"/>
    <n v="382.48"/>
    <s v="Store D"/>
    <s v="Retail"/>
    <n v="0.05"/>
    <x v="0"/>
    <n v="4723.6279999999997"/>
    <s v="Credit Card"/>
    <s v="WINTER15"/>
    <n v="0"/>
    <s v="REG100776"/>
    <s v="Cust 8556"/>
    <n v="7.59"/>
    <d v="2025-06-30T00:00:00"/>
    <d v="2025-07-04T00:00:00"/>
    <s v="Cameron"/>
    <n v="4487.4465999999993"/>
    <n v="4972.24"/>
    <n v="484.79340000000047"/>
    <x v="1"/>
    <x v="16"/>
  </r>
  <r>
    <d v="2025-02-05T00:00:00"/>
    <x v="1"/>
    <x v="2"/>
    <s v="Desk"/>
    <s v="Desk"/>
    <x v="1"/>
    <n v="9"/>
    <n v="188.03"/>
    <s v="Store B"/>
    <s v="Retail"/>
    <n v="0"/>
    <x v="2"/>
    <n v="1692.27"/>
    <s v="Cash"/>
    <s v="FREESHIP"/>
    <n v="0"/>
    <s v="REG100777"/>
    <s v="Cust 7204"/>
    <n v="11.44"/>
    <d v="2025-02-05T00:00:00"/>
    <d v="2025-02-07T00:00:00"/>
    <s v="Sophie"/>
    <n v="1692.27"/>
    <n v="1692.27"/>
    <n v="0"/>
    <x v="0"/>
    <x v="3"/>
  </r>
  <r>
    <d v="2024-05-19T00:00:00"/>
    <x v="0"/>
    <x v="2"/>
    <s v="Desk"/>
    <s v="Desk"/>
    <x v="1"/>
    <n v="17"/>
    <n v="238.17"/>
    <s v="Store D"/>
    <s v="Wholesale"/>
    <n v="0.15"/>
    <x v="2"/>
    <n v="3441.5565000000001"/>
    <s v="Cash"/>
    <s v="FREESHIP"/>
    <n v="0"/>
    <s v="REG100778"/>
    <s v="Cust 7725"/>
    <n v="21.64"/>
    <d v="2024-05-19T00:00:00"/>
    <d v="2024-05-29T00:00:00"/>
    <s v="Eric"/>
    <n v="2925.3230250000001"/>
    <n v="4048.89"/>
    <n v="1123.5669749999997"/>
    <x v="2"/>
    <x v="14"/>
  </r>
  <r>
    <d v="2023-03-04T00:00:00"/>
    <x v="2"/>
    <x v="6"/>
    <s v="Printer"/>
    <s v="Printer"/>
    <x v="2"/>
    <n v="10"/>
    <n v="450.71"/>
    <s v="Store B"/>
    <s v="Retail"/>
    <n v="0.1"/>
    <x v="5"/>
    <n v="4056.389999999999"/>
    <s v="Gift Card"/>
    <s v="SAVE10"/>
    <n v="0"/>
    <s v="REG100779"/>
    <s v="Cust 9210"/>
    <n v="21.31"/>
    <d v="2023-03-04T00:00:00"/>
    <d v="2023-03-12T00:00:00"/>
    <s v="Ryan"/>
    <n v="3650.7509999999993"/>
    <n v="4507.0999999999995"/>
    <n v="856.34900000000016"/>
    <x v="1"/>
    <x v="17"/>
  </r>
  <r>
    <d v="2023-01-22T00:00:00"/>
    <x v="3"/>
    <x v="4"/>
    <s v="Monitor"/>
    <s v="Monitor"/>
    <x v="0"/>
    <n v="2"/>
    <n v="413.36"/>
    <s v="Store D"/>
    <s v="Retail"/>
    <n v="0.1"/>
    <x v="1"/>
    <n v="744.048"/>
    <s v="Online"/>
    <s v="SAVE10"/>
    <n v="1"/>
    <s v="REG100780"/>
    <s v="Cust 9085"/>
    <n v="41.69"/>
    <d v="2023-01-22T00:00:00"/>
    <d v="2023-01-24T00:00:00"/>
    <s v="Cameron"/>
    <n v="669.64319999999998"/>
    <n v="826.72"/>
    <n v="157.07680000000005"/>
    <x v="1"/>
    <x v="6"/>
  </r>
  <r>
    <d v="2023-03-20T00:00:00"/>
    <x v="1"/>
    <x v="1"/>
    <s v="Phone"/>
    <s v="Phone"/>
    <x v="0"/>
    <n v="20"/>
    <n v="536.71"/>
    <s v="Store B"/>
    <s v="Retail"/>
    <n v="0.15"/>
    <x v="3"/>
    <n v="9124.07"/>
    <s v="Debit Card"/>
    <s v="SAVE10"/>
    <n v="0"/>
    <s v="REG100781"/>
    <s v="Cust 4937"/>
    <n v="41.42"/>
    <d v="2023-03-20T00:00:00"/>
    <d v="2023-03-25T00:00:00"/>
    <s v="Sophie"/>
    <n v="7755.4594999999999"/>
    <n v="10734.2"/>
    <n v="2978.7405000000008"/>
    <x v="2"/>
    <x v="17"/>
  </r>
  <r>
    <d v="2024-06-05T00:00:00"/>
    <x v="4"/>
    <x v="1"/>
    <s v="Phone"/>
    <s v="Phone"/>
    <x v="0"/>
    <n v="5"/>
    <n v="206.42"/>
    <s v="Store D"/>
    <s v="Retail"/>
    <n v="0.05"/>
    <x v="1"/>
    <n v="980.49499999999989"/>
    <s v="Debit Card"/>
    <s v="WINTER15"/>
    <n v="0"/>
    <s v="REG100782"/>
    <s v="Cust 3606"/>
    <n v="35.51"/>
    <d v="2024-06-05T00:00:00"/>
    <d v="2024-06-13T00:00:00"/>
    <s v="Wendy"/>
    <n v="931.47024999999985"/>
    <n v="1032.0999999999999"/>
    <n v="100.62975000000006"/>
    <x v="1"/>
    <x v="23"/>
  </r>
  <r>
    <d v="2024-07-09T00:00:00"/>
    <x v="0"/>
    <x v="6"/>
    <s v="Printer"/>
    <s v="Printer"/>
    <x v="2"/>
    <n v="4"/>
    <n v="256.83"/>
    <s v="Store A"/>
    <s v="Wholesale"/>
    <n v="0.15"/>
    <x v="3"/>
    <n v="873.22199999999987"/>
    <s v="Cash"/>
    <m/>
    <n v="1"/>
    <s v="REG100783"/>
    <s v="Cust 5865"/>
    <n v="44.72"/>
    <d v="2024-07-09T00:00:00"/>
    <d v="2024-07-17T00:00:00"/>
    <s v="Eric"/>
    <n v="742.23869999999988"/>
    <n v="1027.32"/>
    <n v="285.08130000000006"/>
    <x v="2"/>
    <x v="10"/>
  </r>
  <r>
    <d v="2025-03-08T00:00:00"/>
    <x v="1"/>
    <x v="4"/>
    <s v="Monitor"/>
    <s v="Monitor"/>
    <x v="0"/>
    <n v="1"/>
    <n v="247.04"/>
    <s v="Store C"/>
    <s v="Wholesale"/>
    <n v="0"/>
    <x v="5"/>
    <n v="247.04"/>
    <s v="Credit Card"/>
    <s v="FREESHIP"/>
    <n v="0"/>
    <s v="REG100784"/>
    <s v="Cust 7195"/>
    <n v="26.86"/>
    <d v="2025-03-08T00:00:00"/>
    <d v="2025-03-13T00:00:00"/>
    <s v="Sophie"/>
    <n v="247.04"/>
    <n v="247.04"/>
    <n v="0"/>
    <x v="0"/>
    <x v="8"/>
  </r>
  <r>
    <d v="2025-06-21T00:00:00"/>
    <x v="1"/>
    <x v="5"/>
    <s v="Tablet"/>
    <s v="Tablet"/>
    <x v="0"/>
    <n v="3"/>
    <n v="583.38"/>
    <s v="Store B"/>
    <s v="Retail"/>
    <n v="0.15"/>
    <x v="4"/>
    <n v="1487.6189999999999"/>
    <s v="Cash"/>
    <s v="WINTER15"/>
    <n v="1"/>
    <s v="REG100785"/>
    <s v="Cust 6113"/>
    <n v="30.12"/>
    <d v="2025-06-21T00:00:00"/>
    <d v="2025-06-30T00:00:00"/>
    <s v="Sophie"/>
    <n v="1264.47615"/>
    <n v="1750.1399999999999"/>
    <n v="485.66384999999991"/>
    <x v="2"/>
    <x v="16"/>
  </r>
  <r>
    <d v="2025-06-28T00:00:00"/>
    <x v="2"/>
    <x v="5"/>
    <s v="Tablet"/>
    <s v="Tablet"/>
    <x v="0"/>
    <n v="13"/>
    <n v="341.38"/>
    <s v="Store C"/>
    <s v="Retail"/>
    <n v="0.15"/>
    <x v="1"/>
    <n v="3772.2489999999989"/>
    <s v="Cash"/>
    <m/>
    <n v="0"/>
    <s v="REG100786"/>
    <s v="Cust 9878"/>
    <n v="18.2"/>
    <d v="2025-06-28T00:00:00"/>
    <d v="2025-07-01T00:00:00"/>
    <s v="Ryan"/>
    <n v="3206.4116499999991"/>
    <n v="4437.9399999999996"/>
    <n v="1231.5283500000005"/>
    <x v="2"/>
    <x v="16"/>
  </r>
  <r>
    <d v="2025-04-05T00:00:00"/>
    <x v="4"/>
    <x v="3"/>
    <s v="Chair"/>
    <s v="Chair"/>
    <x v="1"/>
    <n v="19"/>
    <n v="267.02999999999997"/>
    <s v="Store D"/>
    <s v="Wholesale"/>
    <n v="0.15"/>
    <x v="5"/>
    <n v="4312.5344999999998"/>
    <s v="Online"/>
    <s v="SAVE10"/>
    <n v="1"/>
    <s v="REG100787"/>
    <s v="Cust 3936"/>
    <n v="35.82"/>
    <d v="2025-04-05T00:00:00"/>
    <d v="2025-04-13T00:00:00"/>
    <s v="Wendy"/>
    <n v="3665.6543249999995"/>
    <n v="5073.57"/>
    <n v="1407.9156750000002"/>
    <x v="2"/>
    <x v="28"/>
  </r>
  <r>
    <d v="2024-03-05T00:00:00"/>
    <x v="1"/>
    <x v="6"/>
    <s v="Printer"/>
    <s v="Printer"/>
    <x v="2"/>
    <n v="7"/>
    <n v="77.69"/>
    <s v="Store D"/>
    <s v="Wholesale"/>
    <n v="0"/>
    <x v="3"/>
    <n v="543.82999999999993"/>
    <s v="Credit Card"/>
    <s v="SAVE10"/>
    <n v="0"/>
    <s v="REG100788"/>
    <s v="Cust 3937"/>
    <n v="41.89"/>
    <d v="2024-03-05T00:00:00"/>
    <d v="2024-03-12T00:00:00"/>
    <s v="Sophie"/>
    <n v="543.82999999999993"/>
    <n v="543.82999999999993"/>
    <n v="0"/>
    <x v="0"/>
    <x v="25"/>
  </r>
  <r>
    <d v="2024-03-09T00:00:00"/>
    <x v="0"/>
    <x v="1"/>
    <s v="Phone"/>
    <s v="Phone"/>
    <x v="0"/>
    <n v="20"/>
    <n v="312.43"/>
    <s v="Store C"/>
    <s v="Retail"/>
    <n v="0"/>
    <x v="3"/>
    <n v="6248.6"/>
    <s v="Credit Card"/>
    <s v="SAVE10"/>
    <n v="0"/>
    <s v="REG100789"/>
    <s v="Cust 5262"/>
    <n v="28.11"/>
    <d v="2024-03-09T00:00:00"/>
    <d v="2024-03-11T00:00:00"/>
    <s v="Eric"/>
    <n v="6248.6"/>
    <n v="6248.6"/>
    <n v="0"/>
    <x v="0"/>
    <x v="25"/>
  </r>
  <r>
    <d v="2025-02-25T00:00:00"/>
    <x v="3"/>
    <x v="4"/>
    <s v="Monitor"/>
    <s v="Monitor"/>
    <x v="0"/>
    <n v="19"/>
    <n v="14.1"/>
    <s v="Store C"/>
    <s v="Wholesale"/>
    <n v="0.05"/>
    <x v="3"/>
    <n v="254.505"/>
    <s v="Cash"/>
    <s v="FREESHIP"/>
    <n v="0"/>
    <s v="REG100790"/>
    <s v="Cust 3892"/>
    <n v="37.840000000000003"/>
    <d v="2025-02-25T00:00:00"/>
    <d v="2025-02-28T00:00:00"/>
    <s v="Cameron"/>
    <n v="241.77974999999998"/>
    <n v="267.89999999999998"/>
    <n v="26.120249999999999"/>
    <x v="1"/>
    <x v="3"/>
  </r>
  <r>
    <d v="2024-11-16T00:00:00"/>
    <x v="4"/>
    <x v="5"/>
    <s v="Tablet"/>
    <s v="Tablet"/>
    <x v="0"/>
    <n v="17"/>
    <n v="266.83"/>
    <s v="Store D"/>
    <s v="Retail"/>
    <n v="0.05"/>
    <x v="2"/>
    <n v="4309.3044999999993"/>
    <s v="Credit Card"/>
    <s v="WINTER15"/>
    <n v="0"/>
    <s v="REG100791"/>
    <s v="Cust 8826"/>
    <n v="32.520000000000003"/>
    <d v="2024-11-16T00:00:00"/>
    <d v="2024-11-23T00:00:00"/>
    <s v="Wendy"/>
    <n v="4093.8392749999989"/>
    <n v="4536.1099999999997"/>
    <n v="442.27072500000077"/>
    <x v="1"/>
    <x v="20"/>
  </r>
  <r>
    <d v="2024-08-01T00:00:00"/>
    <x v="1"/>
    <x v="6"/>
    <s v="Printer"/>
    <s v="Printer"/>
    <x v="2"/>
    <n v="20"/>
    <n v="248.11"/>
    <s v="Store D"/>
    <s v="Wholesale"/>
    <n v="0.05"/>
    <x v="3"/>
    <n v="4714.09"/>
    <s v="Online"/>
    <s v="SAVE10"/>
    <n v="0"/>
    <s v="REG100792"/>
    <s v="Cust 1119"/>
    <n v="22.96"/>
    <d v="2024-08-01T00:00:00"/>
    <d v="2024-08-06T00:00:00"/>
    <s v="Sophie"/>
    <n v="4478.3855000000003"/>
    <n v="4962.2000000000007"/>
    <n v="483.81450000000041"/>
    <x v="1"/>
    <x v="29"/>
  </r>
  <r>
    <d v="2024-04-20T00:00:00"/>
    <x v="4"/>
    <x v="3"/>
    <s v="Chair"/>
    <s v="Chair"/>
    <x v="1"/>
    <n v="5"/>
    <n v="316.76"/>
    <s v="Store B"/>
    <s v="Retail"/>
    <n v="0.05"/>
    <x v="1"/>
    <n v="1504.61"/>
    <s v="Gift Card"/>
    <s v="FREESHIP"/>
    <n v="1"/>
    <s v="REG100793"/>
    <s v="Cust 2685"/>
    <n v="12.7"/>
    <d v="2024-04-20T00:00:00"/>
    <d v="2024-04-30T00:00:00"/>
    <s v="Wendy"/>
    <n v="1429.3794999999998"/>
    <n v="1583.8"/>
    <n v="154.42050000000017"/>
    <x v="1"/>
    <x v="9"/>
  </r>
  <r>
    <d v="2024-04-20T00:00:00"/>
    <x v="1"/>
    <x v="0"/>
    <s v="Laptop"/>
    <s v="Laptop"/>
    <x v="0"/>
    <n v="2"/>
    <n v="169.62"/>
    <s v="Store C"/>
    <s v="Retail"/>
    <n v="0.1"/>
    <x v="1"/>
    <n v="305.31599999999997"/>
    <s v="Debit Card"/>
    <m/>
    <n v="0"/>
    <s v="REG100794"/>
    <s v="Cust 5939"/>
    <n v="45.41"/>
    <d v="2024-04-20T00:00:00"/>
    <d v="2024-04-25T00:00:00"/>
    <s v="Sophie"/>
    <n v="274.78440000000001"/>
    <n v="339.24"/>
    <n v="64.455600000000004"/>
    <x v="1"/>
    <x v="9"/>
  </r>
  <r>
    <d v="2023-09-22T00:00:00"/>
    <x v="2"/>
    <x v="0"/>
    <s v="Laptop"/>
    <s v="Laptop"/>
    <x v="0"/>
    <n v="19"/>
    <n v="35.380000000000003"/>
    <s v="Store A"/>
    <s v="Retail"/>
    <n v="0.15"/>
    <x v="4"/>
    <n v="571.38700000000006"/>
    <s v="Online"/>
    <s v="SAVE10"/>
    <n v="0"/>
    <s v="REG100795"/>
    <s v="Cust 1791"/>
    <n v="7.06"/>
    <d v="2023-09-22T00:00:00"/>
    <d v="2023-09-28T00:00:00"/>
    <s v="Ryan"/>
    <n v="485.67895000000004"/>
    <n v="672.22"/>
    <n v="186.54104999999998"/>
    <x v="2"/>
    <x v="22"/>
  </r>
  <r>
    <d v="2025-02-21T00:00:00"/>
    <x v="4"/>
    <x v="3"/>
    <s v="Chair"/>
    <s v="Chair"/>
    <x v="1"/>
    <n v="3"/>
    <n v="264.08"/>
    <s v="Store A"/>
    <s v="Retail"/>
    <n v="0.1"/>
    <x v="4"/>
    <n v="713.01600000000008"/>
    <s v="Online"/>
    <m/>
    <n v="0"/>
    <s v="REG100796"/>
    <s v="Cust 8530"/>
    <n v="25.39"/>
    <d v="2025-02-21T00:00:00"/>
    <d v="2025-03-02T00:00:00"/>
    <s v="Wendy"/>
    <n v="641.71440000000007"/>
    <n v="792.24"/>
    <n v="150.52559999999994"/>
    <x v="1"/>
    <x v="3"/>
  </r>
  <r>
    <d v="2025-06-24T00:00:00"/>
    <x v="0"/>
    <x v="5"/>
    <s v="Tablet"/>
    <s v="Tablet"/>
    <x v="0"/>
    <n v="5"/>
    <n v="137.56"/>
    <s v="Store C"/>
    <s v="Wholesale"/>
    <n v="0.15"/>
    <x v="4"/>
    <n v="584.63"/>
    <s v="Debit Card"/>
    <s v="SAVE10"/>
    <n v="0"/>
    <s v="REG100797"/>
    <s v="Cust 4522"/>
    <n v="6.45"/>
    <d v="2025-06-24T00:00:00"/>
    <d v="2025-07-01T00:00:00"/>
    <s v="Eric"/>
    <n v="496.93549999999999"/>
    <n v="687.8"/>
    <n v="190.86449999999996"/>
    <x v="2"/>
    <x v="16"/>
  </r>
  <r>
    <d v="2023-11-28T00:00:00"/>
    <x v="3"/>
    <x v="0"/>
    <s v="Laptop"/>
    <s v="Laptop"/>
    <x v="0"/>
    <n v="8"/>
    <n v="157.93"/>
    <s v="Store B"/>
    <s v="Retail"/>
    <n v="0.15"/>
    <x v="4"/>
    <n v="1073.924"/>
    <s v="Online"/>
    <s v="SAVE10"/>
    <n v="0"/>
    <s v="REG100798"/>
    <s v="Cust 9619"/>
    <n v="6.31"/>
    <d v="2023-11-28T00:00:00"/>
    <d v="2023-12-05T00:00:00"/>
    <s v="Cameron"/>
    <n v="912.83539999999994"/>
    <n v="1263.44"/>
    <n v="350.60460000000012"/>
    <x v="2"/>
    <x v="15"/>
  </r>
  <r>
    <d v="2024-04-08T00:00:00"/>
    <x v="2"/>
    <x v="2"/>
    <s v="Desk"/>
    <s v="Desk"/>
    <x v="1"/>
    <n v="6"/>
    <n v="126.86"/>
    <s v="Store C"/>
    <s v="Wholesale"/>
    <n v="0.05"/>
    <x v="0"/>
    <n v="723.10199999999998"/>
    <s v="Debit Card"/>
    <s v="FREESHIP"/>
    <n v="0"/>
    <s v="REG100799"/>
    <s v="Cust 1637"/>
    <n v="35.49"/>
    <d v="2024-04-08T00:00:00"/>
    <d v="2024-04-17T00:00:00"/>
    <s v="Ryan"/>
    <n v="686.94689999999991"/>
    <n v="761.16"/>
    <n v="74.213100000000054"/>
    <x v="1"/>
    <x v="9"/>
  </r>
  <r>
    <d v="2025-01-07T00:00:00"/>
    <x v="2"/>
    <x v="3"/>
    <s v="Chair"/>
    <s v="Chair"/>
    <x v="1"/>
    <n v="15"/>
    <n v="240.05"/>
    <s v="Store C"/>
    <s v="Retail"/>
    <n v="0.05"/>
    <x v="3"/>
    <n v="3420.7125000000001"/>
    <s v="Credit Card"/>
    <s v="FREESHIP"/>
    <n v="0"/>
    <s v="REG100800"/>
    <s v="Cust 6914"/>
    <n v="14.31"/>
    <d v="2025-01-07T00:00:00"/>
    <d v="2025-01-14T00:00:00"/>
    <s v="Ryan"/>
    <n v="3249.6768750000001"/>
    <n v="3600.75"/>
    <n v="351.07312499999989"/>
    <x v="1"/>
    <x v="12"/>
  </r>
  <r>
    <d v="2023-02-24T00:00:00"/>
    <x v="1"/>
    <x v="5"/>
    <s v="Tablet"/>
    <s v="Tablet"/>
    <x v="0"/>
    <n v="3"/>
    <n v="37.630000000000003"/>
    <s v="Store A"/>
    <s v="Wholesale"/>
    <n v="0.1"/>
    <x v="3"/>
    <n v="101.601"/>
    <s v="Debit Card"/>
    <s v="FREESHIP"/>
    <n v="0"/>
    <s v="REG100801"/>
    <s v="Cust 5737"/>
    <n v="43.7"/>
    <d v="2023-02-24T00:00:00"/>
    <d v="2023-03-03T00:00:00"/>
    <s v="Sophie"/>
    <n v="91.440899999999999"/>
    <n v="112.89000000000001"/>
    <n v="21.449100000000016"/>
    <x v="1"/>
    <x v="0"/>
  </r>
  <r>
    <d v="2023-10-19T00:00:00"/>
    <x v="0"/>
    <x v="3"/>
    <s v="Chair"/>
    <s v="Chair"/>
    <x v="1"/>
    <n v="13"/>
    <n v="393.1"/>
    <s v="Store B"/>
    <s v="Wholesale"/>
    <n v="0.1"/>
    <x v="1"/>
    <n v="4599.2700000000004"/>
    <s v="Online"/>
    <m/>
    <n v="0"/>
    <s v="REG100802"/>
    <s v="Cust 5301"/>
    <n v="12.64"/>
    <d v="2023-10-19T00:00:00"/>
    <d v="2023-10-26T00:00:00"/>
    <s v="Eric"/>
    <n v="4139.3430000000008"/>
    <n v="5110.3"/>
    <n v="970.95699999999943"/>
    <x v="1"/>
    <x v="19"/>
  </r>
  <r>
    <d v="2024-06-17T00:00:00"/>
    <x v="2"/>
    <x v="3"/>
    <s v="Chair"/>
    <s v="Chair"/>
    <x v="1"/>
    <n v="10"/>
    <n v="83.86"/>
    <s v="Store A"/>
    <s v="Wholesale"/>
    <n v="0.15"/>
    <x v="1"/>
    <n v="712.81"/>
    <s v="Credit Card"/>
    <m/>
    <n v="0"/>
    <s v="REG100803"/>
    <s v="Cust 2524"/>
    <n v="41.11"/>
    <d v="2024-06-17T00:00:00"/>
    <d v="2024-06-21T00:00:00"/>
    <s v="Ryan"/>
    <n v="605.88849999999991"/>
    <n v="838.6"/>
    <n v="232.71150000000011"/>
    <x v="2"/>
    <x v="23"/>
  </r>
  <r>
    <d v="2023-06-21T00:00:00"/>
    <x v="3"/>
    <x v="2"/>
    <s v="Desk"/>
    <s v="Desk"/>
    <x v="1"/>
    <n v="10"/>
    <n v="110.07"/>
    <s v="Store B"/>
    <s v="Wholesale"/>
    <n v="0"/>
    <x v="2"/>
    <n v="1100.7"/>
    <s v="Credit Card"/>
    <m/>
    <n v="0"/>
    <s v="REG100804"/>
    <s v="Cust 8480"/>
    <n v="18.47"/>
    <d v="2023-06-21T00:00:00"/>
    <d v="2023-06-29T00:00:00"/>
    <s v="Cameron"/>
    <n v="1100.7"/>
    <n v="1100.6999999999998"/>
    <n v="0"/>
    <x v="0"/>
    <x v="4"/>
  </r>
  <r>
    <d v="2024-08-30T00:00:00"/>
    <x v="0"/>
    <x v="1"/>
    <s v="Phone"/>
    <s v="Phone"/>
    <x v="0"/>
    <n v="6"/>
    <n v="288.98"/>
    <s v="Store C"/>
    <s v="Wholesale"/>
    <n v="0.15"/>
    <x v="4"/>
    <n v="1473.798"/>
    <s v="Gift Card"/>
    <m/>
    <n v="0"/>
    <s v="REG100805"/>
    <s v="Cust 2595"/>
    <n v="38.630000000000003"/>
    <d v="2024-08-30T00:00:00"/>
    <d v="2024-09-02T00:00:00"/>
    <s v="Eric"/>
    <n v="1252.7283"/>
    <n v="1733.88"/>
    <n v="481.15170000000012"/>
    <x v="2"/>
    <x v="29"/>
  </r>
  <r>
    <d v="2025-01-03T00:00:00"/>
    <x v="3"/>
    <x v="2"/>
    <s v="Desk"/>
    <s v="Desk"/>
    <x v="1"/>
    <n v="10"/>
    <n v="451.14"/>
    <s v="Store A"/>
    <s v="Retail"/>
    <n v="0"/>
    <x v="5"/>
    <n v="4511.3999999999996"/>
    <s v="Gift Card"/>
    <s v="FREESHIP"/>
    <n v="0"/>
    <s v="REG100806"/>
    <s v="Cust 7132"/>
    <n v="29.96"/>
    <d v="2025-01-03T00:00:00"/>
    <d v="2025-01-13T00:00:00"/>
    <s v="Cameron"/>
    <n v="4511.3999999999996"/>
    <n v="4511.3999999999996"/>
    <n v="0"/>
    <x v="0"/>
    <x v="12"/>
  </r>
  <r>
    <d v="2023-02-23T00:00:00"/>
    <x v="4"/>
    <x v="6"/>
    <s v="Printer"/>
    <s v="Printer"/>
    <x v="2"/>
    <n v="16"/>
    <n v="509.08"/>
    <s v="Store C"/>
    <s v="Wholesale"/>
    <n v="0"/>
    <x v="3"/>
    <n v="8145.28"/>
    <s v="Online"/>
    <s v="FREESHIP"/>
    <n v="0"/>
    <s v="REG100807"/>
    <s v="Cust 4240"/>
    <n v="37.53"/>
    <d v="2023-02-23T00:00:00"/>
    <d v="2023-03-02T00:00:00"/>
    <s v="Wendy"/>
    <n v="8145.28"/>
    <n v="8145.28"/>
    <n v="0"/>
    <x v="0"/>
    <x v="0"/>
  </r>
  <r>
    <d v="2025-04-26T00:00:00"/>
    <x v="3"/>
    <x v="6"/>
    <s v="Printer"/>
    <s v="Printer"/>
    <x v="2"/>
    <n v="4"/>
    <n v="582.73"/>
    <s v="Store D"/>
    <s v="Wholesale"/>
    <n v="0.05"/>
    <x v="3"/>
    <n v="2214.3739999999998"/>
    <s v="Cash"/>
    <s v="WINTER15"/>
    <n v="0"/>
    <s v="REG100808"/>
    <s v="Cust 4644"/>
    <n v="44.26"/>
    <d v="2025-04-26T00:00:00"/>
    <d v="2025-04-29T00:00:00"/>
    <s v="Cameron"/>
    <n v="2103.6552999999999"/>
    <n v="2330.92"/>
    <n v="227.26470000000018"/>
    <x v="1"/>
    <x v="28"/>
  </r>
  <r>
    <d v="2023-06-08T00:00:00"/>
    <x v="1"/>
    <x v="1"/>
    <s v="Phone"/>
    <s v="Phone"/>
    <x v="0"/>
    <n v="9"/>
    <n v="115.24"/>
    <s v="Store B"/>
    <s v="Wholesale"/>
    <n v="0"/>
    <x v="1"/>
    <n v="1037.1600000000001"/>
    <s v="Credit Card"/>
    <s v="FREESHIP"/>
    <n v="0"/>
    <s v="REG100809"/>
    <s v="Cust 5133"/>
    <n v="8.2799999999999994"/>
    <d v="2023-06-08T00:00:00"/>
    <d v="2023-06-14T00:00:00"/>
    <s v="Sophie"/>
    <n v="1037.1600000000001"/>
    <n v="1037.1599999999999"/>
    <n v="0"/>
    <x v="0"/>
    <x v="4"/>
  </r>
  <r>
    <d v="2023-03-16T00:00:00"/>
    <x v="2"/>
    <x v="4"/>
    <s v="Monitor"/>
    <s v="Monitor"/>
    <x v="0"/>
    <n v="14"/>
    <n v="565.45000000000005"/>
    <s v="Store D"/>
    <s v="Wholesale"/>
    <n v="0.1"/>
    <x v="0"/>
    <n v="7124.670000000001"/>
    <s v="Online"/>
    <s v="WINTER15"/>
    <n v="0"/>
    <s v="REG100810"/>
    <s v="Cust 1731"/>
    <n v="24.4"/>
    <d v="2023-03-16T00:00:00"/>
    <d v="2023-03-25T00:00:00"/>
    <s v="Ryan"/>
    <n v="6412.2030000000013"/>
    <n v="7916.3000000000011"/>
    <n v="1504.0969999999998"/>
    <x v="1"/>
    <x v="17"/>
  </r>
  <r>
    <d v="2024-10-23T00:00:00"/>
    <x v="2"/>
    <x v="1"/>
    <s v="Phone"/>
    <s v="Phone"/>
    <x v="0"/>
    <n v="11"/>
    <n v="121.54"/>
    <s v="Store D"/>
    <s v="Wholesale"/>
    <n v="0"/>
    <x v="3"/>
    <n v="1336.94"/>
    <s v="Credit Card"/>
    <s v="SAVE10"/>
    <n v="0"/>
    <s v="REG100811"/>
    <s v="Cust 3739"/>
    <n v="16.62"/>
    <d v="2024-10-23T00:00:00"/>
    <d v="2024-10-28T00:00:00"/>
    <s v="Ryan"/>
    <n v="1336.94"/>
    <n v="1336.94"/>
    <n v="0"/>
    <x v="0"/>
    <x v="7"/>
  </r>
  <r>
    <d v="2025-05-23T00:00:00"/>
    <x v="0"/>
    <x v="6"/>
    <s v="Printer"/>
    <s v="Printer"/>
    <x v="2"/>
    <n v="9"/>
    <n v="160.15"/>
    <s v="Store D"/>
    <s v="Retail"/>
    <n v="0.1"/>
    <x v="1"/>
    <n v="1297.2149999999999"/>
    <s v="Debit Card"/>
    <m/>
    <n v="1"/>
    <s v="REG100812"/>
    <s v="Cust 3853"/>
    <n v="29.64"/>
    <d v="2025-05-23T00:00:00"/>
    <d v="2025-05-28T00:00:00"/>
    <s v="Eric"/>
    <n v="1167.4935"/>
    <n v="1441.3500000000001"/>
    <n v="273.8565000000001"/>
    <x v="1"/>
    <x v="13"/>
  </r>
  <r>
    <d v="2023-05-06T00:00:00"/>
    <x v="0"/>
    <x v="2"/>
    <s v="Desk"/>
    <s v="Desk"/>
    <x v="1"/>
    <n v="14"/>
    <n v="175.66"/>
    <s v="Store B"/>
    <s v="Wholesale"/>
    <n v="0.05"/>
    <x v="5"/>
    <n v="2336.2779999999998"/>
    <s v="Cash"/>
    <s v="SAVE10"/>
    <n v="0"/>
    <s v="REG100813"/>
    <s v="Cust 6830"/>
    <n v="26.12"/>
    <d v="2023-05-06T00:00:00"/>
    <d v="2023-05-14T00:00:00"/>
    <s v="Eric"/>
    <n v="2219.4640999999997"/>
    <n v="2459.2399999999998"/>
    <n v="239.77590000000009"/>
    <x v="1"/>
    <x v="2"/>
  </r>
  <r>
    <d v="2024-08-15T00:00:00"/>
    <x v="1"/>
    <x v="5"/>
    <s v="Tablet"/>
    <s v="Tablet"/>
    <x v="0"/>
    <n v="3"/>
    <n v="437.97"/>
    <s v="Store C"/>
    <s v="Wholesale"/>
    <n v="0.05"/>
    <x v="0"/>
    <n v="1248.2145"/>
    <s v="Cash"/>
    <s v="SAVE10"/>
    <n v="1"/>
    <s v="REG100814"/>
    <s v="Cust 5351"/>
    <n v="23.29"/>
    <d v="2024-08-15T00:00:00"/>
    <d v="2024-08-22T00:00:00"/>
    <s v="Sophie"/>
    <n v="1185.8037750000001"/>
    <n v="1313.91"/>
    <n v="128.10622499999999"/>
    <x v="1"/>
    <x v="29"/>
  </r>
  <r>
    <d v="2023-08-23T00:00:00"/>
    <x v="1"/>
    <x v="6"/>
    <s v="Printer"/>
    <s v="Printer"/>
    <x v="2"/>
    <n v="12"/>
    <n v="411.59"/>
    <s v="Store B"/>
    <s v="Wholesale"/>
    <n v="0.15"/>
    <x v="4"/>
    <n v="4198.2179999999998"/>
    <s v="Cash"/>
    <s v="FREESHIP"/>
    <n v="0"/>
    <s v="REG100815"/>
    <s v="Cust 5845"/>
    <n v="19.170000000000002"/>
    <d v="2023-08-23T00:00:00"/>
    <d v="2023-08-31T00:00:00"/>
    <s v="Sophie"/>
    <n v="3568.4852999999998"/>
    <n v="4939.08"/>
    <n v="1370.5947000000001"/>
    <x v="2"/>
    <x v="18"/>
  </r>
  <r>
    <d v="2025-04-13T00:00:00"/>
    <x v="1"/>
    <x v="0"/>
    <s v="Laptop"/>
    <s v="Laptop"/>
    <x v="0"/>
    <n v="1"/>
    <n v="163.29"/>
    <s v="Store B"/>
    <s v="Retail"/>
    <n v="0"/>
    <x v="4"/>
    <n v="163.29"/>
    <s v="Credit Card"/>
    <s v="WINTER15"/>
    <n v="0"/>
    <s v="REG100816"/>
    <s v="Cust 7004"/>
    <n v="21.15"/>
    <d v="2025-04-13T00:00:00"/>
    <d v="2025-04-22T00:00:00"/>
    <s v="Sophie"/>
    <n v="163.29"/>
    <n v="163.29"/>
    <n v="0"/>
    <x v="0"/>
    <x v="28"/>
  </r>
  <r>
    <d v="2024-06-11T00:00:00"/>
    <x v="3"/>
    <x v="2"/>
    <s v="Desk"/>
    <s v="Desk"/>
    <x v="1"/>
    <n v="5"/>
    <n v="538.52"/>
    <s v="Store B"/>
    <s v="Wholesale"/>
    <n v="0.05"/>
    <x v="1"/>
    <n v="2557.9699999999998"/>
    <s v="Gift Card"/>
    <m/>
    <n v="0"/>
    <s v="REG100817"/>
    <s v="Cust 4095"/>
    <n v="45.81"/>
    <d v="2024-06-11T00:00:00"/>
    <d v="2024-06-17T00:00:00"/>
    <s v="Cameron"/>
    <n v="2430.0714999999996"/>
    <n v="2692.6"/>
    <n v="262.52850000000035"/>
    <x v="1"/>
    <x v="23"/>
  </r>
  <r>
    <d v="2024-04-29T00:00:00"/>
    <x v="1"/>
    <x v="1"/>
    <s v="Phone"/>
    <s v="Phone"/>
    <x v="0"/>
    <n v="11"/>
    <n v="255.95"/>
    <s v="Store C"/>
    <s v="Wholesale"/>
    <n v="0.1"/>
    <x v="1"/>
    <n v="2533.9050000000002"/>
    <s v="Online"/>
    <m/>
    <n v="0"/>
    <s v="REG100818"/>
    <s v="Cust 7833"/>
    <n v="21.99"/>
    <d v="2024-04-29T00:00:00"/>
    <d v="2024-05-04T00:00:00"/>
    <s v="Sophie"/>
    <n v="2280.5145000000002"/>
    <n v="2815.45"/>
    <n v="534.93549999999959"/>
    <x v="1"/>
    <x v="9"/>
  </r>
  <r>
    <d v="2023-03-27T00:00:00"/>
    <x v="1"/>
    <x v="2"/>
    <s v="Desk"/>
    <s v="Desk"/>
    <x v="1"/>
    <n v="7"/>
    <n v="290.22000000000003"/>
    <s v="Store A"/>
    <s v="Retail"/>
    <n v="0.1"/>
    <x v="1"/>
    <n v="1828.386"/>
    <s v="Cash"/>
    <s v="WINTER15"/>
    <n v="0"/>
    <s v="REG100819"/>
    <s v="Cust 5826"/>
    <n v="33.15"/>
    <d v="2023-03-27T00:00:00"/>
    <d v="2023-04-04T00:00:00"/>
    <s v="Sophie"/>
    <n v="1645.5473999999999"/>
    <n v="2031.5400000000002"/>
    <n v="385.99260000000027"/>
    <x v="1"/>
    <x v="17"/>
  </r>
  <r>
    <d v="2024-10-23T00:00:00"/>
    <x v="2"/>
    <x v="3"/>
    <s v="Chair"/>
    <s v="Chair"/>
    <x v="1"/>
    <n v="20"/>
    <n v="198.95"/>
    <s v="Store B"/>
    <s v="Retail"/>
    <n v="0.1"/>
    <x v="4"/>
    <n v="3581.1"/>
    <s v="Credit Card"/>
    <m/>
    <n v="1"/>
    <s v="REG100820"/>
    <s v="Cust 9410"/>
    <n v="5.16"/>
    <d v="2024-10-23T00:00:00"/>
    <d v="2024-10-25T00:00:00"/>
    <s v="Ryan"/>
    <n v="3222.99"/>
    <n v="3979"/>
    <n v="756.01000000000022"/>
    <x v="1"/>
    <x v="7"/>
  </r>
  <r>
    <d v="2023-06-21T00:00:00"/>
    <x v="2"/>
    <x v="6"/>
    <s v="Printer"/>
    <s v="Printer"/>
    <x v="2"/>
    <n v="11"/>
    <n v="577.1"/>
    <s v="Store C"/>
    <s v="Retail"/>
    <n v="0.15"/>
    <x v="2"/>
    <n v="5395.8850000000002"/>
    <s v="Cash"/>
    <s v="SAVE10"/>
    <n v="0"/>
    <s v="REG100821"/>
    <s v="Cust 9397"/>
    <n v="13.16"/>
    <d v="2023-06-21T00:00:00"/>
    <d v="2023-06-28T00:00:00"/>
    <s v="Ryan"/>
    <n v="4586.5022500000005"/>
    <n v="6348.1"/>
    <n v="1761.5977499999999"/>
    <x v="2"/>
    <x v="4"/>
  </r>
  <r>
    <d v="2023-05-12T00:00:00"/>
    <x v="3"/>
    <x v="6"/>
    <s v="Printer"/>
    <s v="Printer"/>
    <x v="2"/>
    <n v="10"/>
    <n v="50.1"/>
    <s v="Store A"/>
    <s v="Wholesale"/>
    <n v="0.1"/>
    <x v="5"/>
    <n v="450.9"/>
    <s v="Cash"/>
    <s v="FREESHIP"/>
    <n v="1"/>
    <s v="REG100822"/>
    <s v="Cust 6665"/>
    <n v="23.43"/>
    <d v="2023-05-12T00:00:00"/>
    <d v="2023-05-19T00:00:00"/>
    <s v="Cameron"/>
    <n v="405.81"/>
    <n v="501"/>
    <n v="95.19"/>
    <x v="1"/>
    <x v="2"/>
  </r>
  <r>
    <d v="2024-10-20T00:00:00"/>
    <x v="3"/>
    <x v="6"/>
    <s v="Printer"/>
    <s v="Printer"/>
    <x v="2"/>
    <n v="19"/>
    <n v="554.5"/>
    <s v="Store B"/>
    <s v="Retail"/>
    <n v="0.15"/>
    <x v="3"/>
    <n v="8955.1749999999993"/>
    <s v="Online"/>
    <m/>
    <n v="1"/>
    <s v="REG100823"/>
    <s v="Cust 2590"/>
    <n v="47.16"/>
    <d v="2024-10-20T00:00:00"/>
    <d v="2024-10-24T00:00:00"/>
    <s v="Cameron"/>
    <n v="7611.8987499999994"/>
    <n v="10535.5"/>
    <n v="2923.6012500000006"/>
    <x v="2"/>
    <x v="7"/>
  </r>
  <r>
    <d v="2024-04-04T00:00:00"/>
    <x v="2"/>
    <x v="0"/>
    <s v="Laptop"/>
    <s v="Laptop"/>
    <x v="0"/>
    <n v="14"/>
    <n v="117.31"/>
    <s v="Store A"/>
    <s v="Wholesale"/>
    <n v="0"/>
    <x v="4"/>
    <n v="1642.34"/>
    <s v="Online"/>
    <s v="WINTER15"/>
    <n v="0"/>
    <s v="REG100824"/>
    <s v="Cust 4599"/>
    <n v="41.24"/>
    <d v="2024-04-04T00:00:00"/>
    <d v="2024-04-07T00:00:00"/>
    <s v="Ryan"/>
    <n v="1642.34"/>
    <n v="1642.3400000000001"/>
    <n v="0"/>
    <x v="0"/>
    <x v="9"/>
  </r>
  <r>
    <d v="2025-01-12T00:00:00"/>
    <x v="3"/>
    <x v="5"/>
    <s v="Tablet"/>
    <s v="Tablet"/>
    <x v="0"/>
    <n v="3"/>
    <n v="193.98"/>
    <s v="Store A"/>
    <s v="Retail"/>
    <n v="0"/>
    <x v="5"/>
    <n v="581.93999999999994"/>
    <s v="Credit Card"/>
    <s v="WINTER15"/>
    <n v="0"/>
    <s v="REG100825"/>
    <s v="Cust 7166"/>
    <n v="27.53"/>
    <d v="2025-01-12T00:00:00"/>
    <d v="2025-01-16T00:00:00"/>
    <s v="Cameron"/>
    <n v="581.93999999999994"/>
    <n v="581.93999999999994"/>
    <n v="0"/>
    <x v="0"/>
    <x v="12"/>
  </r>
  <r>
    <d v="2023-07-24T00:00:00"/>
    <x v="1"/>
    <x v="1"/>
    <s v="Phone"/>
    <s v="Phone"/>
    <x v="0"/>
    <n v="20"/>
    <n v="386.86"/>
    <s v="Store A"/>
    <s v="Wholesale"/>
    <n v="0.05"/>
    <x v="3"/>
    <n v="7350.34"/>
    <s v="Online"/>
    <s v="WINTER15"/>
    <n v="0"/>
    <s v="REG100826"/>
    <s v="Cust 6177"/>
    <n v="41.56"/>
    <d v="2023-07-24T00:00:00"/>
    <d v="2023-07-29T00:00:00"/>
    <s v="Sophie"/>
    <n v="6982.8229999999994"/>
    <n v="7737.2000000000007"/>
    <n v="754.37700000000132"/>
    <x v="1"/>
    <x v="11"/>
  </r>
  <r>
    <d v="2023-09-09T00:00:00"/>
    <x v="2"/>
    <x v="3"/>
    <s v="Chair"/>
    <s v="Chair"/>
    <x v="1"/>
    <n v="12"/>
    <n v="81.33"/>
    <s v="Store D"/>
    <s v="Wholesale"/>
    <n v="0"/>
    <x v="3"/>
    <n v="975.96"/>
    <s v="Cash"/>
    <s v="SAVE10"/>
    <n v="1"/>
    <s v="REG100827"/>
    <s v="Cust 6229"/>
    <n v="30.73"/>
    <d v="2023-09-09T00:00:00"/>
    <d v="2023-09-13T00:00:00"/>
    <s v="Ryan"/>
    <n v="975.96"/>
    <n v="975.96"/>
    <n v="0"/>
    <x v="0"/>
    <x v="22"/>
  </r>
  <r>
    <d v="2024-04-20T00:00:00"/>
    <x v="0"/>
    <x v="6"/>
    <s v="Printer"/>
    <s v="Printer"/>
    <x v="2"/>
    <n v="5"/>
    <n v="550.65"/>
    <s v="Store A"/>
    <s v="Retail"/>
    <n v="0.15"/>
    <x v="5"/>
    <n v="2340.2624999999998"/>
    <s v="Gift Card"/>
    <m/>
    <n v="0"/>
    <s v="REG100828"/>
    <s v="Cust 2899"/>
    <n v="16.82"/>
    <d v="2024-04-20T00:00:00"/>
    <d v="2024-04-27T00:00:00"/>
    <s v="Eric"/>
    <n v="1989.2231249999998"/>
    <n v="2753.25"/>
    <n v="764.02687500000025"/>
    <x v="2"/>
    <x v="9"/>
  </r>
  <r>
    <d v="2025-02-06T00:00:00"/>
    <x v="4"/>
    <x v="6"/>
    <s v="Printer"/>
    <s v="Printer"/>
    <x v="2"/>
    <n v="4"/>
    <n v="473.91"/>
    <s v="Store A"/>
    <s v="Retail"/>
    <n v="0.05"/>
    <x v="0"/>
    <n v="1800.8579999999999"/>
    <s v="Credit Card"/>
    <s v="SAVE10"/>
    <n v="0"/>
    <s v="REG100829"/>
    <s v="Cust 5322"/>
    <n v="29.22"/>
    <d v="2025-02-06T00:00:00"/>
    <d v="2025-02-14T00:00:00"/>
    <s v="Wendy"/>
    <n v="1710.8150999999998"/>
    <n v="1895.64"/>
    <n v="184.8249000000003"/>
    <x v="1"/>
    <x v="3"/>
  </r>
  <r>
    <d v="2023-06-18T00:00:00"/>
    <x v="4"/>
    <x v="5"/>
    <s v="Tablet"/>
    <s v="Tablet"/>
    <x v="0"/>
    <n v="19"/>
    <n v="25.22"/>
    <s v="Store C"/>
    <s v="Wholesale"/>
    <n v="0"/>
    <x v="5"/>
    <n v="479.17999999999989"/>
    <s v="Credit Card"/>
    <m/>
    <n v="0"/>
    <s v="REG100830"/>
    <s v="Cust 7063"/>
    <n v="31.31"/>
    <d v="2023-06-18T00:00:00"/>
    <d v="2023-06-22T00:00:00"/>
    <s v="Wendy"/>
    <n v="479.17999999999989"/>
    <n v="479.17999999999995"/>
    <n v="0"/>
    <x v="0"/>
    <x v="4"/>
  </r>
  <r>
    <d v="2024-11-01T00:00:00"/>
    <x v="2"/>
    <x v="1"/>
    <s v="Phone"/>
    <s v="Phone"/>
    <x v="0"/>
    <n v="2"/>
    <n v="437.04"/>
    <s v="Store C"/>
    <s v="Wholesale"/>
    <n v="0"/>
    <x v="2"/>
    <n v="874.08"/>
    <s v="Credit Card"/>
    <s v="SAVE10"/>
    <n v="1"/>
    <s v="REG100831"/>
    <s v="Cust 7487"/>
    <n v="37.369999999999997"/>
    <d v="2024-11-01T00:00:00"/>
    <d v="2024-11-08T00:00:00"/>
    <s v="Ryan"/>
    <n v="874.08"/>
    <n v="874.08"/>
    <n v="0"/>
    <x v="0"/>
    <x v="20"/>
  </r>
  <r>
    <d v="2024-08-12T00:00:00"/>
    <x v="4"/>
    <x v="2"/>
    <s v="Desk"/>
    <s v="Desk"/>
    <x v="1"/>
    <n v="5"/>
    <n v="448.86"/>
    <s v="Store C"/>
    <s v="Wholesale"/>
    <n v="0.15"/>
    <x v="2"/>
    <n v="1907.655"/>
    <s v="Credit Card"/>
    <s v="SAVE10"/>
    <n v="1"/>
    <s v="REG100832"/>
    <s v="Cust 5481"/>
    <n v="21.22"/>
    <d v="2024-08-12T00:00:00"/>
    <d v="2024-08-21T00:00:00"/>
    <s v="Wendy"/>
    <n v="1621.50675"/>
    <n v="2244.3000000000002"/>
    <n v="622.79325000000017"/>
    <x v="2"/>
    <x v="29"/>
  </r>
  <r>
    <d v="2025-04-08T00:00:00"/>
    <x v="3"/>
    <x v="1"/>
    <s v="Phone"/>
    <s v="Phone"/>
    <x v="0"/>
    <n v="14"/>
    <n v="299.94"/>
    <s v="Store D"/>
    <s v="Retail"/>
    <n v="0"/>
    <x v="3"/>
    <n v="4199.16"/>
    <s v="Gift Card"/>
    <s v="FREESHIP"/>
    <n v="0"/>
    <s v="REG100833"/>
    <s v="Cust 3150"/>
    <n v="21.04"/>
    <d v="2025-04-08T00:00:00"/>
    <d v="2025-04-17T00:00:00"/>
    <s v="Cameron"/>
    <n v="4199.16"/>
    <n v="4199.16"/>
    <n v="0"/>
    <x v="0"/>
    <x v="28"/>
  </r>
  <r>
    <d v="2024-07-20T00:00:00"/>
    <x v="3"/>
    <x v="0"/>
    <s v="Laptop"/>
    <s v="Laptop"/>
    <x v="0"/>
    <n v="8"/>
    <n v="224.18"/>
    <s v="Store B"/>
    <s v="Retail"/>
    <n v="0.15"/>
    <x v="5"/>
    <n v="1524.424"/>
    <s v="Debit Card"/>
    <m/>
    <n v="0"/>
    <s v="REG100834"/>
    <s v="Cust 5099"/>
    <n v="36.9"/>
    <d v="2024-07-20T00:00:00"/>
    <d v="2024-07-26T00:00:00"/>
    <s v="Cameron"/>
    <n v="1295.7603999999999"/>
    <n v="1793.44"/>
    <n v="497.67960000000016"/>
    <x v="2"/>
    <x v="10"/>
  </r>
  <r>
    <d v="2023-02-17T00:00:00"/>
    <x v="4"/>
    <x v="2"/>
    <s v="Desk"/>
    <s v="Desk"/>
    <x v="1"/>
    <n v="6"/>
    <n v="327.69"/>
    <s v="Store D"/>
    <s v="Wholesale"/>
    <n v="0.05"/>
    <x v="4"/>
    <n v="1867.8330000000001"/>
    <s v="Cash"/>
    <m/>
    <n v="0"/>
    <s v="REG100835"/>
    <s v="Cust 6615"/>
    <n v="22.34"/>
    <d v="2023-02-17T00:00:00"/>
    <d v="2023-02-21T00:00:00"/>
    <s v="Wendy"/>
    <n v="1774.4413500000001"/>
    <n v="1966.1399999999999"/>
    <n v="191.69864999999982"/>
    <x v="1"/>
    <x v="0"/>
  </r>
  <r>
    <d v="2024-07-02T00:00:00"/>
    <x v="0"/>
    <x v="1"/>
    <s v="Phone"/>
    <s v="Phone"/>
    <x v="0"/>
    <n v="8"/>
    <n v="432.27"/>
    <s v="Store D"/>
    <s v="Retail"/>
    <n v="0.05"/>
    <x v="0"/>
    <n v="3285.251999999999"/>
    <s v="Cash"/>
    <s v="FREESHIP"/>
    <n v="1"/>
    <s v="REG100836"/>
    <s v="Cust 6924"/>
    <n v="20.64"/>
    <d v="2024-07-02T00:00:00"/>
    <d v="2024-07-04T00:00:00"/>
    <s v="Eric"/>
    <n v="3120.989399999999"/>
    <n v="3458.16"/>
    <n v="337.17060000000083"/>
    <x v="1"/>
    <x v="10"/>
  </r>
  <r>
    <d v="2025-04-01T00:00:00"/>
    <x v="2"/>
    <x v="4"/>
    <s v="Monitor"/>
    <s v="Monitor"/>
    <x v="0"/>
    <n v="4"/>
    <n v="249.98"/>
    <s v="Store C"/>
    <s v="Retail"/>
    <n v="0.15"/>
    <x v="0"/>
    <n v="849.9319999999999"/>
    <s v="Debit Card"/>
    <s v="SAVE10"/>
    <n v="0"/>
    <s v="REG100837"/>
    <s v="Cust 2411"/>
    <n v="49.08"/>
    <d v="2025-04-01T00:00:00"/>
    <d v="2025-04-04T00:00:00"/>
    <s v="Ryan"/>
    <n v="722.44219999999984"/>
    <n v="999.92"/>
    <n v="277.47780000000012"/>
    <x v="2"/>
    <x v="28"/>
  </r>
  <r>
    <d v="2025-06-02T00:00:00"/>
    <x v="1"/>
    <x v="6"/>
    <s v="Printer"/>
    <s v="Printer"/>
    <x v="2"/>
    <n v="14"/>
    <n v="194.31"/>
    <s v="Store C"/>
    <s v="Wholesale"/>
    <n v="0.15"/>
    <x v="2"/>
    <n v="2312.2890000000002"/>
    <s v="Debit Card"/>
    <s v="FREESHIP"/>
    <n v="0"/>
    <s v="REG100838"/>
    <s v="Cust 9648"/>
    <n v="15.3"/>
    <d v="2025-06-02T00:00:00"/>
    <d v="2025-06-09T00:00:00"/>
    <s v="Sophie"/>
    <n v="1965.4456500000001"/>
    <n v="2720.34"/>
    <n v="754.89435000000003"/>
    <x v="2"/>
    <x v="16"/>
  </r>
  <r>
    <d v="2024-11-21T00:00:00"/>
    <x v="4"/>
    <x v="1"/>
    <s v="Phone"/>
    <s v="Phone"/>
    <x v="0"/>
    <n v="5"/>
    <n v="69.290000000000006"/>
    <s v="Store C"/>
    <s v="Wholesale"/>
    <n v="0"/>
    <x v="3"/>
    <n v="346.45"/>
    <s v="Credit Card"/>
    <m/>
    <n v="0"/>
    <s v="REG100839"/>
    <s v="Cust 1974"/>
    <n v="20.83"/>
    <d v="2024-11-21T00:00:00"/>
    <d v="2024-11-29T00:00:00"/>
    <s v="Wendy"/>
    <n v="346.45"/>
    <n v="346.45000000000005"/>
    <n v="0"/>
    <x v="0"/>
    <x v="20"/>
  </r>
  <r>
    <d v="2024-01-10T00:00:00"/>
    <x v="1"/>
    <x v="6"/>
    <s v="Printer"/>
    <s v="Printer"/>
    <x v="2"/>
    <n v="15"/>
    <n v="306.91000000000003"/>
    <s v="Store A"/>
    <s v="Retail"/>
    <n v="0"/>
    <x v="3"/>
    <n v="4603.6500000000005"/>
    <s v="Cash"/>
    <s v="FREESHIP"/>
    <n v="1"/>
    <s v="REG100840"/>
    <s v="Cust 9452"/>
    <n v="19.38"/>
    <d v="2024-01-10T00:00:00"/>
    <d v="2024-01-14T00:00:00"/>
    <s v="Sophie"/>
    <n v="4603.6500000000005"/>
    <n v="4603.6500000000005"/>
    <n v="0"/>
    <x v="0"/>
    <x v="24"/>
  </r>
  <r>
    <d v="2023-10-21T00:00:00"/>
    <x v="2"/>
    <x v="2"/>
    <s v="Desk"/>
    <s v="Desk"/>
    <x v="1"/>
    <n v="4"/>
    <n v="390.3"/>
    <s v="Store A"/>
    <s v="Retail"/>
    <n v="0.15"/>
    <x v="4"/>
    <n v="1327.02"/>
    <s v="Debit Card"/>
    <m/>
    <n v="0"/>
    <s v="REG100841"/>
    <s v="Cust 4558"/>
    <n v="43.56"/>
    <d v="2023-10-21T00:00:00"/>
    <d v="2023-10-26T00:00:00"/>
    <s v="Ryan"/>
    <n v="1127.9669999999999"/>
    <n v="1561.2"/>
    <n v="433.23300000000017"/>
    <x v="2"/>
    <x v="19"/>
  </r>
  <r>
    <d v="2025-01-20T00:00:00"/>
    <x v="2"/>
    <x v="1"/>
    <s v="Phone"/>
    <s v="Phone"/>
    <x v="0"/>
    <n v="7"/>
    <n v="61.83"/>
    <s v="Store B"/>
    <s v="Retail"/>
    <n v="0"/>
    <x v="4"/>
    <n v="432.81"/>
    <s v="Online"/>
    <s v="WINTER15"/>
    <n v="0"/>
    <s v="REG100842"/>
    <s v="Cust 8811"/>
    <n v="25.49"/>
    <d v="2025-01-20T00:00:00"/>
    <d v="2025-01-22T00:00:00"/>
    <s v="Ryan"/>
    <n v="432.81"/>
    <n v="432.81"/>
    <n v="0"/>
    <x v="0"/>
    <x v="12"/>
  </r>
  <r>
    <d v="2024-11-09T00:00:00"/>
    <x v="4"/>
    <x v="4"/>
    <s v="Monitor"/>
    <s v="Monitor"/>
    <x v="0"/>
    <n v="7"/>
    <n v="83.32"/>
    <s v="Store D"/>
    <s v="Wholesale"/>
    <n v="0.05"/>
    <x v="3"/>
    <n v="554.07799999999997"/>
    <s v="Cash"/>
    <s v="FREESHIP"/>
    <n v="0"/>
    <s v="REG100843"/>
    <s v="Cust 7788"/>
    <n v="23.4"/>
    <d v="2024-11-09T00:00:00"/>
    <d v="2024-11-17T00:00:00"/>
    <s v="Wendy"/>
    <n v="526.3741"/>
    <n v="583.24"/>
    <n v="56.865900000000011"/>
    <x v="1"/>
    <x v="20"/>
  </r>
  <r>
    <d v="2024-04-03T00:00:00"/>
    <x v="4"/>
    <x v="4"/>
    <s v="Monitor"/>
    <s v="Monitor"/>
    <x v="0"/>
    <n v="4"/>
    <n v="563.05999999999995"/>
    <s v="Store D"/>
    <s v="Retail"/>
    <n v="0.05"/>
    <x v="5"/>
    <n v="2139.6280000000002"/>
    <s v="Cash"/>
    <s v="WINTER15"/>
    <n v="0"/>
    <s v="REG100844"/>
    <s v="Cust 2788"/>
    <n v="19.5"/>
    <d v="2024-04-03T00:00:00"/>
    <d v="2024-04-07T00:00:00"/>
    <s v="Wendy"/>
    <n v="2032.6466"/>
    <n v="2252.2399999999998"/>
    <n v="219.59339999999975"/>
    <x v="1"/>
    <x v="9"/>
  </r>
  <r>
    <d v="2024-01-06T00:00:00"/>
    <x v="2"/>
    <x v="1"/>
    <s v="Phone"/>
    <s v="Phone"/>
    <x v="0"/>
    <n v="13"/>
    <n v="256.35000000000002"/>
    <s v="Store D"/>
    <s v="Wholesale"/>
    <n v="0.15"/>
    <x v="1"/>
    <n v="2832.6675"/>
    <s v="Cash"/>
    <s v="SAVE10"/>
    <n v="0"/>
    <s v="REG100845"/>
    <s v="Cust 6621"/>
    <n v="26.04"/>
    <d v="2024-01-06T00:00:00"/>
    <d v="2024-01-08T00:00:00"/>
    <s v="Ryan"/>
    <n v="2407.7673749999999"/>
    <n v="3332.55"/>
    <n v="924.78262500000028"/>
    <x v="2"/>
    <x v="24"/>
  </r>
  <r>
    <d v="2023-08-02T00:00:00"/>
    <x v="3"/>
    <x v="6"/>
    <s v="Printer"/>
    <s v="Printer"/>
    <x v="2"/>
    <n v="9"/>
    <n v="303.26"/>
    <s v="Store A"/>
    <s v="Wholesale"/>
    <n v="0.05"/>
    <x v="4"/>
    <n v="2592.873"/>
    <s v="Debit Card"/>
    <s v="FREESHIP"/>
    <n v="0"/>
    <s v="REG100846"/>
    <s v="Cust 8575"/>
    <n v="17.010000000000002"/>
    <d v="2023-08-02T00:00:00"/>
    <d v="2023-08-05T00:00:00"/>
    <s v="Cameron"/>
    <n v="2463.2293500000001"/>
    <n v="2729.34"/>
    <n v="266.11065000000008"/>
    <x v="1"/>
    <x v="18"/>
  </r>
  <r>
    <d v="2023-11-26T00:00:00"/>
    <x v="2"/>
    <x v="3"/>
    <s v="Chair"/>
    <s v="Chair"/>
    <x v="1"/>
    <n v="9"/>
    <n v="440.48"/>
    <s v="Store A"/>
    <s v="Retail"/>
    <n v="0.15"/>
    <x v="4"/>
    <n v="3369.672"/>
    <s v="Gift Card"/>
    <s v="WINTER15"/>
    <n v="0"/>
    <s v="REG100847"/>
    <s v="Cust 8799"/>
    <n v="32.94"/>
    <d v="2023-11-26T00:00:00"/>
    <d v="2023-12-01T00:00:00"/>
    <s v="Ryan"/>
    <n v="2864.2212"/>
    <n v="3964.32"/>
    <n v="1100.0988000000002"/>
    <x v="2"/>
    <x v="15"/>
  </r>
  <r>
    <d v="2025-04-20T00:00:00"/>
    <x v="0"/>
    <x v="2"/>
    <s v="Desk"/>
    <s v="Desk"/>
    <x v="1"/>
    <n v="17"/>
    <n v="469.25"/>
    <s v="Store B"/>
    <s v="Wholesale"/>
    <n v="0.05"/>
    <x v="5"/>
    <n v="7578.3874999999998"/>
    <s v="Credit Card"/>
    <m/>
    <n v="0"/>
    <s v="REG100848"/>
    <s v="Cust 1699"/>
    <n v="45.76"/>
    <d v="2025-04-20T00:00:00"/>
    <d v="2025-04-26T00:00:00"/>
    <s v="Eric"/>
    <n v="7199.4681249999994"/>
    <n v="7977.25"/>
    <n v="777.78187500000058"/>
    <x v="1"/>
    <x v="28"/>
  </r>
  <r>
    <d v="2023-12-29T00:00:00"/>
    <x v="1"/>
    <x v="3"/>
    <s v="Chair"/>
    <s v="Chair"/>
    <x v="1"/>
    <n v="18"/>
    <n v="491.76"/>
    <s v="Store A"/>
    <s v="Wholesale"/>
    <n v="0.15"/>
    <x v="0"/>
    <n v="7523.9279999999999"/>
    <s v="Credit Card"/>
    <s v="SAVE10"/>
    <n v="0"/>
    <s v="REG100849"/>
    <s v="Cust 5606"/>
    <n v="37.49"/>
    <d v="2023-12-29T00:00:00"/>
    <d v="2024-01-05T00:00:00"/>
    <s v="Sophie"/>
    <n v="6395.3387999999995"/>
    <n v="8851.68"/>
    <n v="2456.3412000000008"/>
    <x v="2"/>
    <x v="27"/>
  </r>
  <r>
    <d v="2025-01-08T00:00:00"/>
    <x v="3"/>
    <x v="3"/>
    <s v="Chair"/>
    <s v="Chair"/>
    <x v="1"/>
    <n v="19"/>
    <n v="465.27"/>
    <s v="Store C"/>
    <s v="Retail"/>
    <n v="0.05"/>
    <x v="4"/>
    <n v="8398.1234999999997"/>
    <s v="Credit Card"/>
    <m/>
    <n v="0"/>
    <s v="REG100850"/>
    <s v="Cust 4933"/>
    <n v="44.95"/>
    <d v="2025-01-08T00:00:00"/>
    <d v="2025-01-10T00:00:00"/>
    <s v="Cameron"/>
    <n v="7978.2173249999996"/>
    <n v="8840.1299999999992"/>
    <n v="861.91267499999958"/>
    <x v="1"/>
    <x v="12"/>
  </r>
  <r>
    <d v="2024-05-06T00:00:00"/>
    <x v="0"/>
    <x v="3"/>
    <s v="Chair"/>
    <s v="Chair"/>
    <x v="1"/>
    <n v="18"/>
    <n v="343.68"/>
    <s v="Store B"/>
    <s v="Retail"/>
    <n v="0"/>
    <x v="0"/>
    <n v="6186.24"/>
    <s v="Gift Card"/>
    <s v="SAVE10"/>
    <n v="0"/>
    <s v="REG100851"/>
    <s v="Cust 9517"/>
    <n v="20.37"/>
    <d v="2024-05-06T00:00:00"/>
    <d v="2024-05-14T00:00:00"/>
    <s v="Eric"/>
    <n v="6186.24"/>
    <n v="6186.24"/>
    <n v="0"/>
    <x v="0"/>
    <x v="14"/>
  </r>
  <r>
    <d v="2024-09-15T00:00:00"/>
    <x v="2"/>
    <x v="2"/>
    <s v="Desk"/>
    <s v="Desk"/>
    <x v="1"/>
    <n v="14"/>
    <n v="472.51"/>
    <s v="Store D"/>
    <s v="Wholesale"/>
    <n v="0.05"/>
    <x v="5"/>
    <n v="6284.3829999999989"/>
    <s v="Gift Card"/>
    <m/>
    <n v="0"/>
    <s v="REG100852"/>
    <s v="Cust 6740"/>
    <n v="13.54"/>
    <d v="2024-09-15T00:00:00"/>
    <d v="2024-09-20T00:00:00"/>
    <s v="Ryan"/>
    <n v="5970.163849999999"/>
    <n v="6615.1399999999994"/>
    <n v="644.97615000000042"/>
    <x v="1"/>
    <x v="26"/>
  </r>
  <r>
    <d v="2023-02-07T00:00:00"/>
    <x v="4"/>
    <x v="0"/>
    <s v="Laptop"/>
    <s v="Laptop"/>
    <x v="0"/>
    <n v="20"/>
    <n v="142.52000000000001"/>
    <s v="Store A"/>
    <s v="Retail"/>
    <n v="0.1"/>
    <x v="0"/>
    <n v="2565.36"/>
    <s v="Cash"/>
    <s v="FREESHIP"/>
    <n v="0"/>
    <s v="REG100853"/>
    <s v="Cust 1301"/>
    <n v="30.67"/>
    <d v="2023-02-07T00:00:00"/>
    <d v="2023-02-12T00:00:00"/>
    <s v="Wendy"/>
    <n v="2308.8240000000001"/>
    <n v="2850.4"/>
    <n v="541.57600000000002"/>
    <x v="1"/>
    <x v="0"/>
  </r>
  <r>
    <d v="2023-03-01T00:00:00"/>
    <x v="0"/>
    <x v="1"/>
    <s v="Phone"/>
    <s v="Phone"/>
    <x v="0"/>
    <n v="1"/>
    <n v="31.42"/>
    <s v="Store B"/>
    <s v="Retail"/>
    <n v="0.05"/>
    <x v="5"/>
    <n v="29.849"/>
    <s v="Credit Card"/>
    <s v="SAVE10"/>
    <n v="0"/>
    <s v="REG100854"/>
    <s v="Cust 1736"/>
    <n v="11.35"/>
    <d v="2023-03-01T00:00:00"/>
    <d v="2023-03-09T00:00:00"/>
    <s v="Eric"/>
    <n v="28.356549999999999"/>
    <n v="31.42"/>
    <n v="3.0634500000000031"/>
    <x v="1"/>
    <x v="17"/>
  </r>
  <r>
    <d v="2024-05-08T00:00:00"/>
    <x v="2"/>
    <x v="5"/>
    <s v="Tablet"/>
    <s v="Tablet"/>
    <x v="0"/>
    <n v="17"/>
    <n v="572.29"/>
    <s v="Store D"/>
    <s v="Retail"/>
    <n v="0.15"/>
    <x v="0"/>
    <n v="8269.5905000000002"/>
    <s v="Online"/>
    <s v="SAVE10"/>
    <n v="1"/>
    <s v="REG100855"/>
    <s v="Cust 6864"/>
    <n v="44.99"/>
    <d v="2024-05-08T00:00:00"/>
    <d v="2024-05-12T00:00:00"/>
    <s v="Ryan"/>
    <n v="7029.1519250000001"/>
    <n v="9728.93"/>
    <n v="2699.7780750000002"/>
    <x v="2"/>
    <x v="14"/>
  </r>
  <r>
    <d v="2024-06-06T00:00:00"/>
    <x v="0"/>
    <x v="2"/>
    <s v="Desk"/>
    <s v="Desk"/>
    <x v="1"/>
    <n v="18"/>
    <n v="333.6"/>
    <s v="Store A"/>
    <s v="Retail"/>
    <n v="0.1"/>
    <x v="3"/>
    <n v="5404.3200000000006"/>
    <s v="Debit Card"/>
    <s v="FREESHIP"/>
    <n v="1"/>
    <s v="REG100856"/>
    <s v="Cust 5207"/>
    <n v="33.79"/>
    <d v="2024-06-06T00:00:00"/>
    <d v="2024-06-08T00:00:00"/>
    <s v="Eric"/>
    <n v="4863.8880000000008"/>
    <n v="6004.8"/>
    <n v="1140.9119999999994"/>
    <x v="1"/>
    <x v="23"/>
  </r>
  <r>
    <d v="2023-04-29T00:00:00"/>
    <x v="2"/>
    <x v="3"/>
    <s v="Chair"/>
    <s v="Chair"/>
    <x v="1"/>
    <n v="9"/>
    <n v="90.87"/>
    <s v="Store D"/>
    <s v="Retail"/>
    <n v="0.15"/>
    <x v="3"/>
    <n v="695.15549999999996"/>
    <s v="Debit Card"/>
    <s v="WINTER15"/>
    <n v="0"/>
    <s v="REG100857"/>
    <s v="Cust 6525"/>
    <n v="26.56"/>
    <d v="2023-04-29T00:00:00"/>
    <d v="2023-05-08T00:00:00"/>
    <s v="Ryan"/>
    <n v="590.88217499999996"/>
    <n v="817.83"/>
    <n v="226.94782500000008"/>
    <x v="2"/>
    <x v="21"/>
  </r>
  <r>
    <d v="2023-09-20T00:00:00"/>
    <x v="3"/>
    <x v="5"/>
    <s v="Tablet"/>
    <s v="Tablet"/>
    <x v="0"/>
    <n v="9"/>
    <n v="588.59"/>
    <s v="Store D"/>
    <s v="Wholesale"/>
    <n v="0.05"/>
    <x v="4"/>
    <n v="5032.4445000000014"/>
    <s v="Online"/>
    <m/>
    <n v="0"/>
    <s v="REG100858"/>
    <s v="Cust 8298"/>
    <n v="42.3"/>
    <d v="2023-09-20T00:00:00"/>
    <d v="2023-09-22T00:00:00"/>
    <s v="Cameron"/>
    <n v="4780.8222750000014"/>
    <n v="5297.31"/>
    <n v="516.48772499999905"/>
    <x v="1"/>
    <x v="22"/>
  </r>
  <r>
    <d v="2024-11-08T00:00:00"/>
    <x v="1"/>
    <x v="3"/>
    <s v="Chair"/>
    <s v="Chair"/>
    <x v="1"/>
    <n v="18"/>
    <n v="153.28"/>
    <s v="Store B"/>
    <s v="Retail"/>
    <n v="0.05"/>
    <x v="2"/>
    <n v="2621.0880000000002"/>
    <s v="Online"/>
    <s v="WINTER15"/>
    <n v="1"/>
    <s v="REG100859"/>
    <s v="Cust 8204"/>
    <n v="33.71"/>
    <d v="2024-11-08T00:00:00"/>
    <d v="2024-11-13T00:00:00"/>
    <s v="Sophie"/>
    <n v="2490.0336000000002"/>
    <n v="2759.04"/>
    <n v="269.00639999999976"/>
    <x v="1"/>
    <x v="20"/>
  </r>
  <r>
    <d v="2023-03-22T00:00:00"/>
    <x v="2"/>
    <x v="6"/>
    <s v="Printer"/>
    <s v="Printer"/>
    <x v="2"/>
    <n v="17"/>
    <n v="194.97"/>
    <s v="Store A"/>
    <s v="Retail"/>
    <n v="0.15"/>
    <x v="3"/>
    <n v="2817.3164999999999"/>
    <s v="Gift Card"/>
    <s v="SAVE10"/>
    <n v="1"/>
    <s v="REG100860"/>
    <s v="Cust 4035"/>
    <n v="5.59"/>
    <d v="2023-03-22T00:00:00"/>
    <d v="2023-03-30T00:00:00"/>
    <s v="Ryan"/>
    <n v="2394.7190249999999"/>
    <n v="3314.49"/>
    <n v="919.77097499999991"/>
    <x v="2"/>
    <x v="17"/>
  </r>
  <r>
    <d v="2023-09-05T00:00:00"/>
    <x v="0"/>
    <x v="4"/>
    <s v="Monitor"/>
    <s v="Monitor"/>
    <x v="0"/>
    <n v="5"/>
    <n v="367.61"/>
    <s v="Store C"/>
    <s v="Retail"/>
    <n v="0"/>
    <x v="1"/>
    <n v="1838.05"/>
    <s v="Credit Card"/>
    <s v="SAVE10"/>
    <n v="0"/>
    <s v="REG100861"/>
    <s v="Cust 1654"/>
    <n v="19.55"/>
    <d v="2023-09-05T00:00:00"/>
    <d v="2023-09-13T00:00:00"/>
    <s v="Eric"/>
    <n v="1838.05"/>
    <n v="1838.0500000000002"/>
    <n v="0"/>
    <x v="0"/>
    <x v="22"/>
  </r>
  <r>
    <d v="2023-02-26T00:00:00"/>
    <x v="0"/>
    <x v="0"/>
    <s v="Laptop"/>
    <s v="Laptop"/>
    <x v="0"/>
    <n v="17"/>
    <n v="575.5"/>
    <s v="Store D"/>
    <s v="Retail"/>
    <n v="0.05"/>
    <x v="1"/>
    <n v="9294.3249999999989"/>
    <s v="Debit Card"/>
    <s v="FREESHIP"/>
    <n v="0"/>
    <s v="REG100862"/>
    <s v="Cust 1823"/>
    <n v="13.42"/>
    <d v="2023-02-26T00:00:00"/>
    <d v="2023-03-05T00:00:00"/>
    <s v="Eric"/>
    <n v="8829.6087499999994"/>
    <n v="9783.5"/>
    <n v="953.89125000000058"/>
    <x v="1"/>
    <x v="0"/>
  </r>
  <r>
    <d v="2024-11-26T00:00:00"/>
    <x v="4"/>
    <x v="3"/>
    <s v="Chair"/>
    <s v="Chair"/>
    <x v="1"/>
    <n v="3"/>
    <n v="229.45"/>
    <s v="Store D"/>
    <s v="Retail"/>
    <n v="0.15"/>
    <x v="5"/>
    <n v="585.09749999999985"/>
    <s v="Debit Card"/>
    <s v="WINTER15"/>
    <n v="1"/>
    <s v="REG100863"/>
    <s v="Cust 1423"/>
    <n v="19.809999999999999"/>
    <d v="2024-11-26T00:00:00"/>
    <d v="2024-11-29T00:00:00"/>
    <s v="Wendy"/>
    <n v="497.33287499999989"/>
    <n v="688.34999999999991"/>
    <n v="191.01712500000002"/>
    <x v="2"/>
    <x v="20"/>
  </r>
  <r>
    <d v="2024-10-14T00:00:00"/>
    <x v="3"/>
    <x v="3"/>
    <s v="Chair"/>
    <s v="Chair"/>
    <x v="1"/>
    <n v="3"/>
    <n v="391.63"/>
    <s v="Store C"/>
    <s v="Retail"/>
    <n v="0"/>
    <x v="2"/>
    <n v="1174.8900000000001"/>
    <s v="Debit Card"/>
    <m/>
    <n v="1"/>
    <s v="REG100864"/>
    <s v="Cust 7282"/>
    <n v="25.36"/>
    <d v="2024-10-14T00:00:00"/>
    <d v="2024-10-17T00:00:00"/>
    <s v="Cameron"/>
    <n v="1174.8900000000001"/>
    <n v="1174.8899999999999"/>
    <n v="0"/>
    <x v="0"/>
    <x v="7"/>
  </r>
  <r>
    <d v="2023-05-29T00:00:00"/>
    <x v="3"/>
    <x v="0"/>
    <s v="Laptop"/>
    <s v="Laptop"/>
    <x v="0"/>
    <n v="15"/>
    <n v="67.349999999999994"/>
    <s v="Store D"/>
    <s v="Wholesale"/>
    <n v="0.1"/>
    <x v="4"/>
    <n v="909.22499999999991"/>
    <s v="Online"/>
    <s v="FREESHIP"/>
    <n v="0"/>
    <s v="REG100865"/>
    <s v="Cust 8437"/>
    <n v="24.85"/>
    <d v="2023-05-29T00:00:00"/>
    <d v="2023-06-03T00:00:00"/>
    <s v="Cameron"/>
    <n v="818.3024999999999"/>
    <n v="1010.2499999999999"/>
    <n v="191.94749999999999"/>
    <x v="1"/>
    <x v="2"/>
  </r>
  <r>
    <d v="2024-03-22T00:00:00"/>
    <x v="3"/>
    <x v="0"/>
    <s v="Laptop"/>
    <s v="Laptop"/>
    <x v="0"/>
    <n v="6"/>
    <n v="453.86"/>
    <s v="Store B"/>
    <s v="Retail"/>
    <n v="0.15"/>
    <x v="1"/>
    <n v="2314.6860000000001"/>
    <s v="Credit Card"/>
    <m/>
    <n v="0"/>
    <s v="REG100866"/>
    <s v="Cust 9508"/>
    <n v="45.32"/>
    <d v="2024-03-22T00:00:00"/>
    <d v="2024-03-31T00:00:00"/>
    <s v="Cameron"/>
    <n v="1967.4831000000001"/>
    <n v="2723.16"/>
    <n v="755.6768999999997"/>
    <x v="2"/>
    <x v="25"/>
  </r>
  <r>
    <d v="2023-04-22T00:00:00"/>
    <x v="1"/>
    <x v="5"/>
    <s v="Tablet"/>
    <s v="Tablet"/>
    <x v="0"/>
    <n v="19"/>
    <n v="537.70000000000005"/>
    <s v="Store D"/>
    <s v="Wholesale"/>
    <n v="0"/>
    <x v="5"/>
    <n v="10216.299999999999"/>
    <s v="Online"/>
    <s v="SAVE10"/>
    <n v="0"/>
    <s v="REG100867"/>
    <s v="Cust 1186"/>
    <n v="45.83"/>
    <d v="2023-04-22T00:00:00"/>
    <d v="2023-05-02T00:00:00"/>
    <s v="Sophie"/>
    <n v="10216.299999999999"/>
    <n v="10216.300000000001"/>
    <n v="0"/>
    <x v="0"/>
    <x v="21"/>
  </r>
  <r>
    <d v="2025-06-06T00:00:00"/>
    <x v="2"/>
    <x v="1"/>
    <s v="Phone"/>
    <s v="Phone"/>
    <x v="0"/>
    <n v="5"/>
    <n v="32.56"/>
    <s v="Store C"/>
    <s v="Retail"/>
    <n v="0.05"/>
    <x v="4"/>
    <n v="154.66"/>
    <s v="Cash"/>
    <s v="FREESHIP"/>
    <n v="0"/>
    <s v="REG100868"/>
    <s v="Cust 4362"/>
    <n v="46.73"/>
    <d v="2025-06-06T00:00:00"/>
    <d v="2025-06-12T00:00:00"/>
    <s v="Ryan"/>
    <n v="146.92699999999999"/>
    <n v="162.80000000000001"/>
    <n v="15.873000000000019"/>
    <x v="1"/>
    <x v="16"/>
  </r>
  <r>
    <d v="2023-01-25T00:00:00"/>
    <x v="3"/>
    <x v="0"/>
    <s v="Laptop"/>
    <s v="Laptop"/>
    <x v="0"/>
    <n v="2"/>
    <n v="196.7"/>
    <s v="Store A"/>
    <s v="Retail"/>
    <n v="0"/>
    <x v="2"/>
    <n v="393.4"/>
    <s v="Online"/>
    <s v="FREESHIP"/>
    <n v="0"/>
    <s v="REG100869"/>
    <s v="Cust 9388"/>
    <n v="35.840000000000003"/>
    <d v="2023-01-25T00:00:00"/>
    <d v="2023-01-29T00:00:00"/>
    <s v="Cameron"/>
    <n v="393.4"/>
    <n v="393.4"/>
    <n v="0"/>
    <x v="0"/>
    <x v="6"/>
  </r>
  <r>
    <d v="2023-09-08T00:00:00"/>
    <x v="1"/>
    <x v="1"/>
    <s v="Phone"/>
    <s v="Phone"/>
    <x v="0"/>
    <n v="12"/>
    <n v="369.45"/>
    <s v="Store D"/>
    <s v="Wholesale"/>
    <n v="0.1"/>
    <x v="2"/>
    <n v="3990.06"/>
    <s v="Credit Card"/>
    <s v="WINTER15"/>
    <n v="1"/>
    <s v="REG100870"/>
    <s v="Cust 4015"/>
    <n v="44.76"/>
    <d v="2023-09-08T00:00:00"/>
    <d v="2023-09-10T00:00:00"/>
    <s v="Sophie"/>
    <n v="3591.0540000000001"/>
    <n v="4433.3999999999996"/>
    <n v="842.34599999999955"/>
    <x v="1"/>
    <x v="22"/>
  </r>
  <r>
    <d v="2024-10-04T00:00:00"/>
    <x v="0"/>
    <x v="5"/>
    <s v="Tablet"/>
    <s v="Tablet"/>
    <x v="0"/>
    <n v="12"/>
    <n v="181.96"/>
    <s v="Store D"/>
    <s v="Retail"/>
    <n v="0.15"/>
    <x v="0"/>
    <n v="1855.992"/>
    <s v="Gift Card"/>
    <s v="WINTER15"/>
    <n v="0"/>
    <s v="REG100871"/>
    <s v="Cust 6428"/>
    <n v="25.06"/>
    <d v="2024-10-04T00:00:00"/>
    <d v="2024-10-11T00:00:00"/>
    <s v="Eric"/>
    <n v="1577.5932"/>
    <n v="2183.52"/>
    <n v="605.92679999999996"/>
    <x v="2"/>
    <x v="7"/>
  </r>
  <r>
    <d v="2025-04-06T00:00:00"/>
    <x v="0"/>
    <x v="2"/>
    <s v="Desk"/>
    <s v="Desk"/>
    <x v="1"/>
    <n v="3"/>
    <n v="32.07"/>
    <s v="Store D"/>
    <s v="Retail"/>
    <n v="0.15"/>
    <x v="1"/>
    <n v="81.778500000000008"/>
    <s v="Online"/>
    <s v="WINTER15"/>
    <n v="1"/>
    <s v="REG100872"/>
    <s v="Cust 2570"/>
    <n v="43.18"/>
    <d v="2025-04-06T00:00:00"/>
    <d v="2025-04-08T00:00:00"/>
    <s v="Eric"/>
    <n v="69.511724999999998"/>
    <n v="96.210000000000008"/>
    <n v="26.69827500000001"/>
    <x v="2"/>
    <x v="28"/>
  </r>
  <r>
    <d v="2024-08-25T00:00:00"/>
    <x v="0"/>
    <x v="0"/>
    <s v="Laptop"/>
    <s v="Laptop"/>
    <x v="0"/>
    <n v="15"/>
    <n v="39.93"/>
    <s v="Store A"/>
    <s v="Retail"/>
    <n v="0.15"/>
    <x v="4"/>
    <n v="509.10750000000002"/>
    <s v="Debit Card"/>
    <s v="WINTER15"/>
    <n v="0"/>
    <s v="REG100873"/>
    <s v="Cust 5132"/>
    <n v="33.44"/>
    <d v="2024-08-25T00:00:00"/>
    <d v="2024-08-29T00:00:00"/>
    <s v="Eric"/>
    <n v="432.74137500000001"/>
    <n v="598.95000000000005"/>
    <n v="166.20862500000004"/>
    <x v="2"/>
    <x v="29"/>
  </r>
  <r>
    <d v="2024-03-06T00:00:00"/>
    <x v="2"/>
    <x v="1"/>
    <s v="Phone"/>
    <s v="Phone"/>
    <x v="0"/>
    <n v="7"/>
    <n v="374.43"/>
    <s v="Store A"/>
    <s v="Retail"/>
    <n v="0.15"/>
    <x v="3"/>
    <n v="2227.8584999999998"/>
    <s v="Cash"/>
    <s v="SAVE10"/>
    <n v="0"/>
    <s v="REG100874"/>
    <s v="Cust 4929"/>
    <n v="28.97"/>
    <d v="2024-03-06T00:00:00"/>
    <d v="2024-03-12T00:00:00"/>
    <s v="Ryan"/>
    <n v="1893.6797249999997"/>
    <n v="2621.0100000000002"/>
    <n v="727.33027500000048"/>
    <x v="2"/>
    <x v="25"/>
  </r>
  <r>
    <d v="2023-03-23T00:00:00"/>
    <x v="0"/>
    <x v="6"/>
    <s v="Printer"/>
    <s v="Printer"/>
    <x v="2"/>
    <n v="2"/>
    <n v="101.87"/>
    <s v="Store C"/>
    <s v="Wholesale"/>
    <n v="0"/>
    <x v="4"/>
    <n v="203.74"/>
    <s v="Cash"/>
    <s v="FREESHIP"/>
    <n v="0"/>
    <s v="REG100875"/>
    <s v="Cust 4018"/>
    <n v="28.63"/>
    <d v="2023-03-23T00:00:00"/>
    <d v="2023-03-26T00:00:00"/>
    <s v="Eric"/>
    <n v="203.74"/>
    <n v="203.74"/>
    <n v="0"/>
    <x v="0"/>
    <x v="17"/>
  </r>
  <r>
    <d v="2024-01-13T00:00:00"/>
    <x v="3"/>
    <x v="5"/>
    <s v="Tablet"/>
    <s v="Tablet"/>
    <x v="0"/>
    <n v="13"/>
    <n v="343.45"/>
    <s v="Store D"/>
    <s v="Wholesale"/>
    <n v="0.05"/>
    <x v="1"/>
    <n v="4241.6074999999992"/>
    <s v="Gift Card"/>
    <s v="SAVE10"/>
    <n v="0"/>
    <s v="REG100876"/>
    <s v="Cust 8069"/>
    <n v="27.26"/>
    <d v="2024-01-13T00:00:00"/>
    <d v="2024-01-17T00:00:00"/>
    <s v="Cameron"/>
    <n v="4029.5271249999992"/>
    <n v="4464.8499999999995"/>
    <n v="435.32287500000029"/>
    <x v="1"/>
    <x v="24"/>
  </r>
  <r>
    <d v="2023-07-18T00:00:00"/>
    <x v="3"/>
    <x v="6"/>
    <s v="Printer"/>
    <s v="Printer"/>
    <x v="2"/>
    <n v="15"/>
    <n v="144.11000000000001"/>
    <s v="Store C"/>
    <s v="Retail"/>
    <n v="0"/>
    <x v="2"/>
    <n v="2161.65"/>
    <s v="Gift Card"/>
    <m/>
    <n v="0"/>
    <s v="REG100877"/>
    <s v="Cust 6741"/>
    <n v="28.51"/>
    <d v="2023-07-18T00:00:00"/>
    <d v="2023-07-24T00:00:00"/>
    <s v="Cameron"/>
    <n v="2161.65"/>
    <n v="2161.65"/>
    <n v="0"/>
    <x v="0"/>
    <x v="11"/>
  </r>
  <r>
    <d v="2025-02-23T00:00:00"/>
    <x v="4"/>
    <x v="3"/>
    <s v="Chair"/>
    <s v="Chair"/>
    <x v="1"/>
    <n v="18"/>
    <n v="403.68"/>
    <s v="Store A"/>
    <s v="Retail"/>
    <n v="0.15"/>
    <x v="3"/>
    <n v="6176.3040000000001"/>
    <s v="Cash"/>
    <s v="FREESHIP"/>
    <n v="0"/>
    <s v="REG100878"/>
    <s v="Cust 8050"/>
    <n v="13.09"/>
    <d v="2025-02-23T00:00:00"/>
    <d v="2025-03-04T00:00:00"/>
    <s v="Wendy"/>
    <n v="5249.8584000000001"/>
    <n v="7266.24"/>
    <n v="2016.3815999999997"/>
    <x v="2"/>
    <x v="3"/>
  </r>
  <r>
    <d v="2023-02-22T00:00:00"/>
    <x v="0"/>
    <x v="6"/>
    <s v="Printer"/>
    <s v="Printer"/>
    <x v="2"/>
    <n v="14"/>
    <n v="346.57"/>
    <s v="Store B"/>
    <s v="Retail"/>
    <n v="0.1"/>
    <x v="3"/>
    <n v="4366.7820000000002"/>
    <s v="Debit Card"/>
    <s v="FREESHIP"/>
    <n v="0"/>
    <s v="REG100879"/>
    <s v="Cust 2434"/>
    <n v="36.83"/>
    <d v="2023-02-22T00:00:00"/>
    <d v="2023-03-02T00:00:00"/>
    <s v="Eric"/>
    <n v="3930.1038000000003"/>
    <n v="4851.9799999999996"/>
    <n v="921.87619999999924"/>
    <x v="1"/>
    <x v="0"/>
  </r>
  <r>
    <d v="2024-10-18T00:00:00"/>
    <x v="2"/>
    <x v="6"/>
    <s v="Printer"/>
    <s v="Printer"/>
    <x v="2"/>
    <n v="7"/>
    <n v="392.79"/>
    <s v="Store C"/>
    <s v="Wholesale"/>
    <n v="0"/>
    <x v="0"/>
    <n v="2749.53"/>
    <s v="Gift Card"/>
    <s v="WINTER15"/>
    <n v="0"/>
    <s v="REG100880"/>
    <s v="Cust 9089"/>
    <n v="45.85"/>
    <d v="2024-10-18T00:00:00"/>
    <d v="2024-10-28T00:00:00"/>
    <s v="Ryan"/>
    <n v="2749.53"/>
    <n v="2749.53"/>
    <n v="0"/>
    <x v="0"/>
    <x v="7"/>
  </r>
  <r>
    <d v="2023-10-26T00:00:00"/>
    <x v="4"/>
    <x v="6"/>
    <s v="Printer"/>
    <s v="Printer"/>
    <x v="2"/>
    <n v="16"/>
    <n v="70.83"/>
    <s v="Store B"/>
    <s v="Wholesale"/>
    <n v="0.05"/>
    <x v="3"/>
    <n v="1076.616"/>
    <s v="Gift Card"/>
    <m/>
    <n v="0"/>
    <s v="REG100881"/>
    <s v="Cust 1091"/>
    <n v="5.05"/>
    <d v="2023-10-26T00:00:00"/>
    <d v="2023-10-31T00:00:00"/>
    <s v="Wendy"/>
    <n v="1022.7851999999999"/>
    <n v="1133.28"/>
    <n v="110.49480000000005"/>
    <x v="1"/>
    <x v="19"/>
  </r>
  <r>
    <d v="2023-01-10T00:00:00"/>
    <x v="3"/>
    <x v="4"/>
    <s v="Monitor"/>
    <s v="Monitor"/>
    <x v="0"/>
    <n v="20"/>
    <n v="274.37"/>
    <s v="Store B"/>
    <s v="Retail"/>
    <n v="0.1"/>
    <x v="0"/>
    <n v="4938.66"/>
    <s v="Gift Card"/>
    <s v="WINTER15"/>
    <n v="0"/>
    <s v="REG100882"/>
    <s v="Cust 6138"/>
    <n v="12.28"/>
    <d v="2023-01-10T00:00:00"/>
    <d v="2023-01-14T00:00:00"/>
    <s v="Cameron"/>
    <n v="4444.7939999999999"/>
    <n v="5487.4"/>
    <n v="1042.6059999999998"/>
    <x v="1"/>
    <x v="6"/>
  </r>
  <r>
    <d v="2024-03-19T00:00:00"/>
    <x v="3"/>
    <x v="2"/>
    <s v="Desk"/>
    <s v="Desk"/>
    <x v="1"/>
    <n v="10"/>
    <n v="19.73"/>
    <s v="Store D"/>
    <s v="Retail"/>
    <n v="0.1"/>
    <x v="3"/>
    <n v="177.57"/>
    <s v="Debit Card"/>
    <m/>
    <n v="0"/>
    <s v="REG100883"/>
    <s v="Cust 6326"/>
    <n v="16.059999999999999"/>
    <d v="2024-03-19T00:00:00"/>
    <d v="2024-03-22T00:00:00"/>
    <s v="Cameron"/>
    <n v="159.81299999999999"/>
    <n v="197.3"/>
    <n v="37.487000000000023"/>
    <x v="1"/>
    <x v="25"/>
  </r>
  <r>
    <d v="2023-12-20T00:00:00"/>
    <x v="3"/>
    <x v="6"/>
    <s v="Printer"/>
    <s v="Printer"/>
    <x v="2"/>
    <n v="10"/>
    <n v="465.72"/>
    <s v="Store B"/>
    <s v="Wholesale"/>
    <n v="0.05"/>
    <x v="1"/>
    <n v="4424.34"/>
    <s v="Online"/>
    <s v="FREESHIP"/>
    <n v="0"/>
    <s v="REG100884"/>
    <s v="Cust 1327"/>
    <n v="28.14"/>
    <d v="2023-12-20T00:00:00"/>
    <d v="2023-12-26T00:00:00"/>
    <s v="Cameron"/>
    <n v="4203.1229999999996"/>
    <n v="4657.2000000000007"/>
    <n v="454.07700000000114"/>
    <x v="1"/>
    <x v="27"/>
  </r>
  <r>
    <d v="2024-12-09T00:00:00"/>
    <x v="3"/>
    <x v="4"/>
    <s v="Monitor"/>
    <s v="Monitor"/>
    <x v="0"/>
    <n v="19"/>
    <n v="62.07"/>
    <s v="Store D"/>
    <s v="Retail"/>
    <n v="0.1"/>
    <x v="4"/>
    <n v="1061.3969999999999"/>
    <s v="Debit Card"/>
    <s v="FREESHIP"/>
    <n v="0"/>
    <s v="REG100885"/>
    <s v="Cust 8602"/>
    <n v="14.85"/>
    <d v="2024-12-09T00:00:00"/>
    <d v="2024-12-19T00:00:00"/>
    <s v="Cameron"/>
    <n v="955.25729999999999"/>
    <n v="1179.33"/>
    <n v="224.07269999999994"/>
    <x v="1"/>
    <x v="1"/>
  </r>
  <r>
    <d v="2023-05-10T00:00:00"/>
    <x v="3"/>
    <x v="5"/>
    <s v="Tablet"/>
    <s v="Tablet"/>
    <x v="0"/>
    <n v="11"/>
    <n v="529.20000000000005"/>
    <s v="Store A"/>
    <s v="Wholesale"/>
    <n v="0.05"/>
    <x v="5"/>
    <n v="5530.14"/>
    <s v="Credit Card"/>
    <m/>
    <n v="1"/>
    <s v="REG100886"/>
    <s v="Cust 9131"/>
    <n v="16.78"/>
    <d v="2023-05-10T00:00:00"/>
    <d v="2023-05-20T00:00:00"/>
    <s v="Cameron"/>
    <n v="5253.6329999999998"/>
    <n v="5821.2000000000007"/>
    <n v="567.56700000000092"/>
    <x v="1"/>
    <x v="2"/>
  </r>
  <r>
    <d v="2023-10-18T00:00:00"/>
    <x v="1"/>
    <x v="4"/>
    <s v="Monitor"/>
    <s v="Monitor"/>
    <x v="0"/>
    <n v="7"/>
    <n v="387.31"/>
    <s v="Store A"/>
    <s v="Retail"/>
    <n v="0.1"/>
    <x v="5"/>
    <n v="2440.0529999999999"/>
    <s v="Cash"/>
    <s v="WINTER15"/>
    <n v="0"/>
    <s v="REG100887"/>
    <s v="Cust 6716"/>
    <n v="14.76"/>
    <d v="2023-10-18T00:00:00"/>
    <d v="2023-10-21T00:00:00"/>
    <s v="Sophie"/>
    <n v="2196.0477000000001"/>
    <n v="2711.17"/>
    <n v="515.1223"/>
    <x v="1"/>
    <x v="19"/>
  </r>
  <r>
    <d v="2024-12-03T00:00:00"/>
    <x v="1"/>
    <x v="1"/>
    <s v="Phone"/>
    <s v="Phone"/>
    <x v="0"/>
    <n v="1"/>
    <n v="152.75"/>
    <s v="Store A"/>
    <s v="Wholesale"/>
    <n v="0"/>
    <x v="5"/>
    <n v="152.75"/>
    <s v="Credit Card"/>
    <s v="FREESHIP"/>
    <n v="1"/>
    <s v="REG100888"/>
    <s v="Cust 2071"/>
    <n v="9.61"/>
    <d v="2024-12-03T00:00:00"/>
    <d v="2024-12-06T00:00:00"/>
    <s v="Sophie"/>
    <n v="152.75"/>
    <n v="152.75"/>
    <n v="0"/>
    <x v="0"/>
    <x v="1"/>
  </r>
  <r>
    <d v="2024-10-10T00:00:00"/>
    <x v="1"/>
    <x v="3"/>
    <s v="Chair"/>
    <s v="Chair"/>
    <x v="1"/>
    <n v="8"/>
    <n v="72.48"/>
    <s v="Store A"/>
    <s v="Wholesale"/>
    <n v="0.1"/>
    <x v="3"/>
    <n v="521.85599999999999"/>
    <s v="Debit Card"/>
    <m/>
    <n v="1"/>
    <s v="REG100889"/>
    <s v="Cust 4472"/>
    <n v="26.92"/>
    <d v="2024-10-10T00:00:00"/>
    <d v="2024-10-17T00:00:00"/>
    <s v="Sophie"/>
    <n v="469.67040000000003"/>
    <n v="579.84"/>
    <n v="110.1696"/>
    <x v="1"/>
    <x v="7"/>
  </r>
  <r>
    <d v="2024-06-03T00:00:00"/>
    <x v="0"/>
    <x v="1"/>
    <s v="Phone"/>
    <s v="Phone"/>
    <x v="0"/>
    <n v="4"/>
    <n v="194.09"/>
    <s v="Store D"/>
    <s v="Wholesale"/>
    <n v="0.1"/>
    <x v="0"/>
    <n v="698.72400000000005"/>
    <s v="Credit Card"/>
    <s v="WINTER15"/>
    <n v="0"/>
    <s v="REG100890"/>
    <s v="Cust 3899"/>
    <n v="26.35"/>
    <d v="2024-06-03T00:00:00"/>
    <d v="2024-06-07T00:00:00"/>
    <s v="Eric"/>
    <n v="628.85160000000008"/>
    <n v="776.36"/>
    <n v="147.50839999999994"/>
    <x v="1"/>
    <x v="23"/>
  </r>
  <r>
    <d v="2025-03-26T00:00:00"/>
    <x v="1"/>
    <x v="1"/>
    <s v="Phone"/>
    <s v="Phone"/>
    <x v="0"/>
    <n v="3"/>
    <n v="159.30000000000001"/>
    <s v="Store B"/>
    <s v="Wholesale"/>
    <n v="0.05"/>
    <x v="0"/>
    <n v="454.005"/>
    <s v="Credit Card"/>
    <s v="SAVE10"/>
    <n v="1"/>
    <s v="REG100891"/>
    <s v="Cust 9467"/>
    <n v="45.34"/>
    <d v="2025-03-26T00:00:00"/>
    <d v="2025-03-29T00:00:00"/>
    <s v="Sophie"/>
    <n v="431.30474999999996"/>
    <n v="477.90000000000003"/>
    <n v="46.595250000000078"/>
    <x v="1"/>
    <x v="8"/>
  </r>
  <r>
    <d v="2024-04-26T00:00:00"/>
    <x v="2"/>
    <x v="4"/>
    <s v="Monitor"/>
    <s v="Monitor"/>
    <x v="0"/>
    <n v="4"/>
    <n v="303.37"/>
    <s v="Store A"/>
    <s v="Retail"/>
    <n v="0.1"/>
    <x v="3"/>
    <n v="1092.1320000000001"/>
    <s v="Gift Card"/>
    <s v="WINTER15"/>
    <n v="0"/>
    <s v="REG100892"/>
    <s v="Cust 3824"/>
    <n v="30.19"/>
    <d v="2024-04-26T00:00:00"/>
    <d v="2024-05-01T00:00:00"/>
    <s v="Ryan"/>
    <n v="982.91880000000003"/>
    <n v="1213.48"/>
    <n v="230.56119999999999"/>
    <x v="1"/>
    <x v="9"/>
  </r>
  <r>
    <d v="2023-05-05T00:00:00"/>
    <x v="4"/>
    <x v="3"/>
    <s v="Chair"/>
    <s v="Chair"/>
    <x v="1"/>
    <n v="16"/>
    <n v="541.96"/>
    <s v="Store C"/>
    <s v="Retail"/>
    <n v="0.1"/>
    <x v="0"/>
    <n v="7804.2240000000011"/>
    <s v="Cash"/>
    <s v="SAVE10"/>
    <n v="1"/>
    <s v="REG100893"/>
    <s v="Cust 3511"/>
    <n v="9.93"/>
    <d v="2023-05-05T00:00:00"/>
    <d v="2023-05-13T00:00:00"/>
    <s v="Wendy"/>
    <n v="7023.8016000000007"/>
    <n v="8671.36"/>
    <n v="1647.5583999999999"/>
    <x v="1"/>
    <x v="2"/>
  </r>
  <r>
    <d v="2023-09-23T00:00:00"/>
    <x v="4"/>
    <x v="2"/>
    <s v="Desk"/>
    <s v="Desk"/>
    <x v="1"/>
    <n v="7"/>
    <n v="41.57"/>
    <s v="Store D"/>
    <s v="Retail"/>
    <n v="0"/>
    <x v="3"/>
    <n v="290.99"/>
    <s v="Online"/>
    <m/>
    <n v="0"/>
    <s v="REG100894"/>
    <s v="Cust 3356"/>
    <n v="16.59"/>
    <d v="2023-09-23T00:00:00"/>
    <d v="2023-09-29T00:00:00"/>
    <s v="Wendy"/>
    <n v="290.99"/>
    <n v="290.99"/>
    <n v="0"/>
    <x v="0"/>
    <x v="22"/>
  </r>
  <r>
    <d v="2025-03-08T00:00:00"/>
    <x v="1"/>
    <x v="4"/>
    <s v="Monitor"/>
    <s v="Monitor"/>
    <x v="0"/>
    <n v="16"/>
    <n v="217.74"/>
    <s v="Store A"/>
    <s v="Wholesale"/>
    <n v="0.15"/>
    <x v="2"/>
    <n v="2961.2640000000001"/>
    <s v="Cash"/>
    <s v="FREESHIP"/>
    <n v="1"/>
    <s v="REG100895"/>
    <s v="Cust 2840"/>
    <n v="25.11"/>
    <d v="2025-03-08T00:00:00"/>
    <d v="2025-03-15T00:00:00"/>
    <s v="Sophie"/>
    <n v="2517.0744"/>
    <n v="3483.84"/>
    <n v="966.76560000000018"/>
    <x v="2"/>
    <x v="8"/>
  </r>
  <r>
    <d v="2023-01-17T00:00:00"/>
    <x v="2"/>
    <x v="6"/>
    <s v="Printer"/>
    <s v="Printer"/>
    <x v="2"/>
    <n v="15"/>
    <n v="19.170000000000002"/>
    <s v="Store A"/>
    <s v="Wholesale"/>
    <n v="0"/>
    <x v="3"/>
    <n v="287.55"/>
    <s v="Gift Card"/>
    <s v="FREESHIP"/>
    <n v="1"/>
    <s v="REG100896"/>
    <s v="Cust 3811"/>
    <n v="48.93"/>
    <d v="2023-01-17T00:00:00"/>
    <d v="2023-01-27T00:00:00"/>
    <s v="Ryan"/>
    <n v="287.55"/>
    <n v="287.55"/>
    <n v="0"/>
    <x v="0"/>
    <x v="6"/>
  </r>
  <r>
    <d v="2023-04-29T00:00:00"/>
    <x v="3"/>
    <x v="4"/>
    <s v="Monitor"/>
    <s v="Monitor"/>
    <x v="0"/>
    <n v="15"/>
    <n v="293.33999999999997"/>
    <s v="Store D"/>
    <s v="Retail"/>
    <n v="0.1"/>
    <x v="0"/>
    <n v="3960.09"/>
    <s v="Credit Card"/>
    <s v="WINTER15"/>
    <n v="0"/>
    <s v="REG100897"/>
    <s v="Cust 9960"/>
    <n v="21.03"/>
    <d v="2023-04-29T00:00:00"/>
    <d v="2023-05-01T00:00:00"/>
    <s v="Cameron"/>
    <n v="3564.0810000000001"/>
    <n v="4400.0999999999995"/>
    <n v="836.01899999999932"/>
    <x v="1"/>
    <x v="21"/>
  </r>
  <r>
    <d v="2025-02-16T00:00:00"/>
    <x v="1"/>
    <x v="6"/>
    <s v="Printer"/>
    <s v="Printer"/>
    <x v="2"/>
    <n v="18"/>
    <n v="204.58"/>
    <s v="Store C"/>
    <s v="Retail"/>
    <n v="0.1"/>
    <x v="4"/>
    <n v="3314.1959999999999"/>
    <s v="Cash"/>
    <m/>
    <n v="0"/>
    <s v="REG100898"/>
    <s v="Cust 5906"/>
    <n v="16.04"/>
    <d v="2025-02-16T00:00:00"/>
    <d v="2025-02-22T00:00:00"/>
    <s v="Sophie"/>
    <n v="2982.7764000000002"/>
    <n v="3682.44"/>
    <n v="699.66359999999986"/>
    <x v="1"/>
    <x v="3"/>
  </r>
  <r>
    <d v="2023-06-05T00:00:00"/>
    <x v="0"/>
    <x v="6"/>
    <s v="Printer"/>
    <s v="Printer"/>
    <x v="2"/>
    <n v="15"/>
    <n v="324.58"/>
    <s v="Store A"/>
    <s v="Retail"/>
    <n v="0.15"/>
    <x v="4"/>
    <n v="4138.3950000000004"/>
    <s v="Debit Card"/>
    <m/>
    <n v="0"/>
    <s v="REG100899"/>
    <s v="Cust 6579"/>
    <n v="24.57"/>
    <d v="2023-06-05T00:00:00"/>
    <d v="2023-06-09T00:00:00"/>
    <s v="Eric"/>
    <n v="3517.6357500000004"/>
    <n v="4868.7"/>
    <n v="1351.0642499999994"/>
    <x v="2"/>
    <x v="4"/>
  </r>
  <r>
    <d v="2023-08-28T00:00:00"/>
    <x v="1"/>
    <x v="1"/>
    <s v="Phone"/>
    <s v="Phone"/>
    <x v="0"/>
    <n v="11"/>
    <n v="393.61"/>
    <s v="Store D"/>
    <s v="Wholesale"/>
    <n v="0.05"/>
    <x v="2"/>
    <n v="4113.2245000000003"/>
    <s v="Debit Card"/>
    <s v="WINTER15"/>
    <n v="0"/>
    <s v="REG100900"/>
    <s v="Cust 1756"/>
    <n v="32.57"/>
    <d v="2023-08-28T00:00:00"/>
    <d v="2023-09-06T00:00:00"/>
    <s v="Sophie"/>
    <n v="3907.563275"/>
    <n v="4329.71"/>
    <n v="422.14672500000006"/>
    <x v="1"/>
    <x v="18"/>
  </r>
  <r>
    <d v="2023-08-01T00:00:00"/>
    <x v="2"/>
    <x v="6"/>
    <s v="Printer"/>
    <s v="Printer"/>
    <x v="2"/>
    <n v="8"/>
    <n v="141.28"/>
    <s v="Store D"/>
    <s v="Wholesale"/>
    <n v="0.05"/>
    <x v="2"/>
    <n v="1073.7280000000001"/>
    <s v="Online"/>
    <s v="FREESHIP"/>
    <n v="0"/>
    <s v="REG100901"/>
    <s v="Cust 8150"/>
    <n v="28.69"/>
    <d v="2023-08-01T00:00:00"/>
    <d v="2023-08-10T00:00:00"/>
    <s v="Ryan"/>
    <n v="1020.0416"/>
    <n v="1130.24"/>
    <n v="110.19839999999999"/>
    <x v="1"/>
    <x v="18"/>
  </r>
  <r>
    <d v="2025-02-12T00:00:00"/>
    <x v="4"/>
    <x v="1"/>
    <s v="Phone"/>
    <s v="Phone"/>
    <x v="0"/>
    <n v="13"/>
    <n v="227.64"/>
    <s v="Store C"/>
    <s v="Retail"/>
    <n v="0.15"/>
    <x v="2"/>
    <n v="2515.422"/>
    <s v="Cash"/>
    <s v="FREESHIP"/>
    <n v="1"/>
    <s v="REG100902"/>
    <s v="Cust 8999"/>
    <n v="46.67"/>
    <d v="2025-02-12T00:00:00"/>
    <d v="2025-02-20T00:00:00"/>
    <s v="Wendy"/>
    <n v="2138.1086999999998"/>
    <n v="2959.3199999999997"/>
    <n v="821.21129999999994"/>
    <x v="2"/>
    <x v="3"/>
  </r>
  <r>
    <d v="2023-07-03T00:00:00"/>
    <x v="3"/>
    <x v="0"/>
    <s v="Laptop"/>
    <s v="Laptop"/>
    <x v="0"/>
    <n v="19"/>
    <n v="341.07"/>
    <s v="Store C"/>
    <s v="Retail"/>
    <n v="0.1"/>
    <x v="3"/>
    <n v="5832.2969999999996"/>
    <s v="Cash"/>
    <s v="WINTER15"/>
    <n v="0"/>
    <s v="REG100903"/>
    <s v="Cust 4277"/>
    <n v="47.75"/>
    <d v="2023-07-03T00:00:00"/>
    <d v="2023-07-06T00:00:00"/>
    <s v="Cameron"/>
    <n v="5249.0672999999997"/>
    <n v="6480.33"/>
    <n v="1231.2627000000002"/>
    <x v="1"/>
    <x v="11"/>
  </r>
  <r>
    <d v="2025-05-09T00:00:00"/>
    <x v="3"/>
    <x v="1"/>
    <s v="Phone"/>
    <s v="Phone"/>
    <x v="0"/>
    <n v="20"/>
    <n v="324.55"/>
    <s v="Store B"/>
    <s v="Wholesale"/>
    <n v="0.05"/>
    <x v="0"/>
    <n v="6166.45"/>
    <s v="Credit Card"/>
    <s v="WINTER15"/>
    <n v="1"/>
    <s v="REG100904"/>
    <s v="Cust 8751"/>
    <n v="21.21"/>
    <d v="2025-05-09T00:00:00"/>
    <d v="2025-05-13T00:00:00"/>
    <s v="Cameron"/>
    <n v="5858.1274999999996"/>
    <n v="6491"/>
    <n v="632.8725000000004"/>
    <x v="1"/>
    <x v="13"/>
  </r>
  <r>
    <d v="2024-05-05T00:00:00"/>
    <x v="4"/>
    <x v="2"/>
    <s v="Desk"/>
    <s v="Desk"/>
    <x v="1"/>
    <n v="16"/>
    <n v="301.07"/>
    <s v="Store B"/>
    <s v="Retail"/>
    <n v="0.1"/>
    <x v="3"/>
    <n v="4335.4080000000004"/>
    <s v="Gift Card"/>
    <s v="WINTER15"/>
    <n v="0"/>
    <s v="REG100905"/>
    <s v="Cust 2482"/>
    <n v="5.58"/>
    <d v="2024-05-05T00:00:00"/>
    <d v="2024-05-14T00:00:00"/>
    <s v="Wendy"/>
    <n v="3901.8672000000006"/>
    <n v="4817.12"/>
    <n v="915.2527999999993"/>
    <x v="1"/>
    <x v="14"/>
  </r>
  <r>
    <d v="2024-01-08T00:00:00"/>
    <x v="1"/>
    <x v="4"/>
    <s v="Monitor"/>
    <s v="Monitor"/>
    <x v="0"/>
    <n v="13"/>
    <n v="285.27999999999997"/>
    <s v="Store D"/>
    <s v="Retail"/>
    <n v="0"/>
    <x v="0"/>
    <n v="3708.639999999999"/>
    <s v="Gift Card"/>
    <s v="SAVE10"/>
    <n v="0"/>
    <s v="REG100906"/>
    <s v="Cust 4078"/>
    <n v="31.2"/>
    <d v="2024-01-08T00:00:00"/>
    <d v="2024-01-15T00:00:00"/>
    <s v="Sophie"/>
    <n v="3708.639999999999"/>
    <n v="3708.6399999999994"/>
    <n v="0"/>
    <x v="0"/>
    <x v="24"/>
  </r>
  <r>
    <d v="2025-01-13T00:00:00"/>
    <x v="1"/>
    <x v="1"/>
    <s v="Phone"/>
    <s v="Phone"/>
    <x v="0"/>
    <n v="15"/>
    <n v="18.04"/>
    <s v="Store C"/>
    <s v="Wholesale"/>
    <n v="0"/>
    <x v="0"/>
    <n v="270.60000000000002"/>
    <s v="Credit Card"/>
    <s v="SAVE10"/>
    <n v="1"/>
    <s v="REG100907"/>
    <s v="Cust 9091"/>
    <n v="14.35"/>
    <d v="2025-01-13T00:00:00"/>
    <d v="2025-01-17T00:00:00"/>
    <s v="Sophie"/>
    <n v="270.60000000000002"/>
    <n v="270.59999999999997"/>
    <n v="0"/>
    <x v="0"/>
    <x v="12"/>
  </r>
  <r>
    <d v="2025-06-12T00:00:00"/>
    <x v="0"/>
    <x v="6"/>
    <s v="Printer"/>
    <s v="Printer"/>
    <x v="2"/>
    <n v="11"/>
    <n v="495.44"/>
    <s v="Store A"/>
    <s v="Wholesale"/>
    <n v="0"/>
    <x v="5"/>
    <n v="5449.84"/>
    <s v="Gift Card"/>
    <s v="FREESHIP"/>
    <n v="0"/>
    <s v="REG100908"/>
    <s v="Cust 8706"/>
    <n v="44.77"/>
    <d v="2025-06-12T00:00:00"/>
    <d v="2025-06-18T00:00:00"/>
    <s v="Eric"/>
    <n v="5449.84"/>
    <n v="5449.84"/>
    <n v="0"/>
    <x v="0"/>
    <x v="16"/>
  </r>
  <r>
    <d v="2025-04-03T00:00:00"/>
    <x v="2"/>
    <x v="0"/>
    <s v="Laptop"/>
    <s v="Laptop"/>
    <x v="0"/>
    <n v="12"/>
    <n v="276.42"/>
    <s v="Store C"/>
    <s v="Retail"/>
    <n v="0.15"/>
    <x v="3"/>
    <n v="2819.4839999999999"/>
    <s v="Online"/>
    <m/>
    <n v="0"/>
    <s v="REG100909"/>
    <s v="Cust 5042"/>
    <n v="30.57"/>
    <d v="2025-04-03T00:00:00"/>
    <d v="2025-04-12T00:00:00"/>
    <s v="Ryan"/>
    <n v="2396.5614"/>
    <n v="3317.04"/>
    <n v="920.47859999999991"/>
    <x v="2"/>
    <x v="28"/>
  </r>
  <r>
    <d v="2023-01-26T00:00:00"/>
    <x v="3"/>
    <x v="2"/>
    <s v="Desk"/>
    <s v="Desk"/>
    <x v="1"/>
    <n v="7"/>
    <n v="228.32"/>
    <s v="Store C"/>
    <s v="Wholesale"/>
    <n v="0.15"/>
    <x v="0"/>
    <n v="1358.5039999999999"/>
    <s v="Debit Card"/>
    <s v="FREESHIP"/>
    <n v="0"/>
    <s v="REG100910"/>
    <s v="Cust 3319"/>
    <n v="22.16"/>
    <d v="2023-01-26T00:00:00"/>
    <d v="2023-01-30T00:00:00"/>
    <s v="Cameron"/>
    <n v="1154.7284"/>
    <n v="1598.24"/>
    <n v="443.51160000000004"/>
    <x v="2"/>
    <x v="6"/>
  </r>
  <r>
    <d v="2023-01-07T00:00:00"/>
    <x v="3"/>
    <x v="4"/>
    <s v="Monitor"/>
    <s v="Monitor"/>
    <x v="0"/>
    <n v="1"/>
    <n v="498.19"/>
    <s v="Store A"/>
    <s v="Wholesale"/>
    <n v="0.1"/>
    <x v="5"/>
    <n v="448.37099999999998"/>
    <s v="Gift Card"/>
    <s v="SAVE10"/>
    <n v="0"/>
    <s v="REG100911"/>
    <s v="Cust 4139"/>
    <n v="25.55"/>
    <d v="2023-01-07T00:00:00"/>
    <d v="2023-01-11T00:00:00"/>
    <s v="Cameron"/>
    <n v="403.53390000000002"/>
    <n v="498.19"/>
    <n v="94.656099999999981"/>
    <x v="1"/>
    <x v="6"/>
  </r>
  <r>
    <d v="2025-01-15T00:00:00"/>
    <x v="2"/>
    <x v="2"/>
    <s v="Desk"/>
    <s v="Desk"/>
    <x v="1"/>
    <n v="18"/>
    <n v="375.83"/>
    <s v="Store C"/>
    <s v="Retail"/>
    <n v="0.1"/>
    <x v="3"/>
    <n v="6088.4459999999999"/>
    <s v="Gift Card"/>
    <m/>
    <n v="0"/>
    <s v="REG100912"/>
    <s v="Cust 6993"/>
    <n v="15.13"/>
    <d v="2025-01-15T00:00:00"/>
    <d v="2025-01-23T00:00:00"/>
    <s v="Ryan"/>
    <n v="5479.6014000000005"/>
    <n v="6764.94"/>
    <n v="1285.3385999999991"/>
    <x v="1"/>
    <x v="12"/>
  </r>
  <r>
    <d v="2024-11-30T00:00:00"/>
    <x v="0"/>
    <x v="3"/>
    <s v="Chair"/>
    <s v="Chair"/>
    <x v="1"/>
    <n v="18"/>
    <n v="130.36000000000001"/>
    <s v="Store B"/>
    <s v="Wholesale"/>
    <n v="0"/>
    <x v="4"/>
    <n v="2346.48"/>
    <s v="Debit Card"/>
    <s v="SAVE10"/>
    <n v="0"/>
    <s v="REG100913"/>
    <s v="Cust 8397"/>
    <n v="34.6"/>
    <d v="2024-11-30T00:00:00"/>
    <d v="2024-12-05T00:00:00"/>
    <s v="Eric"/>
    <n v="2346.48"/>
    <n v="2346.4800000000005"/>
    <n v="0"/>
    <x v="0"/>
    <x v="20"/>
  </r>
  <r>
    <d v="2024-02-26T00:00:00"/>
    <x v="0"/>
    <x v="4"/>
    <s v="Monitor"/>
    <s v="Monitor"/>
    <x v="0"/>
    <n v="13"/>
    <n v="585.88"/>
    <s v="Store B"/>
    <s v="Retail"/>
    <n v="0.15"/>
    <x v="3"/>
    <n v="6473.9739999999993"/>
    <s v="Credit Card"/>
    <s v="WINTER15"/>
    <n v="0"/>
    <s v="REG100914"/>
    <s v="Cust 3082"/>
    <n v="42.18"/>
    <d v="2024-02-26T00:00:00"/>
    <d v="2024-03-07T00:00:00"/>
    <s v="Eric"/>
    <n v="5502.8778999999995"/>
    <n v="7616.44"/>
    <n v="2113.5621000000001"/>
    <x v="2"/>
    <x v="5"/>
  </r>
  <r>
    <d v="2025-06-11T00:00:00"/>
    <x v="2"/>
    <x v="2"/>
    <s v="Desk"/>
    <s v="Desk"/>
    <x v="1"/>
    <n v="19"/>
    <n v="278.04000000000002"/>
    <s v="Store B"/>
    <s v="Retail"/>
    <n v="0.05"/>
    <x v="5"/>
    <n v="5018.6220000000003"/>
    <s v="Credit Card"/>
    <s v="SAVE10"/>
    <n v="0"/>
    <s v="REG100915"/>
    <s v="Cust 1156"/>
    <n v="16.399999999999999"/>
    <d v="2025-06-11T00:00:00"/>
    <d v="2025-06-15T00:00:00"/>
    <s v="Ryan"/>
    <n v="4767.6909000000005"/>
    <n v="5282.76"/>
    <n v="515.06909999999971"/>
    <x v="1"/>
    <x v="16"/>
  </r>
  <r>
    <d v="2023-11-29T00:00:00"/>
    <x v="3"/>
    <x v="1"/>
    <s v="Phone"/>
    <s v="Phone"/>
    <x v="0"/>
    <n v="11"/>
    <n v="267.91000000000003"/>
    <s v="Store B"/>
    <s v="Retail"/>
    <n v="0"/>
    <x v="0"/>
    <n v="2947.01"/>
    <s v="Debit Card"/>
    <m/>
    <n v="0"/>
    <s v="REG100916"/>
    <s v="Cust 4720"/>
    <n v="12.05"/>
    <d v="2023-11-29T00:00:00"/>
    <d v="2023-12-04T00:00:00"/>
    <s v="Cameron"/>
    <n v="2947.01"/>
    <n v="2947.01"/>
    <n v="0"/>
    <x v="0"/>
    <x v="15"/>
  </r>
  <r>
    <d v="2024-06-27T00:00:00"/>
    <x v="1"/>
    <x v="3"/>
    <s v="Chair"/>
    <s v="Chair"/>
    <x v="1"/>
    <n v="12"/>
    <n v="369.54"/>
    <s v="Store B"/>
    <s v="Retail"/>
    <n v="0.05"/>
    <x v="4"/>
    <n v="4212.7560000000003"/>
    <s v="Debit Card"/>
    <s v="WINTER15"/>
    <n v="1"/>
    <s v="REG100917"/>
    <s v="Cust 7034"/>
    <n v="39.159999999999997"/>
    <d v="2024-06-27T00:00:00"/>
    <d v="2024-07-05T00:00:00"/>
    <s v="Sophie"/>
    <n v="4002.1181999999999"/>
    <n v="4434.4800000000005"/>
    <n v="432.36180000000058"/>
    <x v="1"/>
    <x v="23"/>
  </r>
  <r>
    <d v="2024-05-20T00:00:00"/>
    <x v="1"/>
    <x v="4"/>
    <s v="Monitor"/>
    <s v="Monitor"/>
    <x v="0"/>
    <n v="13"/>
    <n v="284.3"/>
    <s v="Store A"/>
    <s v="Wholesale"/>
    <n v="0.05"/>
    <x v="5"/>
    <n v="3511.105"/>
    <s v="Online"/>
    <s v="WINTER15"/>
    <n v="0"/>
    <s v="REG100918"/>
    <s v="Cust 7218"/>
    <n v="48.73"/>
    <d v="2024-05-20T00:00:00"/>
    <d v="2024-05-27T00:00:00"/>
    <s v="Sophie"/>
    <n v="3335.5497499999997"/>
    <n v="3695.9"/>
    <n v="360.35025000000041"/>
    <x v="1"/>
    <x v="14"/>
  </r>
  <r>
    <d v="2023-06-17T00:00:00"/>
    <x v="4"/>
    <x v="3"/>
    <s v="Chair"/>
    <s v="Chair"/>
    <x v="1"/>
    <n v="12"/>
    <n v="427.1"/>
    <s v="Store C"/>
    <s v="Retail"/>
    <n v="0"/>
    <x v="3"/>
    <n v="5125.2000000000007"/>
    <s v="Gift Card"/>
    <s v="WINTER15"/>
    <n v="1"/>
    <s v="REG100919"/>
    <s v="Cust 2651"/>
    <n v="8.11"/>
    <d v="2023-06-17T00:00:00"/>
    <d v="2023-06-22T00:00:00"/>
    <s v="Wendy"/>
    <n v="5125.2000000000007"/>
    <n v="5125.2000000000007"/>
    <n v="0"/>
    <x v="0"/>
    <x v="4"/>
  </r>
  <r>
    <d v="2024-11-06T00:00:00"/>
    <x v="0"/>
    <x v="4"/>
    <s v="Monitor"/>
    <s v="Monitor"/>
    <x v="0"/>
    <n v="11"/>
    <n v="200.3"/>
    <s v="Store D"/>
    <s v="Retail"/>
    <n v="0.1"/>
    <x v="0"/>
    <n v="1982.97"/>
    <s v="Debit Card"/>
    <s v="WINTER15"/>
    <n v="1"/>
    <s v="REG100920"/>
    <s v="Cust 1252"/>
    <n v="48.27"/>
    <d v="2024-11-06T00:00:00"/>
    <d v="2024-11-13T00:00:00"/>
    <s v="Eric"/>
    <n v="1784.673"/>
    <n v="2203.3000000000002"/>
    <n v="418.62700000000018"/>
    <x v="1"/>
    <x v="20"/>
  </r>
  <r>
    <d v="2025-02-12T00:00:00"/>
    <x v="2"/>
    <x v="6"/>
    <s v="Printer"/>
    <s v="Printer"/>
    <x v="2"/>
    <n v="4"/>
    <n v="75.8"/>
    <s v="Store C"/>
    <s v="Retail"/>
    <n v="0.15"/>
    <x v="3"/>
    <n v="257.72000000000003"/>
    <s v="Credit Card"/>
    <s v="SAVE10"/>
    <n v="0"/>
    <s v="REG100921"/>
    <s v="Cust 6679"/>
    <n v="12.22"/>
    <d v="2025-02-12T00:00:00"/>
    <d v="2025-02-20T00:00:00"/>
    <s v="Ryan"/>
    <n v="219.06200000000001"/>
    <n v="303.2"/>
    <n v="84.137999999999977"/>
    <x v="2"/>
    <x v="3"/>
  </r>
  <r>
    <d v="2025-04-09T00:00:00"/>
    <x v="2"/>
    <x v="4"/>
    <s v="Monitor"/>
    <s v="Monitor"/>
    <x v="0"/>
    <n v="4"/>
    <n v="518.42999999999995"/>
    <s v="Store A"/>
    <s v="Wholesale"/>
    <n v="0"/>
    <x v="1"/>
    <n v="2073.7199999999998"/>
    <s v="Online"/>
    <s v="SAVE10"/>
    <n v="0"/>
    <s v="REG100922"/>
    <s v="Cust 1656"/>
    <n v="30.86"/>
    <d v="2025-04-09T00:00:00"/>
    <d v="2025-04-14T00:00:00"/>
    <s v="Ryan"/>
    <n v="2073.7199999999998"/>
    <n v="2073.7199999999998"/>
    <n v="0"/>
    <x v="0"/>
    <x v="28"/>
  </r>
  <r>
    <d v="2024-08-18T00:00:00"/>
    <x v="2"/>
    <x v="5"/>
    <s v="Tablet"/>
    <s v="Tablet"/>
    <x v="0"/>
    <n v="19"/>
    <n v="181.18"/>
    <s v="Store A"/>
    <s v="Wholesale"/>
    <n v="0.05"/>
    <x v="3"/>
    <n v="3270.299"/>
    <s v="Credit Card"/>
    <s v="FREESHIP"/>
    <n v="0"/>
    <s v="REG100923"/>
    <s v="Cust 9361"/>
    <n v="12.04"/>
    <d v="2024-08-18T00:00:00"/>
    <d v="2024-08-26T00:00:00"/>
    <s v="Ryan"/>
    <n v="3106.7840499999998"/>
    <n v="3442.42"/>
    <n v="335.63595000000032"/>
    <x v="1"/>
    <x v="29"/>
  </r>
  <r>
    <d v="2023-02-20T00:00:00"/>
    <x v="3"/>
    <x v="0"/>
    <s v="Laptop"/>
    <s v="Laptop"/>
    <x v="0"/>
    <n v="3"/>
    <n v="197.17"/>
    <s v="Store A"/>
    <s v="Wholesale"/>
    <n v="0.05"/>
    <x v="2"/>
    <n v="561.93449999999996"/>
    <s v="Gift Card"/>
    <s v="FREESHIP"/>
    <n v="1"/>
    <s v="REG100924"/>
    <s v="Cust 4270"/>
    <n v="30.29"/>
    <d v="2023-02-20T00:00:00"/>
    <d v="2023-02-23T00:00:00"/>
    <s v="Cameron"/>
    <n v="533.83777499999997"/>
    <n v="591.51"/>
    <n v="57.672225000000026"/>
    <x v="1"/>
    <x v="0"/>
  </r>
  <r>
    <d v="2025-04-28T00:00:00"/>
    <x v="2"/>
    <x v="0"/>
    <s v="Laptop"/>
    <s v="Laptop"/>
    <x v="0"/>
    <n v="6"/>
    <n v="81.96"/>
    <s v="Store D"/>
    <s v="Wholesale"/>
    <n v="0.05"/>
    <x v="4"/>
    <n v="467.17200000000003"/>
    <s v="Credit Card"/>
    <s v="WINTER15"/>
    <n v="0"/>
    <s v="REG100925"/>
    <s v="Cust 3049"/>
    <n v="26.43"/>
    <d v="2025-04-28T00:00:00"/>
    <d v="2025-05-08T00:00:00"/>
    <s v="Ryan"/>
    <n v="443.8134"/>
    <n v="491.76"/>
    <n v="47.946599999999989"/>
    <x v="1"/>
    <x v="28"/>
  </r>
  <r>
    <d v="2023-08-10T00:00:00"/>
    <x v="3"/>
    <x v="6"/>
    <s v="Printer"/>
    <s v="Printer"/>
    <x v="2"/>
    <n v="3"/>
    <n v="59.78"/>
    <s v="Store C"/>
    <s v="Retail"/>
    <n v="0"/>
    <x v="0"/>
    <n v="179.34"/>
    <s v="Online"/>
    <s v="SAVE10"/>
    <n v="0"/>
    <s v="REG100926"/>
    <s v="Cust 6415"/>
    <n v="46.98"/>
    <d v="2023-08-10T00:00:00"/>
    <d v="2023-08-13T00:00:00"/>
    <s v="Cameron"/>
    <n v="179.34"/>
    <n v="179.34"/>
    <n v="0"/>
    <x v="0"/>
    <x v="18"/>
  </r>
  <r>
    <d v="2024-06-24T00:00:00"/>
    <x v="2"/>
    <x v="5"/>
    <s v="Tablet"/>
    <s v="Tablet"/>
    <x v="0"/>
    <n v="12"/>
    <n v="211.66"/>
    <s v="Store A"/>
    <s v="Wholesale"/>
    <n v="0.1"/>
    <x v="3"/>
    <n v="2285.9279999999999"/>
    <s v="Credit Card"/>
    <s v="SAVE10"/>
    <n v="0"/>
    <s v="REG100927"/>
    <s v="Cust 9856"/>
    <n v="10.36"/>
    <d v="2024-06-24T00:00:00"/>
    <d v="2024-06-29T00:00:00"/>
    <s v="Ryan"/>
    <n v="2057.3352"/>
    <n v="2539.92"/>
    <n v="482.58480000000009"/>
    <x v="1"/>
    <x v="23"/>
  </r>
  <r>
    <d v="2023-08-06T00:00:00"/>
    <x v="3"/>
    <x v="6"/>
    <s v="Printer"/>
    <s v="Printer"/>
    <x v="2"/>
    <n v="13"/>
    <n v="69.97"/>
    <s v="Store A"/>
    <s v="Wholesale"/>
    <n v="0.05"/>
    <x v="1"/>
    <n v="864.12950000000001"/>
    <s v="Debit Card"/>
    <m/>
    <n v="0"/>
    <s v="REG100928"/>
    <s v="Cust 3106"/>
    <n v="27.66"/>
    <d v="2023-08-06T00:00:00"/>
    <d v="2023-08-12T00:00:00"/>
    <s v="Cameron"/>
    <n v="820.92302499999994"/>
    <n v="909.61"/>
    <n v="88.686975000000075"/>
    <x v="1"/>
    <x v="18"/>
  </r>
  <r>
    <d v="2024-11-26T00:00:00"/>
    <x v="0"/>
    <x v="5"/>
    <s v="Tablet"/>
    <s v="Tablet"/>
    <x v="0"/>
    <n v="7"/>
    <n v="438.33"/>
    <s v="Store C"/>
    <s v="Retail"/>
    <n v="0.1"/>
    <x v="2"/>
    <n v="2761.4789999999998"/>
    <s v="Cash"/>
    <m/>
    <n v="1"/>
    <s v="REG100929"/>
    <s v="Cust 3259"/>
    <n v="11.57"/>
    <d v="2024-11-26T00:00:00"/>
    <d v="2024-11-30T00:00:00"/>
    <s v="Eric"/>
    <n v="2485.3310999999999"/>
    <n v="3068.31"/>
    <n v="582.97890000000007"/>
    <x v="1"/>
    <x v="20"/>
  </r>
  <r>
    <d v="2025-02-06T00:00:00"/>
    <x v="0"/>
    <x v="0"/>
    <s v="Laptop"/>
    <s v="Laptop"/>
    <x v="0"/>
    <n v="7"/>
    <n v="241.81"/>
    <s v="Store C"/>
    <s v="Wholesale"/>
    <n v="0.1"/>
    <x v="1"/>
    <n v="1523.403"/>
    <s v="Debit Card"/>
    <s v="FREESHIP"/>
    <n v="0"/>
    <s v="REG100930"/>
    <s v="Cust 7107"/>
    <n v="32.94"/>
    <d v="2025-02-06T00:00:00"/>
    <d v="2025-02-10T00:00:00"/>
    <s v="Eric"/>
    <n v="1371.0626999999999"/>
    <n v="1692.67"/>
    <n v="321.60730000000012"/>
    <x v="1"/>
    <x v="3"/>
  </r>
  <r>
    <d v="2025-03-20T00:00:00"/>
    <x v="0"/>
    <x v="2"/>
    <s v="Desk"/>
    <s v="Desk"/>
    <x v="1"/>
    <n v="3"/>
    <n v="466.64"/>
    <s v="Store A"/>
    <s v="Retail"/>
    <n v="0.15"/>
    <x v="5"/>
    <n v="1189.932"/>
    <s v="Online"/>
    <s v="FREESHIP"/>
    <n v="0"/>
    <s v="REG100931"/>
    <s v="Cust 7542"/>
    <n v="30.33"/>
    <d v="2025-03-20T00:00:00"/>
    <d v="2025-03-26T00:00:00"/>
    <s v="Eric"/>
    <n v="1011.4422"/>
    <n v="1399.92"/>
    <n v="388.47780000000012"/>
    <x v="2"/>
    <x v="8"/>
  </r>
  <r>
    <d v="2024-09-10T00:00:00"/>
    <x v="1"/>
    <x v="4"/>
    <s v="Monitor"/>
    <s v="Monitor"/>
    <x v="0"/>
    <n v="9"/>
    <n v="472.84"/>
    <s v="Store D"/>
    <s v="Retail"/>
    <n v="0.05"/>
    <x v="1"/>
    <n v="4042.7819999999988"/>
    <s v="Credit Card"/>
    <s v="WINTER15"/>
    <n v="0"/>
    <s v="REG100932"/>
    <s v="Cust 6330"/>
    <n v="48.13"/>
    <d v="2024-09-10T00:00:00"/>
    <d v="2024-09-12T00:00:00"/>
    <s v="Sophie"/>
    <n v="3840.6428999999985"/>
    <n v="4255.5599999999995"/>
    <n v="414.91710000000103"/>
    <x v="1"/>
    <x v="26"/>
  </r>
  <r>
    <d v="2025-02-20T00:00:00"/>
    <x v="1"/>
    <x v="3"/>
    <s v="Chair"/>
    <s v="Chair"/>
    <x v="1"/>
    <n v="19"/>
    <n v="586.49"/>
    <s v="Store A"/>
    <s v="Wholesale"/>
    <n v="0.1"/>
    <x v="0"/>
    <n v="10028.978999999999"/>
    <s v="Cash"/>
    <s v="SAVE10"/>
    <n v="0"/>
    <s v="REG100933"/>
    <s v="Cust 1469"/>
    <n v="19.850000000000001"/>
    <d v="2025-02-20T00:00:00"/>
    <d v="2025-03-02T00:00:00"/>
    <s v="Sophie"/>
    <n v="9026.0810999999994"/>
    <n v="11143.31"/>
    <n v="2117.2289000000001"/>
    <x v="1"/>
    <x v="3"/>
  </r>
  <r>
    <d v="2023-01-20T00:00:00"/>
    <x v="0"/>
    <x v="3"/>
    <s v="Chair"/>
    <s v="Chair"/>
    <x v="1"/>
    <n v="15"/>
    <n v="462.85"/>
    <s v="Store A"/>
    <s v="Retail"/>
    <n v="0.15"/>
    <x v="4"/>
    <n v="5901.3374999999996"/>
    <s v="Credit Card"/>
    <m/>
    <n v="0"/>
    <s v="REG100934"/>
    <s v="Cust 3698"/>
    <n v="46.12"/>
    <d v="2023-01-20T00:00:00"/>
    <d v="2023-01-26T00:00:00"/>
    <s v="Eric"/>
    <n v="5016.1368749999992"/>
    <n v="6942.75"/>
    <n v="1926.6131250000008"/>
    <x v="2"/>
    <x v="6"/>
  </r>
  <r>
    <d v="2024-03-03T00:00:00"/>
    <x v="0"/>
    <x v="0"/>
    <s v="Laptop"/>
    <s v="Laptop"/>
    <x v="0"/>
    <n v="1"/>
    <n v="176.17"/>
    <s v="Store C"/>
    <s v="Retail"/>
    <n v="0.05"/>
    <x v="1"/>
    <n v="167.36150000000001"/>
    <s v="Debit Card"/>
    <m/>
    <n v="1"/>
    <s v="REG100935"/>
    <s v="Cust 9833"/>
    <n v="35.770000000000003"/>
    <d v="2024-03-03T00:00:00"/>
    <d v="2024-03-06T00:00:00"/>
    <s v="Eric"/>
    <n v="158.993425"/>
    <n v="176.17"/>
    <n v="17.176574999999985"/>
    <x v="1"/>
    <x v="25"/>
  </r>
  <r>
    <d v="2023-11-27T00:00:00"/>
    <x v="4"/>
    <x v="6"/>
    <s v="Printer"/>
    <s v="Printer"/>
    <x v="2"/>
    <n v="1"/>
    <n v="71.239999999999995"/>
    <s v="Store A"/>
    <s v="Retail"/>
    <n v="0.1"/>
    <x v="3"/>
    <n v="64.116"/>
    <s v="Debit Card"/>
    <m/>
    <n v="1"/>
    <s v="REG100936"/>
    <s v="Cust 1074"/>
    <n v="43.69"/>
    <d v="2023-11-27T00:00:00"/>
    <d v="2023-12-03T00:00:00"/>
    <s v="Wendy"/>
    <n v="57.7044"/>
    <n v="71.239999999999995"/>
    <n v="13.535599999999995"/>
    <x v="1"/>
    <x v="15"/>
  </r>
  <r>
    <d v="2024-11-10T00:00:00"/>
    <x v="0"/>
    <x v="0"/>
    <s v="Laptop"/>
    <s v="Laptop"/>
    <x v="0"/>
    <n v="6"/>
    <n v="62.43"/>
    <s v="Store A"/>
    <s v="Wholesale"/>
    <n v="0"/>
    <x v="4"/>
    <n v="374.58"/>
    <s v="Gift Card"/>
    <s v="WINTER15"/>
    <n v="0"/>
    <s v="REG100937"/>
    <s v="Cust 7891"/>
    <n v="17.850000000000001"/>
    <d v="2024-11-10T00:00:00"/>
    <d v="2024-11-18T00:00:00"/>
    <s v="Eric"/>
    <n v="374.58"/>
    <n v="374.58"/>
    <n v="0"/>
    <x v="0"/>
    <x v="20"/>
  </r>
  <r>
    <d v="2025-02-04T00:00:00"/>
    <x v="3"/>
    <x v="5"/>
    <s v="Tablet"/>
    <s v="Tablet"/>
    <x v="0"/>
    <n v="7"/>
    <n v="569.89"/>
    <s v="Store D"/>
    <s v="Wholesale"/>
    <n v="0.1"/>
    <x v="1"/>
    <n v="3590.3069999999998"/>
    <s v="Cash"/>
    <s v="SAVE10"/>
    <n v="0"/>
    <s v="REG100938"/>
    <s v="Cust 3373"/>
    <n v="26.81"/>
    <d v="2025-02-04T00:00:00"/>
    <d v="2025-02-08T00:00:00"/>
    <s v="Cameron"/>
    <n v="3231.2763"/>
    <n v="3989.23"/>
    <n v="757.95370000000003"/>
    <x v="1"/>
    <x v="3"/>
  </r>
  <r>
    <d v="2024-02-21T00:00:00"/>
    <x v="0"/>
    <x v="2"/>
    <s v="Desk"/>
    <s v="Desk"/>
    <x v="1"/>
    <n v="5"/>
    <n v="34.06"/>
    <s v="Store D"/>
    <s v="Wholesale"/>
    <n v="0.05"/>
    <x v="4"/>
    <n v="161.785"/>
    <s v="Gift Card"/>
    <m/>
    <n v="0"/>
    <s v="REG100939"/>
    <s v="Cust 9045"/>
    <n v="19.72"/>
    <d v="2024-02-21T00:00:00"/>
    <d v="2024-03-02T00:00:00"/>
    <s v="Eric"/>
    <n v="153.69574999999998"/>
    <n v="170.3"/>
    <n v="16.604250000000036"/>
    <x v="1"/>
    <x v="5"/>
  </r>
  <r>
    <d v="2023-03-24T00:00:00"/>
    <x v="0"/>
    <x v="2"/>
    <s v="Desk"/>
    <s v="Desk"/>
    <x v="1"/>
    <n v="17"/>
    <n v="502.6"/>
    <s v="Store A"/>
    <s v="Wholesale"/>
    <n v="0.1"/>
    <x v="2"/>
    <n v="7689.7800000000007"/>
    <s v="Cash"/>
    <m/>
    <n v="0"/>
    <s v="REG100940"/>
    <s v="Cust 9197"/>
    <n v="15.38"/>
    <d v="2023-03-24T00:00:00"/>
    <d v="2023-03-29T00:00:00"/>
    <s v="Eric"/>
    <n v="6920.8020000000006"/>
    <n v="8544.2000000000007"/>
    <n v="1623.3980000000001"/>
    <x v="1"/>
    <x v="17"/>
  </r>
  <r>
    <d v="2024-05-05T00:00:00"/>
    <x v="1"/>
    <x v="6"/>
    <s v="Printer"/>
    <s v="Printer"/>
    <x v="2"/>
    <n v="3"/>
    <n v="89.72"/>
    <s v="Store D"/>
    <s v="Wholesale"/>
    <n v="0.1"/>
    <x v="1"/>
    <n v="242.244"/>
    <s v="Gift Card"/>
    <s v="WINTER15"/>
    <n v="0"/>
    <s v="REG100941"/>
    <s v="Cust 6920"/>
    <n v="32.67"/>
    <d v="2024-05-05T00:00:00"/>
    <d v="2024-05-13T00:00:00"/>
    <s v="Sophie"/>
    <n v="218.0196"/>
    <n v="269.15999999999997"/>
    <n v="51.140399999999971"/>
    <x v="1"/>
    <x v="14"/>
  </r>
  <r>
    <d v="2024-10-04T00:00:00"/>
    <x v="1"/>
    <x v="0"/>
    <s v="Laptop"/>
    <s v="Laptop"/>
    <x v="0"/>
    <n v="18"/>
    <n v="403.53"/>
    <s v="Store D"/>
    <s v="Wholesale"/>
    <n v="0.1"/>
    <x v="1"/>
    <n v="6537.1859999999997"/>
    <s v="Online"/>
    <m/>
    <n v="0"/>
    <s v="REG100942"/>
    <s v="Cust 9652"/>
    <n v="35.729999999999997"/>
    <d v="2024-10-04T00:00:00"/>
    <d v="2024-10-07T00:00:00"/>
    <s v="Sophie"/>
    <n v="5883.4673999999995"/>
    <n v="7263.5399999999991"/>
    <n v="1380.0725999999995"/>
    <x v="1"/>
    <x v="7"/>
  </r>
  <r>
    <d v="2025-01-04T00:00:00"/>
    <x v="1"/>
    <x v="3"/>
    <s v="Chair"/>
    <s v="Chair"/>
    <x v="1"/>
    <n v="2"/>
    <n v="194.97"/>
    <s v="Store A"/>
    <s v="Retail"/>
    <n v="0"/>
    <x v="4"/>
    <n v="389.94"/>
    <s v="Credit Card"/>
    <s v="SAVE10"/>
    <n v="0"/>
    <s v="REG100943"/>
    <s v="Cust 4189"/>
    <n v="9.89"/>
    <d v="2025-01-04T00:00:00"/>
    <d v="2025-01-14T00:00:00"/>
    <s v="Sophie"/>
    <n v="389.94"/>
    <n v="389.94"/>
    <n v="0"/>
    <x v="0"/>
    <x v="12"/>
  </r>
  <r>
    <d v="2024-12-23T00:00:00"/>
    <x v="3"/>
    <x v="6"/>
    <s v="Printer"/>
    <s v="Printer"/>
    <x v="2"/>
    <n v="12"/>
    <n v="171.91"/>
    <s v="Store B"/>
    <s v="Retail"/>
    <n v="0.05"/>
    <x v="0"/>
    <n v="1959.7739999999999"/>
    <s v="Credit Card"/>
    <s v="WINTER15"/>
    <n v="0"/>
    <s v="REG100944"/>
    <s v="Cust 6267"/>
    <n v="34.36"/>
    <d v="2024-12-23T00:00:00"/>
    <d v="2025-01-02T00:00:00"/>
    <s v="Cameron"/>
    <n v="1861.7852999999998"/>
    <n v="2062.92"/>
    <n v="201.13470000000029"/>
    <x v="1"/>
    <x v="1"/>
  </r>
  <r>
    <d v="2023-01-29T00:00:00"/>
    <x v="3"/>
    <x v="0"/>
    <s v="Laptop"/>
    <s v="Laptop"/>
    <x v="0"/>
    <n v="17"/>
    <n v="535.88"/>
    <s v="Store A"/>
    <s v="Wholesale"/>
    <n v="0.05"/>
    <x v="5"/>
    <n v="8654.4619999999995"/>
    <s v="Gift Card"/>
    <m/>
    <n v="0"/>
    <s v="REG100945"/>
    <s v="Cust 7753"/>
    <n v="26.12"/>
    <d v="2023-01-29T00:00:00"/>
    <d v="2023-02-08T00:00:00"/>
    <s v="Cameron"/>
    <n v="8221.7388999999985"/>
    <n v="9109.9599999999991"/>
    <n v="888.22110000000066"/>
    <x v="1"/>
    <x v="6"/>
  </r>
  <r>
    <d v="2024-08-11T00:00:00"/>
    <x v="4"/>
    <x v="3"/>
    <s v="Chair"/>
    <s v="Chair"/>
    <x v="1"/>
    <n v="12"/>
    <n v="248.13"/>
    <s v="Store A"/>
    <s v="Retail"/>
    <n v="0.05"/>
    <x v="1"/>
    <n v="2828.6819999999998"/>
    <s v="Cash"/>
    <s v="FREESHIP"/>
    <n v="0"/>
    <s v="REG100946"/>
    <s v="Cust 2789"/>
    <n v="26.03"/>
    <d v="2024-08-11T00:00:00"/>
    <d v="2024-08-17T00:00:00"/>
    <s v="Wendy"/>
    <n v="2687.2478999999998"/>
    <n v="2977.56"/>
    <n v="290.3121000000001"/>
    <x v="1"/>
    <x v="29"/>
  </r>
  <r>
    <d v="2023-11-25T00:00:00"/>
    <x v="2"/>
    <x v="1"/>
    <s v="Phone"/>
    <s v="Phone"/>
    <x v="0"/>
    <n v="2"/>
    <n v="482.1"/>
    <s v="Store C"/>
    <s v="Retail"/>
    <n v="0"/>
    <x v="3"/>
    <n v="964.2"/>
    <s v="Online"/>
    <s v="FREESHIP"/>
    <n v="0"/>
    <s v="REG100947"/>
    <s v="Cust 3527"/>
    <n v="45.35"/>
    <d v="2023-11-25T00:00:00"/>
    <d v="2023-11-30T00:00:00"/>
    <s v="Ryan"/>
    <n v="964.2"/>
    <n v="964.2"/>
    <n v="0"/>
    <x v="0"/>
    <x v="15"/>
  </r>
  <r>
    <d v="2025-03-04T00:00:00"/>
    <x v="2"/>
    <x v="4"/>
    <s v="Monitor"/>
    <s v="Monitor"/>
    <x v="0"/>
    <n v="18"/>
    <n v="382.01"/>
    <s v="Store D"/>
    <s v="Wholesale"/>
    <n v="0.1"/>
    <x v="1"/>
    <n v="6188.5620000000008"/>
    <s v="Online"/>
    <s v="SAVE10"/>
    <n v="0"/>
    <s v="REG100948"/>
    <s v="Cust 9538"/>
    <n v="36.549999999999997"/>
    <d v="2025-03-04T00:00:00"/>
    <d v="2025-03-08T00:00:00"/>
    <s v="Ryan"/>
    <n v="5569.7058000000006"/>
    <n v="6876.18"/>
    <n v="1306.4741999999997"/>
    <x v="1"/>
    <x v="8"/>
  </r>
  <r>
    <d v="2025-02-21T00:00:00"/>
    <x v="2"/>
    <x v="1"/>
    <s v="Phone"/>
    <s v="Phone"/>
    <x v="0"/>
    <n v="13"/>
    <n v="135.97999999999999"/>
    <s v="Store C"/>
    <s v="Wholesale"/>
    <n v="0"/>
    <x v="2"/>
    <n v="1767.74"/>
    <s v="Online"/>
    <s v="WINTER15"/>
    <n v="0"/>
    <s v="REG100949"/>
    <s v="Cust 7195"/>
    <n v="28.35"/>
    <d v="2025-02-21T00:00:00"/>
    <d v="2025-03-01T00:00:00"/>
    <s v="Ryan"/>
    <n v="1767.74"/>
    <n v="1767.7399999999998"/>
    <n v="0"/>
    <x v="0"/>
    <x v="3"/>
  </r>
  <r>
    <d v="2025-02-26T00:00:00"/>
    <x v="0"/>
    <x v="2"/>
    <s v="Desk"/>
    <s v="Desk"/>
    <x v="1"/>
    <n v="9"/>
    <n v="562.54"/>
    <s v="Store A"/>
    <s v="Wholesale"/>
    <n v="0"/>
    <x v="1"/>
    <n v="5062.8599999999997"/>
    <s v="Credit Card"/>
    <s v="FREESHIP"/>
    <n v="0"/>
    <s v="REG100950"/>
    <s v="Cust 8929"/>
    <n v="30.27"/>
    <d v="2025-02-26T00:00:00"/>
    <d v="2025-02-28T00:00:00"/>
    <s v="Eric"/>
    <n v="5062.8599999999997"/>
    <n v="5062.8599999999997"/>
    <n v="0"/>
    <x v="0"/>
    <x v="3"/>
  </r>
  <r>
    <d v="2024-03-29T00:00:00"/>
    <x v="0"/>
    <x v="4"/>
    <s v="Monitor"/>
    <s v="Monitor"/>
    <x v="0"/>
    <n v="6"/>
    <n v="509.48"/>
    <s v="Store B"/>
    <s v="Wholesale"/>
    <n v="0"/>
    <x v="1"/>
    <n v="3056.88"/>
    <s v="Debit Card"/>
    <s v="WINTER15"/>
    <n v="0"/>
    <s v="REG100951"/>
    <s v="Cust 8931"/>
    <n v="35.92"/>
    <d v="2024-03-29T00:00:00"/>
    <d v="2024-04-06T00:00:00"/>
    <s v="Eric"/>
    <n v="3056.88"/>
    <n v="3056.88"/>
    <n v="0"/>
    <x v="0"/>
    <x v="25"/>
  </r>
  <r>
    <d v="2025-05-28T00:00:00"/>
    <x v="4"/>
    <x v="2"/>
    <s v="Desk"/>
    <s v="Desk"/>
    <x v="1"/>
    <n v="3"/>
    <n v="470.09"/>
    <s v="Store B"/>
    <s v="Wholesale"/>
    <n v="0"/>
    <x v="0"/>
    <n v="1410.27"/>
    <s v="Gift Card"/>
    <m/>
    <n v="0"/>
    <s v="REG100952"/>
    <s v="Cust 1424"/>
    <n v="38.29"/>
    <d v="2025-05-28T00:00:00"/>
    <d v="2025-06-01T00:00:00"/>
    <s v="Wendy"/>
    <n v="1410.27"/>
    <n v="1410.27"/>
    <n v="0"/>
    <x v="0"/>
    <x v="13"/>
  </r>
  <r>
    <d v="2024-05-24T00:00:00"/>
    <x v="4"/>
    <x v="6"/>
    <s v="Printer"/>
    <s v="Printer"/>
    <x v="2"/>
    <n v="10"/>
    <n v="280.8"/>
    <s v="Store C"/>
    <s v="Retail"/>
    <n v="0"/>
    <x v="1"/>
    <n v="2808"/>
    <s v="Credit Card"/>
    <s v="SAVE10"/>
    <n v="0"/>
    <s v="REG100953"/>
    <s v="Cust 6723"/>
    <n v="49.98"/>
    <d v="2024-05-24T00:00:00"/>
    <d v="2024-05-30T00:00:00"/>
    <s v="Wendy"/>
    <n v="2808"/>
    <n v="2808"/>
    <n v="0"/>
    <x v="0"/>
    <x v="14"/>
  </r>
  <r>
    <d v="2023-05-12T00:00:00"/>
    <x v="1"/>
    <x v="3"/>
    <s v="Chair"/>
    <s v="Chair"/>
    <x v="1"/>
    <n v="9"/>
    <n v="251.43"/>
    <s v="Store C"/>
    <s v="Retail"/>
    <n v="0.1"/>
    <x v="2"/>
    <n v="2036.5830000000001"/>
    <s v="Credit Card"/>
    <m/>
    <n v="0"/>
    <s v="REG100954"/>
    <s v="Cust 8850"/>
    <n v="22.57"/>
    <d v="2023-05-12T00:00:00"/>
    <d v="2023-05-17T00:00:00"/>
    <s v="Sophie"/>
    <n v="1832.9247"/>
    <n v="2262.87"/>
    <n v="429.94529999999986"/>
    <x v="1"/>
    <x v="2"/>
  </r>
  <r>
    <d v="2023-10-11T00:00:00"/>
    <x v="1"/>
    <x v="1"/>
    <s v="Phone"/>
    <s v="Phone"/>
    <x v="0"/>
    <n v="4"/>
    <n v="408.28"/>
    <s v="Store A"/>
    <s v="Retail"/>
    <n v="0.15"/>
    <x v="1"/>
    <n v="1388.152"/>
    <s v="Cash"/>
    <s v="WINTER15"/>
    <n v="0"/>
    <s v="REG100955"/>
    <s v="Cust 1722"/>
    <n v="5.38"/>
    <d v="2023-10-11T00:00:00"/>
    <d v="2023-10-15T00:00:00"/>
    <s v="Sophie"/>
    <n v="1179.9292"/>
    <n v="1633.12"/>
    <n v="453.19079999999985"/>
    <x v="2"/>
    <x v="19"/>
  </r>
  <r>
    <d v="2024-01-25T00:00:00"/>
    <x v="2"/>
    <x v="6"/>
    <s v="Printer"/>
    <s v="Printer"/>
    <x v="2"/>
    <n v="2"/>
    <n v="27.43"/>
    <s v="Store B"/>
    <s v="Retail"/>
    <n v="0.15"/>
    <x v="2"/>
    <n v="46.631"/>
    <s v="Online"/>
    <s v="WINTER15"/>
    <n v="0"/>
    <s v="REG100956"/>
    <s v="Cust 1211"/>
    <n v="6.15"/>
    <d v="2024-01-25T00:00:00"/>
    <d v="2024-02-01T00:00:00"/>
    <s v="Ryan"/>
    <n v="39.63635"/>
    <n v="54.86"/>
    <n v="15.223649999999999"/>
    <x v="2"/>
    <x v="24"/>
  </r>
  <r>
    <d v="2023-02-03T00:00:00"/>
    <x v="0"/>
    <x v="1"/>
    <s v="Phone"/>
    <s v="Phone"/>
    <x v="0"/>
    <n v="11"/>
    <n v="321.72000000000003"/>
    <s v="Store A"/>
    <s v="Retail"/>
    <n v="0.1"/>
    <x v="3"/>
    <n v="3185.0279999999998"/>
    <s v="Online"/>
    <s v="WINTER15"/>
    <n v="1"/>
    <s v="REG100957"/>
    <s v="Cust 9384"/>
    <n v="17.940000000000001"/>
    <d v="2023-02-03T00:00:00"/>
    <d v="2023-02-06T00:00:00"/>
    <s v="Eric"/>
    <n v="2866.5252"/>
    <n v="3538.92"/>
    <n v="672.39480000000003"/>
    <x v="1"/>
    <x v="0"/>
  </r>
  <r>
    <d v="2024-07-08T00:00:00"/>
    <x v="2"/>
    <x v="2"/>
    <s v="Desk"/>
    <s v="Desk"/>
    <x v="1"/>
    <n v="5"/>
    <n v="186.32"/>
    <s v="Store A"/>
    <s v="Wholesale"/>
    <n v="0.1"/>
    <x v="3"/>
    <n v="838.43999999999994"/>
    <s v="Gift Card"/>
    <s v="WINTER15"/>
    <n v="0"/>
    <s v="REG100958"/>
    <s v="Cust 3809"/>
    <n v="17.09"/>
    <d v="2024-07-08T00:00:00"/>
    <d v="2024-07-14T00:00:00"/>
    <s v="Ryan"/>
    <n v="754.596"/>
    <n v="931.59999999999991"/>
    <n v="177.00399999999991"/>
    <x v="1"/>
    <x v="10"/>
  </r>
  <r>
    <d v="2025-05-31T00:00:00"/>
    <x v="1"/>
    <x v="4"/>
    <s v="Monitor"/>
    <s v="Monitor"/>
    <x v="0"/>
    <n v="3"/>
    <n v="390.28"/>
    <s v="Store B"/>
    <s v="Retail"/>
    <n v="0"/>
    <x v="2"/>
    <n v="1170.8399999999999"/>
    <s v="Online"/>
    <s v="WINTER15"/>
    <n v="1"/>
    <s v="REG100959"/>
    <s v="Cust 9338"/>
    <n v="45.22"/>
    <d v="2025-05-31T00:00:00"/>
    <d v="2025-06-10T00:00:00"/>
    <s v="Sophie"/>
    <n v="1170.8399999999999"/>
    <n v="1170.8399999999999"/>
    <n v="0"/>
    <x v="0"/>
    <x v="13"/>
  </r>
  <r>
    <d v="2023-11-09T00:00:00"/>
    <x v="1"/>
    <x v="4"/>
    <s v="Monitor"/>
    <s v="Monitor"/>
    <x v="0"/>
    <n v="13"/>
    <n v="174.9"/>
    <s v="Store A"/>
    <s v="Wholesale"/>
    <n v="0.15"/>
    <x v="3"/>
    <n v="1932.645"/>
    <s v="Online"/>
    <s v="WINTER15"/>
    <n v="0"/>
    <s v="REG100960"/>
    <s v="Cust 1822"/>
    <n v="31.26"/>
    <d v="2023-11-09T00:00:00"/>
    <d v="2023-11-12T00:00:00"/>
    <s v="Sophie"/>
    <n v="1642.7482499999999"/>
    <n v="2273.7000000000003"/>
    <n v="630.9517500000004"/>
    <x v="2"/>
    <x v="15"/>
  </r>
  <r>
    <d v="2023-07-06T00:00:00"/>
    <x v="2"/>
    <x v="3"/>
    <s v="Chair"/>
    <s v="Chair"/>
    <x v="1"/>
    <n v="8"/>
    <n v="419.13"/>
    <s v="Store A"/>
    <s v="Retail"/>
    <n v="0.1"/>
    <x v="1"/>
    <n v="3017.7359999999999"/>
    <s v="Online"/>
    <m/>
    <n v="1"/>
    <s v="REG100961"/>
    <s v="Cust 8260"/>
    <n v="11.02"/>
    <d v="2023-07-06T00:00:00"/>
    <d v="2023-07-10T00:00:00"/>
    <s v="Ryan"/>
    <n v="2715.9623999999999"/>
    <n v="3353.04"/>
    <n v="637.07760000000007"/>
    <x v="1"/>
    <x v="11"/>
  </r>
  <r>
    <d v="2023-07-14T00:00:00"/>
    <x v="2"/>
    <x v="3"/>
    <s v="Chair"/>
    <s v="Chair"/>
    <x v="1"/>
    <n v="12"/>
    <n v="116.96"/>
    <s v="Store D"/>
    <s v="Wholesale"/>
    <n v="0"/>
    <x v="1"/>
    <n v="1403.52"/>
    <s v="Gift Card"/>
    <s v="WINTER15"/>
    <n v="0"/>
    <s v="REG100962"/>
    <s v="Cust 7088"/>
    <n v="22.04"/>
    <d v="2023-07-14T00:00:00"/>
    <d v="2023-07-22T00:00:00"/>
    <s v="Ryan"/>
    <n v="1403.52"/>
    <n v="1403.52"/>
    <n v="0"/>
    <x v="0"/>
    <x v="11"/>
  </r>
  <r>
    <d v="2023-11-13T00:00:00"/>
    <x v="4"/>
    <x v="3"/>
    <s v="Chair"/>
    <s v="Chair"/>
    <x v="1"/>
    <n v="11"/>
    <n v="323.72000000000003"/>
    <s v="Store A"/>
    <s v="Wholesale"/>
    <n v="0.1"/>
    <x v="5"/>
    <n v="3204.828"/>
    <s v="Gift Card"/>
    <s v="WINTER15"/>
    <n v="0"/>
    <s v="REG100963"/>
    <s v="Cust 4969"/>
    <n v="7.52"/>
    <d v="2023-11-13T00:00:00"/>
    <d v="2023-11-15T00:00:00"/>
    <s v="Wendy"/>
    <n v="2884.3452000000002"/>
    <n v="3560.92"/>
    <n v="676.57479999999987"/>
    <x v="1"/>
    <x v="15"/>
  </r>
  <r>
    <d v="2025-02-02T00:00:00"/>
    <x v="4"/>
    <x v="5"/>
    <s v="Tablet"/>
    <s v="Tablet"/>
    <x v="0"/>
    <n v="11"/>
    <n v="155.49"/>
    <s v="Store D"/>
    <s v="Retail"/>
    <n v="0.05"/>
    <x v="2"/>
    <n v="1624.8705"/>
    <s v="Cash"/>
    <m/>
    <n v="0"/>
    <s v="REG100964"/>
    <s v="Cust 9046"/>
    <n v="47.01"/>
    <d v="2025-02-02T00:00:00"/>
    <d v="2025-02-12T00:00:00"/>
    <s v="Wendy"/>
    <n v="1543.6269749999999"/>
    <n v="1710.39"/>
    <n v="166.7630250000002"/>
    <x v="1"/>
    <x v="3"/>
  </r>
  <r>
    <d v="2024-05-06T00:00:00"/>
    <x v="1"/>
    <x v="6"/>
    <s v="Printer"/>
    <s v="Printer"/>
    <x v="2"/>
    <n v="20"/>
    <n v="270.2"/>
    <s v="Store A"/>
    <s v="Wholesale"/>
    <n v="0"/>
    <x v="4"/>
    <n v="5404"/>
    <s v="Credit Card"/>
    <s v="WINTER15"/>
    <n v="0"/>
    <s v="REG100965"/>
    <s v="Cust 6859"/>
    <n v="6.8"/>
    <d v="2024-05-06T00:00:00"/>
    <d v="2024-05-15T00:00:00"/>
    <s v="Sophie"/>
    <n v="5404"/>
    <n v="5404"/>
    <n v="0"/>
    <x v="0"/>
    <x v="14"/>
  </r>
  <r>
    <d v="2024-10-17T00:00:00"/>
    <x v="1"/>
    <x v="6"/>
    <s v="Printer"/>
    <s v="Printer"/>
    <x v="2"/>
    <n v="15"/>
    <n v="482.08"/>
    <s v="Store D"/>
    <s v="Retail"/>
    <n v="0.1"/>
    <x v="0"/>
    <n v="6508.08"/>
    <s v="Debit Card"/>
    <s v="FREESHIP"/>
    <n v="1"/>
    <s v="REG100966"/>
    <s v="Cust 2800"/>
    <n v="13.35"/>
    <d v="2024-10-17T00:00:00"/>
    <d v="2024-10-19T00:00:00"/>
    <s v="Sophie"/>
    <n v="5857.2719999999999"/>
    <n v="7231.2"/>
    <n v="1373.9279999999999"/>
    <x v="1"/>
    <x v="7"/>
  </r>
  <r>
    <d v="2025-01-29T00:00:00"/>
    <x v="2"/>
    <x v="0"/>
    <s v="Laptop"/>
    <s v="Laptop"/>
    <x v="0"/>
    <n v="11"/>
    <n v="431.51"/>
    <s v="Store C"/>
    <s v="Wholesale"/>
    <n v="0.1"/>
    <x v="3"/>
    <n v="4271.9489999999996"/>
    <s v="Debit Card"/>
    <s v="SAVE10"/>
    <n v="0"/>
    <s v="REG100967"/>
    <s v="Cust 1146"/>
    <n v="22.83"/>
    <d v="2025-01-29T00:00:00"/>
    <d v="2025-02-05T00:00:00"/>
    <s v="Ryan"/>
    <n v="3844.7540999999997"/>
    <n v="4746.6099999999997"/>
    <n v="901.85590000000002"/>
    <x v="1"/>
    <x v="12"/>
  </r>
  <r>
    <d v="2025-03-23T00:00:00"/>
    <x v="3"/>
    <x v="3"/>
    <s v="Chair"/>
    <s v="Chair"/>
    <x v="1"/>
    <n v="5"/>
    <n v="302.76"/>
    <s v="Store D"/>
    <s v="Wholesale"/>
    <n v="0"/>
    <x v="3"/>
    <n v="1513.8"/>
    <s v="Gift Card"/>
    <s v="FREESHIP"/>
    <n v="1"/>
    <s v="REG100968"/>
    <s v="Cust 6447"/>
    <n v="46.69"/>
    <d v="2025-03-23T00:00:00"/>
    <d v="2025-03-29T00:00:00"/>
    <s v="Cameron"/>
    <n v="1513.8"/>
    <n v="1513.8"/>
    <n v="0"/>
    <x v="0"/>
    <x v="8"/>
  </r>
  <r>
    <d v="2024-04-11T00:00:00"/>
    <x v="4"/>
    <x v="3"/>
    <s v="Chair"/>
    <s v="Chair"/>
    <x v="1"/>
    <n v="19"/>
    <n v="344.92"/>
    <s v="Store C"/>
    <s v="Wholesale"/>
    <n v="0"/>
    <x v="0"/>
    <n v="6553.48"/>
    <s v="Cash"/>
    <s v="WINTER15"/>
    <n v="0"/>
    <s v="REG100969"/>
    <s v="Cust 8519"/>
    <n v="6.91"/>
    <d v="2024-04-11T00:00:00"/>
    <d v="2024-04-20T00:00:00"/>
    <s v="Wendy"/>
    <n v="6553.48"/>
    <n v="6553.4800000000005"/>
    <n v="0"/>
    <x v="0"/>
    <x v="9"/>
  </r>
  <r>
    <d v="2024-05-03T00:00:00"/>
    <x v="3"/>
    <x v="3"/>
    <s v="Chair"/>
    <s v="Chair"/>
    <x v="1"/>
    <n v="7"/>
    <n v="511.46"/>
    <s v="Store C"/>
    <s v="Retail"/>
    <n v="0.1"/>
    <x v="0"/>
    <n v="3222.1979999999999"/>
    <s v="Cash"/>
    <s v="FREESHIP"/>
    <n v="0"/>
    <s v="REG100970"/>
    <s v="Cust 3422"/>
    <n v="19.2"/>
    <d v="2024-05-03T00:00:00"/>
    <d v="2024-05-12T00:00:00"/>
    <s v="Cameron"/>
    <n v="2899.9782"/>
    <n v="3580.22"/>
    <n v="680.24179999999978"/>
    <x v="1"/>
    <x v="14"/>
  </r>
  <r>
    <d v="2024-10-14T00:00:00"/>
    <x v="0"/>
    <x v="4"/>
    <s v="Monitor"/>
    <s v="Monitor"/>
    <x v="0"/>
    <n v="7"/>
    <n v="150.6"/>
    <s v="Store A"/>
    <s v="Wholesale"/>
    <n v="0.15"/>
    <x v="5"/>
    <n v="896.07"/>
    <s v="Cash"/>
    <s v="WINTER15"/>
    <n v="1"/>
    <s v="REG100971"/>
    <s v="Cust 9638"/>
    <n v="15.52"/>
    <d v="2024-10-14T00:00:00"/>
    <d v="2024-10-21T00:00:00"/>
    <s v="Eric"/>
    <n v="761.65949999999998"/>
    <n v="1054.2"/>
    <n v="292.54050000000007"/>
    <x v="2"/>
    <x v="7"/>
  </r>
  <r>
    <d v="2024-02-08T00:00:00"/>
    <x v="4"/>
    <x v="1"/>
    <s v="Phone"/>
    <s v="Phone"/>
    <x v="0"/>
    <n v="8"/>
    <n v="158.02000000000001"/>
    <s v="Store C"/>
    <s v="Wholesale"/>
    <n v="0.15"/>
    <x v="4"/>
    <n v="1074.5360000000001"/>
    <s v="Credit Card"/>
    <s v="FREESHIP"/>
    <n v="0"/>
    <s v="REG100972"/>
    <s v="Cust 6438"/>
    <n v="47.43"/>
    <d v="2024-02-08T00:00:00"/>
    <d v="2024-02-13T00:00:00"/>
    <s v="Wendy"/>
    <n v="913.35559999999998"/>
    <n v="1264.1600000000001"/>
    <n v="350.8044000000001"/>
    <x v="2"/>
    <x v="5"/>
  </r>
  <r>
    <d v="2023-05-10T00:00:00"/>
    <x v="3"/>
    <x v="5"/>
    <s v="Tablet"/>
    <s v="Tablet"/>
    <x v="0"/>
    <n v="2"/>
    <n v="536.17999999999995"/>
    <s v="Store B"/>
    <s v="Retail"/>
    <n v="0.1"/>
    <x v="2"/>
    <n v="965.12399999999991"/>
    <s v="Credit Card"/>
    <s v="FREESHIP"/>
    <n v="0"/>
    <s v="REG100973"/>
    <s v="Cust 1724"/>
    <n v="34.75"/>
    <d v="2023-05-10T00:00:00"/>
    <d v="2023-05-13T00:00:00"/>
    <s v="Cameron"/>
    <n v="868.61159999999995"/>
    <n v="1072.3599999999999"/>
    <n v="203.74839999999995"/>
    <x v="1"/>
    <x v="2"/>
  </r>
  <r>
    <d v="2023-03-03T00:00:00"/>
    <x v="2"/>
    <x v="3"/>
    <s v="Chair"/>
    <s v="Chair"/>
    <x v="1"/>
    <n v="16"/>
    <n v="571.26"/>
    <s v="Store C"/>
    <s v="Wholesale"/>
    <n v="0.15"/>
    <x v="5"/>
    <n v="7769.1360000000004"/>
    <s v="Gift Card"/>
    <s v="SAVE10"/>
    <n v="0"/>
    <s v="REG100974"/>
    <s v="Cust 7808"/>
    <n v="6.13"/>
    <d v="2023-03-03T00:00:00"/>
    <d v="2023-03-12T00:00:00"/>
    <s v="Ryan"/>
    <n v="6603.7656000000006"/>
    <n v="9140.16"/>
    <n v="2536.3943999999992"/>
    <x v="2"/>
    <x v="17"/>
  </r>
  <r>
    <d v="2025-05-21T00:00:00"/>
    <x v="3"/>
    <x v="5"/>
    <s v="Tablet"/>
    <s v="Tablet"/>
    <x v="0"/>
    <n v="12"/>
    <n v="134.41999999999999"/>
    <s v="Store D"/>
    <s v="Retail"/>
    <n v="0.1"/>
    <x v="4"/>
    <n v="1451.7360000000001"/>
    <s v="Gift Card"/>
    <s v="FREESHIP"/>
    <n v="0"/>
    <s v="REG100975"/>
    <s v="Cust 3045"/>
    <n v="33.979999999999997"/>
    <d v="2025-05-21T00:00:00"/>
    <d v="2025-05-27T00:00:00"/>
    <s v="Cameron"/>
    <n v="1306.5624"/>
    <n v="1613.04"/>
    <n v="306.47759999999994"/>
    <x v="1"/>
    <x v="13"/>
  </r>
  <r>
    <d v="2025-04-30T00:00:00"/>
    <x v="3"/>
    <x v="0"/>
    <s v="Laptop"/>
    <s v="Laptop"/>
    <x v="0"/>
    <n v="5"/>
    <n v="563.70000000000005"/>
    <s v="Store A"/>
    <s v="Retail"/>
    <n v="0"/>
    <x v="5"/>
    <n v="2818.5"/>
    <s v="Online"/>
    <s v="SAVE10"/>
    <n v="0"/>
    <s v="REG100976"/>
    <s v="Cust 7348"/>
    <n v="29.28"/>
    <d v="2025-04-30T00:00:00"/>
    <d v="2025-05-07T00:00:00"/>
    <s v="Cameron"/>
    <n v="2818.5"/>
    <n v="2818.5"/>
    <n v="0"/>
    <x v="0"/>
    <x v="28"/>
  </r>
  <r>
    <d v="2023-04-02T00:00:00"/>
    <x v="2"/>
    <x v="1"/>
    <s v="Phone"/>
    <s v="Phone"/>
    <x v="0"/>
    <n v="11"/>
    <n v="546.57000000000005"/>
    <s v="Store D"/>
    <s v="Retail"/>
    <n v="0.15"/>
    <x v="5"/>
    <n v="5110.4295000000002"/>
    <s v="Credit Card"/>
    <s v="SAVE10"/>
    <n v="1"/>
    <s v="REG100977"/>
    <s v="Cust 5666"/>
    <n v="24.77"/>
    <d v="2023-04-02T00:00:00"/>
    <d v="2023-04-04T00:00:00"/>
    <s v="Ryan"/>
    <n v="4343.8650749999997"/>
    <n v="6012.27"/>
    <n v="1668.4049250000007"/>
    <x v="2"/>
    <x v="21"/>
  </r>
  <r>
    <d v="2024-08-26T00:00:00"/>
    <x v="2"/>
    <x v="4"/>
    <s v="Monitor"/>
    <s v="Monitor"/>
    <x v="0"/>
    <n v="9"/>
    <n v="364.88"/>
    <s v="Store C"/>
    <s v="Wholesale"/>
    <n v="0.05"/>
    <x v="5"/>
    <n v="3119.7240000000002"/>
    <s v="Cash"/>
    <s v="SAVE10"/>
    <n v="0"/>
    <s v="REG100978"/>
    <s v="Cust 4002"/>
    <n v="40.26"/>
    <d v="2024-08-26T00:00:00"/>
    <d v="2024-09-05T00:00:00"/>
    <s v="Ryan"/>
    <n v="2963.7377999999999"/>
    <n v="3283.92"/>
    <n v="320.18220000000019"/>
    <x v="1"/>
    <x v="29"/>
  </r>
  <r>
    <d v="2023-11-10T00:00:00"/>
    <x v="1"/>
    <x v="4"/>
    <s v="Monitor"/>
    <s v="Monitor"/>
    <x v="0"/>
    <n v="7"/>
    <n v="368.27"/>
    <s v="Store C"/>
    <s v="Wholesale"/>
    <n v="0.15"/>
    <x v="3"/>
    <n v="2191.2064999999998"/>
    <s v="Online"/>
    <s v="WINTER15"/>
    <n v="0"/>
    <s v="REG100979"/>
    <s v="Cust 6675"/>
    <n v="28.98"/>
    <d v="2023-11-10T00:00:00"/>
    <d v="2023-11-20T00:00:00"/>
    <s v="Sophie"/>
    <n v="1862.5255249999998"/>
    <n v="2577.89"/>
    <n v="715.36447500000008"/>
    <x v="2"/>
    <x v="15"/>
  </r>
  <r>
    <d v="2025-01-27T00:00:00"/>
    <x v="3"/>
    <x v="6"/>
    <s v="Printer"/>
    <s v="Printer"/>
    <x v="2"/>
    <n v="20"/>
    <n v="537.28"/>
    <s v="Store C"/>
    <s v="Wholesale"/>
    <n v="0"/>
    <x v="2"/>
    <n v="10745.6"/>
    <s v="Online"/>
    <m/>
    <n v="1"/>
    <s v="REG100980"/>
    <s v="Cust 5462"/>
    <n v="15.6"/>
    <d v="2025-01-27T00:00:00"/>
    <d v="2025-02-02T00:00:00"/>
    <s v="Cameron"/>
    <n v="10745.6"/>
    <n v="10745.599999999999"/>
    <n v="0"/>
    <x v="0"/>
    <x v="12"/>
  </r>
  <r>
    <d v="2024-04-26T00:00:00"/>
    <x v="1"/>
    <x v="1"/>
    <s v="Phone"/>
    <s v="Phone"/>
    <x v="0"/>
    <n v="3"/>
    <n v="103.09"/>
    <s v="Store D"/>
    <s v="Wholesale"/>
    <n v="0"/>
    <x v="3"/>
    <n v="309.27"/>
    <s v="Gift Card"/>
    <s v="SAVE10"/>
    <n v="1"/>
    <s v="REG100981"/>
    <s v="Cust 3471"/>
    <n v="46.47"/>
    <d v="2024-04-26T00:00:00"/>
    <d v="2024-04-30T00:00:00"/>
    <s v="Sophie"/>
    <n v="309.27"/>
    <n v="309.27"/>
    <n v="0"/>
    <x v="0"/>
    <x v="9"/>
  </r>
  <r>
    <d v="2023-11-27T00:00:00"/>
    <x v="0"/>
    <x v="5"/>
    <s v="Tablet"/>
    <s v="Tablet"/>
    <x v="0"/>
    <n v="9"/>
    <n v="97.56"/>
    <s v="Store A"/>
    <s v="Wholesale"/>
    <n v="0"/>
    <x v="1"/>
    <n v="878.04"/>
    <s v="Online"/>
    <m/>
    <n v="0"/>
    <s v="REG100982"/>
    <s v="Cust 1603"/>
    <n v="48.84"/>
    <d v="2023-11-27T00:00:00"/>
    <d v="2023-12-01T00:00:00"/>
    <s v="Eric"/>
    <n v="878.04"/>
    <n v="878.04"/>
    <n v="0"/>
    <x v="0"/>
    <x v="15"/>
  </r>
  <r>
    <d v="2023-03-30T00:00:00"/>
    <x v="3"/>
    <x v="5"/>
    <s v="Tablet"/>
    <s v="Tablet"/>
    <x v="0"/>
    <n v="10"/>
    <n v="338.75"/>
    <s v="Store A"/>
    <s v="Wholesale"/>
    <n v="0.15"/>
    <x v="3"/>
    <n v="2879.375"/>
    <s v="Cash"/>
    <s v="WINTER15"/>
    <n v="1"/>
    <s v="REG100983"/>
    <s v="Cust 7758"/>
    <n v="36.56"/>
    <d v="2023-03-30T00:00:00"/>
    <d v="2023-04-06T00:00:00"/>
    <s v="Cameron"/>
    <n v="2447.46875"/>
    <n v="3387.5"/>
    <n v="940.03125"/>
    <x v="2"/>
    <x v="17"/>
  </r>
  <r>
    <d v="2024-03-04T00:00:00"/>
    <x v="2"/>
    <x v="2"/>
    <s v="Desk"/>
    <s v="Desk"/>
    <x v="1"/>
    <n v="2"/>
    <n v="239.04"/>
    <s v="Store A"/>
    <s v="Wholesale"/>
    <n v="0"/>
    <x v="5"/>
    <n v="478.08"/>
    <s v="Debit Card"/>
    <s v="SAVE10"/>
    <n v="1"/>
    <s v="REG100984"/>
    <s v="Cust 3396"/>
    <n v="43.84"/>
    <d v="2024-03-04T00:00:00"/>
    <d v="2024-03-11T00:00:00"/>
    <s v="Ryan"/>
    <n v="478.08"/>
    <n v="478.08"/>
    <n v="0"/>
    <x v="0"/>
    <x v="25"/>
  </r>
  <r>
    <d v="2023-07-11T00:00:00"/>
    <x v="1"/>
    <x v="0"/>
    <s v="Laptop"/>
    <s v="Laptop"/>
    <x v="0"/>
    <n v="14"/>
    <n v="362.44"/>
    <s v="Store C"/>
    <s v="Wholesale"/>
    <n v="0.1"/>
    <x v="5"/>
    <n v="4566.7439999999997"/>
    <s v="Cash"/>
    <s v="WINTER15"/>
    <n v="0"/>
    <s v="REG100985"/>
    <s v="Cust 4797"/>
    <n v="36.729999999999997"/>
    <d v="2023-07-11T00:00:00"/>
    <d v="2023-07-15T00:00:00"/>
    <s v="Sophie"/>
    <n v="4110.0695999999998"/>
    <n v="5074.16"/>
    <n v="964.09040000000005"/>
    <x v="1"/>
    <x v="11"/>
  </r>
  <r>
    <d v="2024-09-20T00:00:00"/>
    <x v="4"/>
    <x v="4"/>
    <s v="Monitor"/>
    <s v="Monitor"/>
    <x v="0"/>
    <n v="6"/>
    <n v="551.13"/>
    <s v="Store D"/>
    <s v="Retail"/>
    <n v="0"/>
    <x v="3"/>
    <n v="3306.78"/>
    <s v="Gift Card"/>
    <s v="FREESHIP"/>
    <n v="0"/>
    <s v="REG100986"/>
    <s v="Cust 1113"/>
    <n v="14.67"/>
    <d v="2024-09-20T00:00:00"/>
    <d v="2024-09-29T00:00:00"/>
    <s v="Wendy"/>
    <n v="3306.78"/>
    <n v="3306.7799999999997"/>
    <n v="0"/>
    <x v="0"/>
    <x v="26"/>
  </r>
  <r>
    <d v="2025-02-18T00:00:00"/>
    <x v="4"/>
    <x v="0"/>
    <s v="Laptop"/>
    <s v="Laptop"/>
    <x v="0"/>
    <n v="1"/>
    <n v="82.06"/>
    <s v="Store D"/>
    <s v="Retail"/>
    <n v="0.1"/>
    <x v="0"/>
    <n v="73.853999999999999"/>
    <s v="Credit Card"/>
    <s v="FREESHIP"/>
    <n v="0"/>
    <s v="REG100987"/>
    <s v="Cust 8843"/>
    <n v="11.11"/>
    <d v="2025-02-18T00:00:00"/>
    <d v="2025-02-24T00:00:00"/>
    <s v="Wendy"/>
    <n v="66.468599999999995"/>
    <n v="82.06"/>
    <n v="15.591400000000007"/>
    <x v="1"/>
    <x v="3"/>
  </r>
  <r>
    <d v="2024-07-16T00:00:00"/>
    <x v="0"/>
    <x v="5"/>
    <s v="Tablet"/>
    <s v="Tablet"/>
    <x v="0"/>
    <n v="7"/>
    <n v="498.46"/>
    <s v="Store C"/>
    <s v="Wholesale"/>
    <n v="0.15"/>
    <x v="3"/>
    <n v="2965.837"/>
    <s v="Gift Card"/>
    <m/>
    <n v="0"/>
    <s v="REG100988"/>
    <s v="Cust 7505"/>
    <n v="42.72"/>
    <d v="2024-07-16T00:00:00"/>
    <d v="2024-07-20T00:00:00"/>
    <s v="Eric"/>
    <n v="2520.9614499999998"/>
    <n v="3489.22"/>
    <n v="968.25855000000001"/>
    <x v="2"/>
    <x v="10"/>
  </r>
  <r>
    <d v="2023-11-23T00:00:00"/>
    <x v="0"/>
    <x v="3"/>
    <s v="Chair"/>
    <s v="Chair"/>
    <x v="1"/>
    <n v="2"/>
    <n v="253.41"/>
    <s v="Store D"/>
    <s v="Retail"/>
    <n v="0.1"/>
    <x v="2"/>
    <n v="456.13799999999998"/>
    <s v="Cash"/>
    <s v="FREESHIP"/>
    <n v="0"/>
    <s v="REG100989"/>
    <s v="Cust 9490"/>
    <n v="49.64"/>
    <d v="2023-11-23T00:00:00"/>
    <d v="2023-11-25T00:00:00"/>
    <s v="Eric"/>
    <n v="410.52420000000001"/>
    <n v="506.82"/>
    <n v="96.295799999999986"/>
    <x v="1"/>
    <x v="15"/>
  </r>
  <r>
    <d v="2023-09-07T00:00:00"/>
    <x v="1"/>
    <x v="1"/>
    <s v="Phone"/>
    <s v="Phone"/>
    <x v="0"/>
    <n v="16"/>
    <n v="144.07"/>
    <s v="Store D"/>
    <s v="Wholesale"/>
    <n v="0.1"/>
    <x v="0"/>
    <n v="2074.6080000000002"/>
    <s v="Debit Card"/>
    <s v="FREESHIP"/>
    <n v="0"/>
    <s v="REG100990"/>
    <s v="Cust 8631"/>
    <n v="7.33"/>
    <d v="2023-09-07T00:00:00"/>
    <d v="2023-09-09T00:00:00"/>
    <s v="Sophie"/>
    <n v="1867.1472000000001"/>
    <n v="2305.12"/>
    <n v="437.97279999999978"/>
    <x v="1"/>
    <x v="22"/>
  </r>
  <r>
    <d v="2024-02-01T00:00:00"/>
    <x v="4"/>
    <x v="4"/>
    <s v="Monitor"/>
    <s v="Monitor"/>
    <x v="0"/>
    <n v="11"/>
    <n v="201.09"/>
    <s v="Store C"/>
    <s v="Retail"/>
    <n v="0.15"/>
    <x v="3"/>
    <n v="1880.1914999999999"/>
    <s v="Cash"/>
    <m/>
    <n v="1"/>
    <s v="REG100991"/>
    <s v="Cust 6986"/>
    <n v="48.42"/>
    <d v="2024-02-01T00:00:00"/>
    <d v="2024-02-04T00:00:00"/>
    <s v="Wendy"/>
    <n v="1598.1627749999998"/>
    <n v="2211.9900000000002"/>
    <n v="613.82722500000045"/>
    <x v="2"/>
    <x v="5"/>
  </r>
  <r>
    <d v="2025-05-08T00:00:00"/>
    <x v="1"/>
    <x v="3"/>
    <s v="Chair"/>
    <s v="Chair"/>
    <x v="1"/>
    <n v="11"/>
    <n v="585.45000000000005"/>
    <s v="Store D"/>
    <s v="Wholesale"/>
    <n v="0.1"/>
    <x v="1"/>
    <n v="5795.9550000000008"/>
    <s v="Credit Card"/>
    <s v="WINTER15"/>
    <n v="0"/>
    <s v="REG100992"/>
    <s v="Cust 9636"/>
    <n v="36.590000000000003"/>
    <d v="2025-05-08T00:00:00"/>
    <d v="2025-05-12T00:00:00"/>
    <s v="Sophie"/>
    <n v="5216.3595000000005"/>
    <n v="6439.9500000000007"/>
    <n v="1223.5905000000002"/>
    <x v="1"/>
    <x v="13"/>
  </r>
  <r>
    <d v="2025-01-17T00:00:00"/>
    <x v="2"/>
    <x v="0"/>
    <s v="Laptop"/>
    <s v="Laptop"/>
    <x v="0"/>
    <n v="3"/>
    <n v="448.77"/>
    <s v="Store A"/>
    <s v="Retail"/>
    <n v="0"/>
    <x v="1"/>
    <n v="1346.31"/>
    <s v="Online"/>
    <s v="FREESHIP"/>
    <n v="0"/>
    <s v="REG100993"/>
    <s v="Cust 7367"/>
    <n v="28.5"/>
    <d v="2025-01-17T00:00:00"/>
    <d v="2025-01-24T00:00:00"/>
    <s v="Ryan"/>
    <n v="1346.31"/>
    <n v="1346.31"/>
    <n v="0"/>
    <x v="0"/>
    <x v="12"/>
  </r>
  <r>
    <d v="2023-09-02T00:00:00"/>
    <x v="0"/>
    <x v="4"/>
    <s v="Monitor"/>
    <s v="Monitor"/>
    <x v="0"/>
    <n v="9"/>
    <n v="184.43"/>
    <s v="Store D"/>
    <s v="Wholesale"/>
    <n v="0"/>
    <x v="3"/>
    <n v="1659.87"/>
    <s v="Online"/>
    <s v="WINTER15"/>
    <n v="0"/>
    <s v="REG100994"/>
    <s v="Cust 1943"/>
    <n v="30.78"/>
    <d v="2023-09-02T00:00:00"/>
    <d v="2023-09-08T00:00:00"/>
    <s v="Eric"/>
    <n v="1659.87"/>
    <n v="1659.8700000000001"/>
    <n v="0"/>
    <x v="0"/>
    <x v="22"/>
  </r>
  <r>
    <d v="2023-06-23T00:00:00"/>
    <x v="3"/>
    <x v="0"/>
    <s v="Laptop"/>
    <s v="Laptop"/>
    <x v="0"/>
    <n v="16"/>
    <n v="594.1"/>
    <s v="Store D"/>
    <s v="Retail"/>
    <n v="0"/>
    <x v="5"/>
    <n v="9505.6"/>
    <s v="Gift Card"/>
    <s v="FREESHIP"/>
    <n v="0"/>
    <s v="REG100995"/>
    <s v="Cust 6368"/>
    <n v="18.2"/>
    <d v="2023-06-23T00:00:00"/>
    <d v="2023-07-01T00:00:00"/>
    <s v="Cameron"/>
    <n v="9505.6"/>
    <n v="9505.6"/>
    <n v="0"/>
    <x v="0"/>
    <x v="4"/>
  </r>
  <r>
    <d v="2024-01-20T00:00:00"/>
    <x v="0"/>
    <x v="0"/>
    <s v="Laptop"/>
    <s v="Laptop"/>
    <x v="0"/>
    <n v="19"/>
    <n v="482.07"/>
    <s v="Store B"/>
    <s v="Wholesale"/>
    <n v="0.1"/>
    <x v="5"/>
    <n v="8243.3970000000008"/>
    <s v="Credit Card"/>
    <m/>
    <n v="0"/>
    <s v="REG100996"/>
    <s v="Cust 9724"/>
    <n v="25.96"/>
    <d v="2024-01-20T00:00:00"/>
    <d v="2024-01-26T00:00:00"/>
    <s v="Eric"/>
    <n v="7419.0573000000013"/>
    <n v="9159.33"/>
    <n v="1740.2726999999986"/>
    <x v="1"/>
    <x v="24"/>
  </r>
  <r>
    <d v="2024-06-26T00:00:00"/>
    <x v="0"/>
    <x v="3"/>
    <s v="Chair"/>
    <s v="Chair"/>
    <x v="1"/>
    <n v="20"/>
    <n v="75.45"/>
    <s v="Store B"/>
    <s v="Wholesale"/>
    <n v="0.05"/>
    <x v="0"/>
    <n v="1433.55"/>
    <s v="Credit Card"/>
    <s v="SAVE10"/>
    <n v="0"/>
    <s v="REG100997"/>
    <s v="Cust 1983"/>
    <n v="44.77"/>
    <d v="2024-06-26T00:00:00"/>
    <d v="2024-07-06T00:00:00"/>
    <s v="Eric"/>
    <n v="1361.8724999999999"/>
    <n v="1509"/>
    <n v="147.12750000000005"/>
    <x v="1"/>
    <x v="23"/>
  </r>
  <r>
    <d v="2024-12-12T00:00:00"/>
    <x v="3"/>
    <x v="4"/>
    <s v="Monitor"/>
    <s v="Monitor"/>
    <x v="0"/>
    <n v="2"/>
    <n v="494.22"/>
    <s v="Store C"/>
    <s v="Retail"/>
    <n v="0.1"/>
    <x v="3"/>
    <n v="889.59600000000012"/>
    <s v="Gift Card"/>
    <s v="FREESHIP"/>
    <n v="0"/>
    <s v="REG100998"/>
    <s v="Cust 8723"/>
    <n v="13.45"/>
    <d v="2024-12-12T00:00:00"/>
    <d v="2024-12-17T00:00:00"/>
    <s v="Cameron"/>
    <n v="800.63640000000009"/>
    <n v="988.44"/>
    <n v="187.80359999999996"/>
    <x v="1"/>
    <x v="1"/>
  </r>
  <r>
    <d v="2024-02-21T00:00:00"/>
    <x v="0"/>
    <x v="0"/>
    <s v="Laptop"/>
    <s v="Laptop"/>
    <x v="0"/>
    <n v="15"/>
    <n v="112.82"/>
    <s v="Store B"/>
    <s v="Wholesale"/>
    <n v="0.05"/>
    <x v="2"/>
    <n v="1607.6849999999999"/>
    <s v="Credit Card"/>
    <s v="WINTER15"/>
    <n v="0"/>
    <s v="REG100999"/>
    <s v="Cust 1901"/>
    <n v="18.21"/>
    <d v="2024-02-21T00:00:00"/>
    <d v="2024-03-01T00:00:00"/>
    <s v="Eric"/>
    <n v="1527.3007499999999"/>
    <n v="1692.3"/>
    <n v="164.99925000000007"/>
    <x v="1"/>
    <x v="5"/>
  </r>
  <r>
    <d v="2023-07-18T00:00:00"/>
    <x v="0"/>
    <x v="2"/>
    <s v="Desk"/>
    <s v="Desk"/>
    <x v="1"/>
    <n v="3"/>
    <n v="121.56"/>
    <s v="Store D"/>
    <s v="Wholesale"/>
    <n v="0"/>
    <x v="0"/>
    <n v="364.68"/>
    <s v="Debit Card"/>
    <s v="WINTER15"/>
    <n v="0"/>
    <s v="REG101000"/>
    <s v="Cust 9682"/>
    <n v="29.06"/>
    <d v="2023-07-18T00:00:00"/>
    <d v="2023-07-25T00:00:00"/>
    <s v="Eric"/>
    <n v="364.68"/>
    <n v="364.68"/>
    <n v="0"/>
    <x v="0"/>
    <x v="11"/>
  </r>
  <r>
    <d v="2024-10-02T00:00:00"/>
    <x v="2"/>
    <x v="2"/>
    <s v="Desk"/>
    <s v="Desk"/>
    <x v="1"/>
    <n v="12"/>
    <n v="465.94"/>
    <s v="Store D"/>
    <s v="Wholesale"/>
    <n v="0"/>
    <x v="1"/>
    <n v="5591.28"/>
    <s v="Credit Card"/>
    <s v="WINTER15"/>
    <n v="0"/>
    <s v="REG101001"/>
    <s v="Cust 5413"/>
    <n v="34.159999999999997"/>
    <d v="2024-10-02T00:00:00"/>
    <d v="2024-10-06T00:00:00"/>
    <s v="Ryan"/>
    <n v="5591.28"/>
    <n v="5591.28"/>
    <n v="0"/>
    <x v="0"/>
    <x v="7"/>
  </r>
  <r>
    <d v="2024-12-01T00:00:00"/>
    <x v="4"/>
    <x v="1"/>
    <s v="Phone"/>
    <s v="Phone"/>
    <x v="0"/>
    <n v="12"/>
    <n v="187.8"/>
    <s v="Store D"/>
    <s v="Wholesale"/>
    <n v="0.15"/>
    <x v="4"/>
    <n v="1915.56"/>
    <s v="Online"/>
    <s v="FREESHIP"/>
    <n v="0"/>
    <s v="REG101002"/>
    <s v="Cust 9590"/>
    <n v="17.739999999999998"/>
    <d v="2024-12-01T00:00:00"/>
    <d v="2024-12-04T00:00:00"/>
    <s v="Wendy"/>
    <n v="1628.2259999999999"/>
    <n v="2253.6000000000004"/>
    <n v="625.37400000000048"/>
    <x v="2"/>
    <x v="1"/>
  </r>
  <r>
    <d v="2024-09-03T00:00:00"/>
    <x v="0"/>
    <x v="2"/>
    <s v="Desk"/>
    <s v="Desk"/>
    <x v="1"/>
    <n v="1"/>
    <n v="561.29999999999995"/>
    <s v="Store D"/>
    <s v="Retail"/>
    <n v="0.15"/>
    <x v="2"/>
    <n v="477.10500000000002"/>
    <s v="Gift Card"/>
    <m/>
    <n v="0"/>
    <s v="REG101003"/>
    <s v="Cust 9379"/>
    <n v="5.19"/>
    <d v="2024-09-03T00:00:00"/>
    <d v="2024-09-12T00:00:00"/>
    <s v="Eric"/>
    <n v="405.53924999999998"/>
    <n v="561.29999999999995"/>
    <n v="155.76074999999997"/>
    <x v="2"/>
    <x v="26"/>
  </r>
  <r>
    <d v="2025-02-22T00:00:00"/>
    <x v="4"/>
    <x v="6"/>
    <s v="Printer"/>
    <s v="Printer"/>
    <x v="2"/>
    <n v="7"/>
    <n v="178.26"/>
    <s v="Store C"/>
    <s v="Retail"/>
    <n v="0.15"/>
    <x v="5"/>
    <n v="1060.6469999999999"/>
    <s v="Online"/>
    <s v="FREESHIP"/>
    <n v="0"/>
    <s v="REG101004"/>
    <s v="Cust 4722"/>
    <n v="44.91"/>
    <d v="2025-02-22T00:00:00"/>
    <d v="2025-03-01T00:00:00"/>
    <s v="Wendy"/>
    <n v="901.54994999999997"/>
    <n v="1247.82"/>
    <n v="346.27004999999997"/>
    <x v="2"/>
    <x v="3"/>
  </r>
  <r>
    <d v="2025-05-11T00:00:00"/>
    <x v="4"/>
    <x v="4"/>
    <s v="Monitor"/>
    <s v="Monitor"/>
    <x v="0"/>
    <n v="20"/>
    <n v="552.83000000000004"/>
    <s v="Store D"/>
    <s v="Retail"/>
    <n v="0.15"/>
    <x v="0"/>
    <n v="9398.11"/>
    <s v="Online"/>
    <s v="FREESHIP"/>
    <n v="1"/>
    <s v="REG101005"/>
    <s v="Cust 7152"/>
    <n v="20.5"/>
    <d v="2025-05-11T00:00:00"/>
    <d v="2025-05-13T00:00:00"/>
    <s v="Wendy"/>
    <n v="7988.3935000000001"/>
    <n v="11056.6"/>
    <n v="3068.2065000000002"/>
    <x v="2"/>
    <x v="13"/>
  </r>
  <r>
    <d v="2024-12-20T00:00:00"/>
    <x v="3"/>
    <x v="5"/>
    <s v="Tablet"/>
    <s v="Tablet"/>
    <x v="0"/>
    <n v="2"/>
    <n v="458.25"/>
    <s v="Store B"/>
    <s v="Wholesale"/>
    <n v="0"/>
    <x v="0"/>
    <n v="916.5"/>
    <s v="Gift Card"/>
    <s v="SAVE10"/>
    <n v="0"/>
    <s v="REG101006"/>
    <s v="Cust 7255"/>
    <n v="25.94"/>
    <d v="2024-12-20T00:00:00"/>
    <d v="2024-12-29T00:00:00"/>
    <s v="Cameron"/>
    <n v="916.5"/>
    <n v="916.5"/>
    <n v="0"/>
    <x v="0"/>
    <x v="1"/>
  </r>
  <r>
    <d v="2023-04-18T00:00:00"/>
    <x v="0"/>
    <x v="0"/>
    <s v="Laptop"/>
    <s v="Laptop"/>
    <x v="0"/>
    <n v="2"/>
    <n v="129.43"/>
    <s v="Store D"/>
    <s v="Retail"/>
    <n v="0.05"/>
    <x v="1"/>
    <n v="245.917"/>
    <s v="Debit Card"/>
    <s v="FREESHIP"/>
    <n v="0"/>
    <s v="REG101007"/>
    <s v="Cust 9593"/>
    <n v="6.91"/>
    <d v="2023-04-18T00:00:00"/>
    <d v="2023-04-21T00:00:00"/>
    <s v="Eric"/>
    <n v="233.62115"/>
    <n v="258.86"/>
    <n v="25.238850000000014"/>
    <x v="1"/>
    <x v="21"/>
  </r>
  <r>
    <d v="2024-08-29T00:00:00"/>
    <x v="0"/>
    <x v="6"/>
    <s v="Printer"/>
    <s v="Printer"/>
    <x v="2"/>
    <n v="19"/>
    <n v="448.21"/>
    <s v="Store C"/>
    <s v="Wholesale"/>
    <n v="0.1"/>
    <x v="1"/>
    <n v="7664.3909999999996"/>
    <s v="Debit Card"/>
    <s v="WINTER15"/>
    <n v="0"/>
    <s v="REG101008"/>
    <s v="Cust 3829"/>
    <n v="30.71"/>
    <d v="2024-08-29T00:00:00"/>
    <d v="2024-09-03T00:00:00"/>
    <s v="Eric"/>
    <n v="6897.9519"/>
    <n v="8515.99"/>
    <n v="1618.0380999999998"/>
    <x v="1"/>
    <x v="29"/>
  </r>
  <r>
    <d v="2023-09-03T00:00:00"/>
    <x v="2"/>
    <x v="2"/>
    <s v="Desk"/>
    <s v="Desk"/>
    <x v="1"/>
    <n v="16"/>
    <n v="440.48"/>
    <s v="Store B"/>
    <s v="Retail"/>
    <n v="0.05"/>
    <x v="2"/>
    <n v="6695.2960000000003"/>
    <s v="Cash"/>
    <s v="FREESHIP"/>
    <n v="1"/>
    <s v="REG101009"/>
    <s v="Cust 2561"/>
    <n v="26.87"/>
    <d v="2023-09-03T00:00:00"/>
    <d v="2023-09-10T00:00:00"/>
    <s v="Ryan"/>
    <n v="6360.5312000000004"/>
    <n v="7047.68"/>
    <n v="687.14879999999994"/>
    <x v="1"/>
    <x v="22"/>
  </r>
  <r>
    <d v="2025-05-19T00:00:00"/>
    <x v="0"/>
    <x v="0"/>
    <s v="Laptop"/>
    <s v="Laptop"/>
    <x v="0"/>
    <n v="8"/>
    <n v="262.62"/>
    <s v="Store C"/>
    <s v="Wholesale"/>
    <n v="0"/>
    <x v="1"/>
    <n v="2100.96"/>
    <s v="Cash"/>
    <s v="FREESHIP"/>
    <n v="1"/>
    <s v="REG101010"/>
    <s v="Cust 8387"/>
    <n v="36.729999999999997"/>
    <d v="2025-05-19T00:00:00"/>
    <d v="2025-05-24T00:00:00"/>
    <s v="Eric"/>
    <n v="2100.96"/>
    <n v="2100.96"/>
    <n v="0"/>
    <x v="0"/>
    <x v="13"/>
  </r>
  <r>
    <d v="2023-06-18T00:00:00"/>
    <x v="0"/>
    <x v="5"/>
    <s v="Tablet"/>
    <s v="Tablet"/>
    <x v="0"/>
    <n v="15"/>
    <n v="124.91"/>
    <s v="Store A"/>
    <s v="Wholesale"/>
    <n v="0.1"/>
    <x v="0"/>
    <n v="1686.2850000000001"/>
    <s v="Gift Card"/>
    <s v="FREESHIP"/>
    <n v="0"/>
    <s v="REG101011"/>
    <s v="Cust 2860"/>
    <n v="31.95"/>
    <d v="2023-06-18T00:00:00"/>
    <d v="2023-06-26T00:00:00"/>
    <s v="Eric"/>
    <n v="1517.6565000000001"/>
    <n v="1873.6499999999999"/>
    <n v="355.99349999999981"/>
    <x v="1"/>
    <x v="4"/>
  </r>
  <r>
    <d v="2025-06-18T00:00:00"/>
    <x v="4"/>
    <x v="4"/>
    <s v="Monitor"/>
    <s v="Monitor"/>
    <x v="0"/>
    <n v="9"/>
    <n v="391"/>
    <s v="Store D"/>
    <s v="Wholesale"/>
    <n v="0.1"/>
    <x v="0"/>
    <n v="3167.1"/>
    <s v="Debit Card"/>
    <s v="WINTER15"/>
    <n v="0"/>
    <s v="REG101012"/>
    <s v="Cust 7794"/>
    <n v="46.76"/>
    <d v="2025-06-18T00:00:00"/>
    <d v="2025-06-22T00:00:00"/>
    <s v="Wendy"/>
    <n v="2850.39"/>
    <n v="3519"/>
    <n v="668.61000000000013"/>
    <x v="1"/>
    <x v="16"/>
  </r>
  <r>
    <d v="2024-09-29T00:00:00"/>
    <x v="1"/>
    <x v="0"/>
    <s v="Laptop"/>
    <s v="Laptop"/>
    <x v="0"/>
    <n v="12"/>
    <n v="204.15"/>
    <s v="Store C"/>
    <s v="Retail"/>
    <n v="0.05"/>
    <x v="1"/>
    <n v="2327.31"/>
    <s v="Debit Card"/>
    <s v="FREESHIP"/>
    <n v="1"/>
    <s v="REG101013"/>
    <s v="Cust 6075"/>
    <n v="26.4"/>
    <d v="2024-09-29T00:00:00"/>
    <d v="2024-10-07T00:00:00"/>
    <s v="Sophie"/>
    <n v="2210.9445000000001"/>
    <n v="2449.8000000000002"/>
    <n v="238.85550000000012"/>
    <x v="1"/>
    <x v="26"/>
  </r>
  <r>
    <d v="2024-02-25T00:00:00"/>
    <x v="0"/>
    <x v="0"/>
    <s v="Laptop"/>
    <s v="Laptop"/>
    <x v="0"/>
    <n v="20"/>
    <n v="13.64"/>
    <s v="Store C"/>
    <s v="Retail"/>
    <n v="0.15"/>
    <x v="2"/>
    <n v="231.88"/>
    <s v="Credit Card"/>
    <s v="SAVE10"/>
    <n v="0"/>
    <s v="REG101014"/>
    <s v="Cust 4337"/>
    <n v="33.6"/>
    <d v="2024-02-25T00:00:00"/>
    <d v="2024-03-04T00:00:00"/>
    <s v="Eric"/>
    <n v="197.09799999999998"/>
    <n v="272.8"/>
    <n v="75.702000000000027"/>
    <x v="2"/>
    <x v="5"/>
  </r>
  <r>
    <d v="2024-03-21T00:00:00"/>
    <x v="2"/>
    <x v="6"/>
    <s v="Printer"/>
    <s v="Printer"/>
    <x v="2"/>
    <n v="14"/>
    <n v="524.9"/>
    <s v="Store C"/>
    <s v="Wholesale"/>
    <n v="0.05"/>
    <x v="1"/>
    <n v="6981.1699999999992"/>
    <s v="Cash"/>
    <s v="FREESHIP"/>
    <n v="1"/>
    <s v="REG101015"/>
    <s v="Cust 2540"/>
    <n v="20.23"/>
    <d v="2024-03-21T00:00:00"/>
    <d v="2024-03-30T00:00:00"/>
    <s v="Ryan"/>
    <n v="6632.1114999999991"/>
    <n v="7348.5999999999995"/>
    <n v="716.48850000000039"/>
    <x v="1"/>
    <x v="25"/>
  </r>
  <r>
    <d v="2024-02-03T00:00:00"/>
    <x v="2"/>
    <x v="0"/>
    <s v="Laptop"/>
    <s v="Laptop"/>
    <x v="0"/>
    <n v="8"/>
    <n v="143.94999999999999"/>
    <s v="Store B"/>
    <s v="Retail"/>
    <n v="0.1"/>
    <x v="4"/>
    <n v="1036.44"/>
    <s v="Cash"/>
    <s v="SAVE10"/>
    <n v="0"/>
    <s v="REG101016"/>
    <s v="Cust 3944"/>
    <n v="28.09"/>
    <d v="2024-02-03T00:00:00"/>
    <d v="2024-02-09T00:00:00"/>
    <s v="Ryan"/>
    <n v="932.79600000000005"/>
    <n v="1151.5999999999999"/>
    <n v="218.80399999999986"/>
    <x v="1"/>
    <x v="5"/>
  </r>
  <r>
    <d v="2023-11-21T00:00:00"/>
    <x v="1"/>
    <x v="0"/>
    <s v="Laptop"/>
    <s v="Laptop"/>
    <x v="0"/>
    <n v="2"/>
    <n v="576.84"/>
    <s v="Store D"/>
    <s v="Retail"/>
    <n v="0.1"/>
    <x v="2"/>
    <n v="1038.3119999999999"/>
    <s v="Credit Card"/>
    <s v="FREESHIP"/>
    <n v="0"/>
    <s v="REG101017"/>
    <s v="Cust 8876"/>
    <n v="43.32"/>
    <d v="2023-11-21T00:00:00"/>
    <d v="2023-11-24T00:00:00"/>
    <s v="Sophie"/>
    <n v="934.48079999999993"/>
    <n v="1153.68"/>
    <n v="219.19920000000013"/>
    <x v="1"/>
    <x v="15"/>
  </r>
  <r>
    <d v="2023-01-10T00:00:00"/>
    <x v="4"/>
    <x v="3"/>
    <s v="Chair"/>
    <s v="Chair"/>
    <x v="1"/>
    <n v="14"/>
    <n v="250.98"/>
    <s v="Store C"/>
    <s v="Retail"/>
    <n v="0"/>
    <x v="0"/>
    <n v="3513.72"/>
    <s v="Debit Card"/>
    <m/>
    <n v="0"/>
    <s v="REG101018"/>
    <s v="Cust 3286"/>
    <n v="14.94"/>
    <d v="2023-01-10T00:00:00"/>
    <d v="2023-01-18T00:00:00"/>
    <s v="Wendy"/>
    <n v="3513.72"/>
    <n v="3513.72"/>
    <n v="0"/>
    <x v="0"/>
    <x v="6"/>
  </r>
  <r>
    <d v="2023-02-06T00:00:00"/>
    <x v="3"/>
    <x v="1"/>
    <s v="Phone"/>
    <s v="Phone"/>
    <x v="0"/>
    <n v="7"/>
    <n v="335.41"/>
    <s v="Store C"/>
    <s v="Retail"/>
    <n v="0"/>
    <x v="5"/>
    <n v="2347.87"/>
    <s v="Online"/>
    <s v="SAVE10"/>
    <n v="0"/>
    <s v="REG101019"/>
    <s v="Cust 4990"/>
    <n v="18.91"/>
    <d v="2023-02-06T00:00:00"/>
    <d v="2023-02-10T00:00:00"/>
    <s v="Cameron"/>
    <n v="2347.87"/>
    <n v="2347.8700000000003"/>
    <n v="0"/>
    <x v="0"/>
    <x v="0"/>
  </r>
  <r>
    <d v="2025-04-10T00:00:00"/>
    <x v="2"/>
    <x v="6"/>
    <s v="Printer"/>
    <s v="Printer"/>
    <x v="2"/>
    <n v="11"/>
    <n v="204.5"/>
    <s v="Store A"/>
    <s v="Retail"/>
    <n v="0"/>
    <x v="0"/>
    <n v="2249.5"/>
    <s v="Debit Card"/>
    <s v="WINTER15"/>
    <n v="0"/>
    <s v="REG101020"/>
    <s v="Cust 8706"/>
    <n v="13.82"/>
    <d v="2025-04-10T00:00:00"/>
    <d v="2025-04-20T00:00:00"/>
    <s v="Ryan"/>
    <n v="2249.5"/>
    <n v="2249.5"/>
    <n v="0"/>
    <x v="0"/>
    <x v="28"/>
  </r>
  <r>
    <d v="2024-02-14T00:00:00"/>
    <x v="0"/>
    <x v="5"/>
    <s v="Tablet"/>
    <s v="Tablet"/>
    <x v="0"/>
    <n v="1"/>
    <n v="542.63"/>
    <s v="Store A"/>
    <s v="Retail"/>
    <n v="0.05"/>
    <x v="3"/>
    <n v="515.49849999999992"/>
    <s v="Credit Card"/>
    <m/>
    <n v="0"/>
    <s v="REG101021"/>
    <s v="Cust 2608"/>
    <n v="33.200000000000003"/>
    <d v="2024-02-14T00:00:00"/>
    <d v="2024-02-21T00:00:00"/>
    <s v="Eric"/>
    <n v="489.72357499999993"/>
    <n v="542.63"/>
    <n v="52.90642500000007"/>
    <x v="1"/>
    <x v="5"/>
  </r>
  <r>
    <d v="2025-05-26T00:00:00"/>
    <x v="0"/>
    <x v="1"/>
    <s v="Phone"/>
    <s v="Phone"/>
    <x v="0"/>
    <n v="1"/>
    <n v="204.54"/>
    <s v="Store D"/>
    <s v="Retail"/>
    <n v="0.1"/>
    <x v="3"/>
    <n v="184.08600000000001"/>
    <s v="Online"/>
    <m/>
    <n v="1"/>
    <s v="REG101022"/>
    <s v="Cust 3290"/>
    <n v="17.760000000000002"/>
    <d v="2025-05-26T00:00:00"/>
    <d v="2025-05-29T00:00:00"/>
    <s v="Eric"/>
    <n v="165.67740000000001"/>
    <n v="204.54"/>
    <n v="38.862599999999986"/>
    <x v="1"/>
    <x v="13"/>
  </r>
  <r>
    <d v="2023-09-12T00:00:00"/>
    <x v="4"/>
    <x v="3"/>
    <s v="Chair"/>
    <s v="Chair"/>
    <x v="1"/>
    <n v="10"/>
    <n v="419.58"/>
    <s v="Store A"/>
    <s v="Wholesale"/>
    <n v="0.15"/>
    <x v="0"/>
    <n v="3566.43"/>
    <s v="Debit Card"/>
    <s v="FREESHIP"/>
    <n v="0"/>
    <s v="REG101023"/>
    <s v="Cust 3892"/>
    <n v="13.09"/>
    <d v="2023-09-12T00:00:00"/>
    <d v="2023-09-19T00:00:00"/>
    <s v="Wendy"/>
    <n v="3031.4654999999998"/>
    <n v="4195.8"/>
    <n v="1164.3345000000004"/>
    <x v="2"/>
    <x v="22"/>
  </r>
  <r>
    <d v="2023-05-17T00:00:00"/>
    <x v="0"/>
    <x v="2"/>
    <s v="Desk"/>
    <s v="Desk"/>
    <x v="1"/>
    <n v="7"/>
    <n v="87.88"/>
    <s v="Store C"/>
    <s v="Wholesale"/>
    <n v="0.15"/>
    <x v="1"/>
    <n v="522.88599999999997"/>
    <s v="Online"/>
    <s v="WINTER15"/>
    <n v="1"/>
    <s v="REG101024"/>
    <s v="Cust 6979"/>
    <n v="22.2"/>
    <d v="2023-05-17T00:00:00"/>
    <d v="2023-05-26T00:00:00"/>
    <s v="Eric"/>
    <n v="444.45309999999995"/>
    <n v="615.16"/>
    <n v="170.70690000000002"/>
    <x v="2"/>
    <x v="2"/>
  </r>
  <r>
    <d v="2024-01-29T00:00:00"/>
    <x v="4"/>
    <x v="6"/>
    <s v="Printer"/>
    <s v="Printer"/>
    <x v="2"/>
    <n v="7"/>
    <n v="386.88"/>
    <s v="Store B"/>
    <s v="Wholesale"/>
    <n v="0.05"/>
    <x v="3"/>
    <n v="2572.752"/>
    <s v="Cash"/>
    <s v="SAVE10"/>
    <n v="0"/>
    <s v="REG101025"/>
    <s v="Cust 9375"/>
    <n v="38.46"/>
    <d v="2024-01-29T00:00:00"/>
    <d v="2024-01-31T00:00:00"/>
    <s v="Wendy"/>
    <n v="2444.1143999999999"/>
    <n v="2708.16"/>
    <n v="264.04559999999992"/>
    <x v="1"/>
    <x v="24"/>
  </r>
  <r>
    <d v="2025-05-09T00:00:00"/>
    <x v="2"/>
    <x v="2"/>
    <s v="Desk"/>
    <s v="Desk"/>
    <x v="1"/>
    <n v="4"/>
    <n v="242.8"/>
    <s v="Store D"/>
    <s v="Wholesale"/>
    <n v="0.05"/>
    <x v="4"/>
    <n v="922.64"/>
    <s v="Debit Card"/>
    <s v="FREESHIP"/>
    <n v="0"/>
    <s v="REG101026"/>
    <s v="Cust 9311"/>
    <n v="30.03"/>
    <d v="2025-05-09T00:00:00"/>
    <d v="2025-05-18T00:00:00"/>
    <s v="Ryan"/>
    <n v="876.50799999999992"/>
    <n v="971.2"/>
    <n v="94.692000000000121"/>
    <x v="1"/>
    <x v="13"/>
  </r>
  <r>
    <d v="2024-04-05T00:00:00"/>
    <x v="0"/>
    <x v="6"/>
    <s v="Printer"/>
    <s v="Printer"/>
    <x v="2"/>
    <n v="4"/>
    <n v="410.59"/>
    <s v="Store A"/>
    <s v="Retail"/>
    <n v="0"/>
    <x v="0"/>
    <n v="1642.36"/>
    <s v="Cash"/>
    <m/>
    <n v="0"/>
    <s v="REG101027"/>
    <s v="Cust 4097"/>
    <n v="17.36"/>
    <d v="2024-04-05T00:00:00"/>
    <d v="2024-04-09T00:00:00"/>
    <s v="Eric"/>
    <n v="1642.36"/>
    <n v="1642.36"/>
    <n v="0"/>
    <x v="0"/>
    <x v="9"/>
  </r>
  <r>
    <d v="2024-08-01T00:00:00"/>
    <x v="1"/>
    <x v="3"/>
    <s v="Chair"/>
    <s v="Chair"/>
    <x v="1"/>
    <n v="3"/>
    <n v="10.93"/>
    <s v="Store D"/>
    <s v="Wholesale"/>
    <n v="0.15"/>
    <x v="0"/>
    <n v="27.871500000000001"/>
    <s v="Cash"/>
    <s v="FREESHIP"/>
    <n v="0"/>
    <s v="REG101028"/>
    <s v="Cust 6145"/>
    <n v="19.010000000000002"/>
    <d v="2024-08-01T00:00:00"/>
    <d v="2024-08-10T00:00:00"/>
    <s v="Sophie"/>
    <n v="23.690774999999999"/>
    <n v="32.79"/>
    <n v="9.0992250000000006"/>
    <x v="2"/>
    <x v="29"/>
  </r>
  <r>
    <d v="2024-07-10T00:00:00"/>
    <x v="1"/>
    <x v="3"/>
    <s v="Chair"/>
    <s v="Chair"/>
    <x v="1"/>
    <n v="20"/>
    <n v="150.16"/>
    <s v="Store C"/>
    <s v="Wholesale"/>
    <n v="0"/>
    <x v="5"/>
    <n v="3003.2"/>
    <s v="Cash"/>
    <m/>
    <n v="0"/>
    <s v="REG101029"/>
    <s v="Cust 8124"/>
    <n v="41.66"/>
    <d v="2024-07-10T00:00:00"/>
    <d v="2024-07-12T00:00:00"/>
    <s v="Sophie"/>
    <n v="3003.2"/>
    <n v="3003.2"/>
    <n v="0"/>
    <x v="0"/>
    <x v="10"/>
  </r>
  <r>
    <d v="2024-06-15T00:00:00"/>
    <x v="0"/>
    <x v="3"/>
    <s v="Chair"/>
    <s v="Chair"/>
    <x v="1"/>
    <n v="1"/>
    <n v="394.41"/>
    <s v="Store B"/>
    <s v="Retail"/>
    <n v="0.1"/>
    <x v="1"/>
    <n v="354.96900000000011"/>
    <s v="Gift Card"/>
    <s v="WINTER15"/>
    <n v="0"/>
    <s v="REG101030"/>
    <s v="Cust 7826"/>
    <n v="6.37"/>
    <d v="2024-06-15T00:00:00"/>
    <d v="2024-06-20T00:00:00"/>
    <s v="Eric"/>
    <n v="319.47210000000013"/>
    <n v="394.41"/>
    <n v="74.9378999999999"/>
    <x v="1"/>
    <x v="23"/>
  </r>
  <r>
    <d v="2024-05-22T00:00:00"/>
    <x v="0"/>
    <x v="4"/>
    <s v="Monitor"/>
    <s v="Monitor"/>
    <x v="0"/>
    <n v="6"/>
    <n v="535.38"/>
    <s v="Store C"/>
    <s v="Wholesale"/>
    <n v="0.15"/>
    <x v="1"/>
    <n v="2730.4380000000001"/>
    <s v="Online"/>
    <m/>
    <n v="0"/>
    <s v="REG101031"/>
    <s v="Cust 3472"/>
    <n v="48.66"/>
    <d v="2024-05-22T00:00:00"/>
    <d v="2024-05-29T00:00:00"/>
    <s v="Eric"/>
    <n v="2320.8723"/>
    <n v="3212.2799999999997"/>
    <n v="891.40769999999975"/>
    <x v="2"/>
    <x v="14"/>
  </r>
  <r>
    <d v="2024-01-14T00:00:00"/>
    <x v="0"/>
    <x v="4"/>
    <s v="Monitor"/>
    <s v="Monitor"/>
    <x v="0"/>
    <n v="19"/>
    <n v="407.82"/>
    <s v="Store D"/>
    <s v="Retail"/>
    <n v="0.05"/>
    <x v="4"/>
    <n v="7361.1509999999998"/>
    <s v="Gift Card"/>
    <s v="FREESHIP"/>
    <n v="0"/>
    <s v="REG101032"/>
    <s v="Cust 4266"/>
    <n v="38.979999999999997"/>
    <d v="2024-01-14T00:00:00"/>
    <d v="2024-01-18T00:00:00"/>
    <s v="Eric"/>
    <n v="6993.0934499999994"/>
    <n v="7748.58"/>
    <n v="755.48655000000053"/>
    <x v="1"/>
    <x v="24"/>
  </r>
  <r>
    <d v="2024-10-31T00:00:00"/>
    <x v="2"/>
    <x v="5"/>
    <s v="Tablet"/>
    <s v="Tablet"/>
    <x v="0"/>
    <n v="16"/>
    <n v="120.83"/>
    <s v="Store B"/>
    <s v="Retail"/>
    <n v="0.05"/>
    <x v="3"/>
    <n v="1836.616"/>
    <s v="Cash"/>
    <s v="WINTER15"/>
    <n v="1"/>
    <s v="REG101033"/>
    <s v="Cust 8492"/>
    <n v="39.64"/>
    <d v="2024-10-31T00:00:00"/>
    <d v="2024-11-02T00:00:00"/>
    <s v="Ryan"/>
    <n v="1744.7851999999998"/>
    <n v="1933.28"/>
    <n v="188.49480000000017"/>
    <x v="1"/>
    <x v="7"/>
  </r>
  <r>
    <d v="2024-04-23T00:00:00"/>
    <x v="4"/>
    <x v="6"/>
    <s v="Printer"/>
    <s v="Printer"/>
    <x v="2"/>
    <n v="7"/>
    <n v="39.53"/>
    <s v="Store D"/>
    <s v="Retail"/>
    <n v="0.1"/>
    <x v="3"/>
    <n v="249.03899999999999"/>
    <s v="Debit Card"/>
    <s v="WINTER15"/>
    <n v="0"/>
    <s v="REG101034"/>
    <s v="Cust 7354"/>
    <n v="18.16"/>
    <d v="2024-04-23T00:00:00"/>
    <d v="2024-04-29T00:00:00"/>
    <s v="Wendy"/>
    <n v="224.13509999999999"/>
    <n v="276.71000000000004"/>
    <n v="52.574900000000042"/>
    <x v="1"/>
    <x v="9"/>
  </r>
  <r>
    <d v="2023-06-14T00:00:00"/>
    <x v="1"/>
    <x v="5"/>
    <s v="Tablet"/>
    <s v="Tablet"/>
    <x v="0"/>
    <n v="2"/>
    <n v="224.08"/>
    <s v="Store A"/>
    <s v="Retail"/>
    <n v="0.05"/>
    <x v="2"/>
    <n v="425.75200000000001"/>
    <s v="Credit Card"/>
    <s v="WINTER15"/>
    <n v="0"/>
    <s v="REG101035"/>
    <s v="Cust 6672"/>
    <n v="47.35"/>
    <d v="2023-06-14T00:00:00"/>
    <d v="2023-06-20T00:00:00"/>
    <s v="Sophie"/>
    <n v="404.46440000000001"/>
    <n v="448.16"/>
    <n v="43.695600000000013"/>
    <x v="1"/>
    <x v="4"/>
  </r>
  <r>
    <d v="2024-02-28T00:00:00"/>
    <x v="2"/>
    <x v="6"/>
    <s v="Printer"/>
    <s v="Printer"/>
    <x v="2"/>
    <n v="11"/>
    <n v="382.08"/>
    <s v="Store D"/>
    <s v="Wholesale"/>
    <n v="0.05"/>
    <x v="2"/>
    <n v="3992.7359999999999"/>
    <s v="Cash"/>
    <s v="WINTER15"/>
    <n v="0"/>
    <s v="REG101036"/>
    <s v="Cust 5589"/>
    <n v="5.95"/>
    <d v="2024-02-28T00:00:00"/>
    <d v="2024-03-02T00:00:00"/>
    <s v="Ryan"/>
    <n v="3793.0991999999997"/>
    <n v="4202.88"/>
    <n v="409.78080000000045"/>
    <x v="1"/>
    <x v="5"/>
  </r>
  <r>
    <d v="2024-06-19T00:00:00"/>
    <x v="1"/>
    <x v="6"/>
    <s v="Printer"/>
    <s v="Printer"/>
    <x v="2"/>
    <n v="9"/>
    <n v="88.49"/>
    <s v="Store D"/>
    <s v="Wholesale"/>
    <n v="0.05"/>
    <x v="4"/>
    <n v="756.58949999999993"/>
    <s v="Online"/>
    <m/>
    <n v="0"/>
    <s v="REG101037"/>
    <s v="Cust 2770"/>
    <n v="35.6"/>
    <d v="2024-06-19T00:00:00"/>
    <d v="2024-06-26T00:00:00"/>
    <s v="Sophie"/>
    <n v="718.76002499999993"/>
    <n v="796.41"/>
    <n v="77.64997500000004"/>
    <x v="1"/>
    <x v="23"/>
  </r>
  <r>
    <d v="2023-03-18T00:00:00"/>
    <x v="3"/>
    <x v="5"/>
    <s v="Tablet"/>
    <s v="Tablet"/>
    <x v="0"/>
    <n v="20"/>
    <n v="139.1"/>
    <s v="Store C"/>
    <s v="Wholesale"/>
    <n v="0.05"/>
    <x v="3"/>
    <n v="2642.9"/>
    <s v="Online"/>
    <s v="FREESHIP"/>
    <n v="0"/>
    <s v="REG101038"/>
    <s v="Cust 7206"/>
    <n v="30.22"/>
    <d v="2023-03-18T00:00:00"/>
    <d v="2023-03-20T00:00:00"/>
    <s v="Cameron"/>
    <n v="2510.7550000000001"/>
    <n v="2782"/>
    <n v="271.24499999999989"/>
    <x v="1"/>
    <x v="17"/>
  </r>
  <r>
    <d v="2023-03-21T00:00:00"/>
    <x v="4"/>
    <x v="2"/>
    <s v="Desk"/>
    <s v="Desk"/>
    <x v="1"/>
    <n v="19"/>
    <n v="322.35000000000002"/>
    <s v="Store D"/>
    <s v="Wholesale"/>
    <n v="0.1"/>
    <x v="1"/>
    <n v="5512.1850000000004"/>
    <s v="Debit Card"/>
    <s v="WINTER15"/>
    <n v="0"/>
    <s v="REG101039"/>
    <s v="Cust 1580"/>
    <n v="30.06"/>
    <d v="2023-03-21T00:00:00"/>
    <d v="2023-03-31T00:00:00"/>
    <s v="Wendy"/>
    <n v="4960.9665000000005"/>
    <n v="6124.6500000000005"/>
    <n v="1163.6835000000001"/>
    <x v="1"/>
    <x v="17"/>
  </r>
  <r>
    <d v="2024-05-28T00:00:00"/>
    <x v="0"/>
    <x v="6"/>
    <s v="Printer"/>
    <s v="Printer"/>
    <x v="2"/>
    <n v="16"/>
    <n v="334.55"/>
    <s v="Store B"/>
    <s v="Wholesale"/>
    <n v="0.1"/>
    <x v="0"/>
    <n v="4817.5200000000004"/>
    <s v="Credit Card"/>
    <s v="SAVE10"/>
    <n v="0"/>
    <s v="REG101040"/>
    <s v="Cust 5313"/>
    <n v="37.42"/>
    <d v="2024-05-28T00:00:00"/>
    <d v="2024-06-01T00:00:00"/>
    <s v="Eric"/>
    <n v="4335.7680000000009"/>
    <n v="5352.8"/>
    <n v="1017.0319999999992"/>
    <x v="1"/>
    <x v="14"/>
  </r>
  <r>
    <d v="2023-03-27T00:00:00"/>
    <x v="4"/>
    <x v="2"/>
    <s v="Desk"/>
    <s v="Desk"/>
    <x v="1"/>
    <n v="20"/>
    <n v="332.48"/>
    <s v="Store B"/>
    <s v="Wholesale"/>
    <n v="0"/>
    <x v="0"/>
    <n v="6649.6"/>
    <s v="Online"/>
    <s v="SAVE10"/>
    <n v="1"/>
    <s v="REG101041"/>
    <s v="Cust 4209"/>
    <n v="7.79"/>
    <d v="2023-03-27T00:00:00"/>
    <d v="2023-03-30T00:00:00"/>
    <s v="Wendy"/>
    <n v="6649.6"/>
    <n v="6649.6"/>
    <n v="0"/>
    <x v="0"/>
    <x v="17"/>
  </r>
  <r>
    <d v="2023-06-19T00:00:00"/>
    <x v="3"/>
    <x v="6"/>
    <s v="Printer"/>
    <s v="Printer"/>
    <x v="2"/>
    <n v="1"/>
    <n v="123.4"/>
    <s v="Store A"/>
    <s v="Retail"/>
    <n v="0"/>
    <x v="0"/>
    <n v="123.4"/>
    <s v="Cash"/>
    <m/>
    <n v="1"/>
    <s v="REG101042"/>
    <s v="Cust 5861"/>
    <n v="12.63"/>
    <d v="2023-06-19T00:00:00"/>
    <d v="2023-06-25T00:00:00"/>
    <s v="Cameron"/>
    <n v="123.4"/>
    <n v="123.4"/>
    <n v="0"/>
    <x v="0"/>
    <x v="4"/>
  </r>
  <r>
    <d v="2023-10-31T00:00:00"/>
    <x v="1"/>
    <x v="0"/>
    <s v="Laptop"/>
    <s v="Laptop"/>
    <x v="0"/>
    <n v="3"/>
    <n v="88.26"/>
    <s v="Store D"/>
    <s v="Wholesale"/>
    <n v="0.05"/>
    <x v="5"/>
    <n v="251.541"/>
    <s v="Debit Card"/>
    <s v="FREESHIP"/>
    <n v="0"/>
    <s v="REG101043"/>
    <s v="Cust 6348"/>
    <n v="46.45"/>
    <d v="2023-10-31T00:00:00"/>
    <d v="2023-11-07T00:00:00"/>
    <s v="Sophie"/>
    <n v="238.96394999999998"/>
    <n v="264.78000000000003"/>
    <n v="25.816050000000047"/>
    <x v="1"/>
    <x v="19"/>
  </r>
  <r>
    <d v="2023-07-11T00:00:00"/>
    <x v="4"/>
    <x v="1"/>
    <s v="Phone"/>
    <s v="Phone"/>
    <x v="0"/>
    <n v="13"/>
    <n v="50.51"/>
    <s v="Store D"/>
    <s v="Wholesale"/>
    <n v="0.1"/>
    <x v="1"/>
    <n v="590.96699999999998"/>
    <s v="Debit Card"/>
    <s v="WINTER15"/>
    <n v="0"/>
    <s v="REG101044"/>
    <s v="Cust 5210"/>
    <n v="40.57"/>
    <d v="2023-07-11T00:00:00"/>
    <d v="2023-07-18T00:00:00"/>
    <s v="Wendy"/>
    <n v="531.87030000000004"/>
    <n v="656.63"/>
    <n v="124.75969999999995"/>
    <x v="1"/>
    <x v="11"/>
  </r>
  <r>
    <d v="2023-05-19T00:00:00"/>
    <x v="1"/>
    <x v="4"/>
    <s v="Monitor"/>
    <s v="Monitor"/>
    <x v="0"/>
    <n v="11"/>
    <n v="237.99"/>
    <s v="Store D"/>
    <s v="Wholesale"/>
    <n v="0.05"/>
    <x v="5"/>
    <n v="2486.9955"/>
    <s v="Debit Card"/>
    <s v="FREESHIP"/>
    <n v="0"/>
    <s v="REG101045"/>
    <s v="Cust 7325"/>
    <n v="44.7"/>
    <d v="2023-05-19T00:00:00"/>
    <d v="2023-05-28T00:00:00"/>
    <s v="Sophie"/>
    <n v="2362.6457249999999"/>
    <n v="2617.8900000000003"/>
    <n v="255.24427500000047"/>
    <x v="1"/>
    <x v="2"/>
  </r>
  <r>
    <d v="2023-08-05T00:00:00"/>
    <x v="2"/>
    <x v="3"/>
    <s v="Chair"/>
    <s v="Chair"/>
    <x v="1"/>
    <n v="7"/>
    <n v="294.95"/>
    <s v="Store D"/>
    <s v="Wholesale"/>
    <n v="0"/>
    <x v="2"/>
    <n v="2064.65"/>
    <s v="Online"/>
    <s v="FREESHIP"/>
    <n v="0"/>
    <s v="REG101046"/>
    <s v="Cust 5818"/>
    <n v="15.78"/>
    <d v="2023-08-05T00:00:00"/>
    <d v="2023-08-10T00:00:00"/>
    <s v="Ryan"/>
    <n v="2064.65"/>
    <n v="2064.65"/>
    <n v="0"/>
    <x v="0"/>
    <x v="18"/>
  </r>
  <r>
    <d v="2023-03-24T00:00:00"/>
    <x v="4"/>
    <x v="2"/>
    <s v="Desk"/>
    <s v="Desk"/>
    <x v="1"/>
    <n v="8"/>
    <n v="384.3"/>
    <s v="Store C"/>
    <s v="Wholesale"/>
    <n v="0.1"/>
    <x v="2"/>
    <n v="2766.96"/>
    <s v="Gift Card"/>
    <s v="FREESHIP"/>
    <n v="0"/>
    <s v="REG101047"/>
    <s v="Cust 7773"/>
    <n v="48.83"/>
    <d v="2023-03-24T00:00:00"/>
    <d v="2023-04-03T00:00:00"/>
    <s v="Wendy"/>
    <n v="2490.2640000000001"/>
    <n v="3074.4"/>
    <n v="584.13599999999997"/>
    <x v="1"/>
    <x v="17"/>
  </r>
  <r>
    <d v="2025-02-14T00:00:00"/>
    <x v="4"/>
    <x v="4"/>
    <s v="Monitor"/>
    <s v="Monitor"/>
    <x v="0"/>
    <n v="1"/>
    <n v="378.35"/>
    <s v="Store C"/>
    <s v="Wholesale"/>
    <n v="0.05"/>
    <x v="4"/>
    <n v="359.4325"/>
    <s v="Cash"/>
    <s v="FREESHIP"/>
    <n v="0"/>
    <s v="REG101048"/>
    <s v="Cust 3960"/>
    <n v="20.97"/>
    <d v="2025-02-14T00:00:00"/>
    <d v="2025-02-17T00:00:00"/>
    <s v="Wendy"/>
    <n v="341.46087499999999"/>
    <n v="378.35"/>
    <n v="36.889125000000035"/>
    <x v="1"/>
    <x v="3"/>
  </r>
  <r>
    <d v="2024-12-14T00:00:00"/>
    <x v="2"/>
    <x v="2"/>
    <s v="Desk"/>
    <s v="Desk"/>
    <x v="1"/>
    <n v="1"/>
    <n v="461.35"/>
    <s v="Store D"/>
    <s v="Retail"/>
    <n v="0"/>
    <x v="5"/>
    <n v="461.35"/>
    <s v="Debit Card"/>
    <s v="FREESHIP"/>
    <n v="1"/>
    <s v="REG101049"/>
    <s v="Cust 4496"/>
    <n v="43.74"/>
    <d v="2024-12-14T00:00:00"/>
    <d v="2024-12-16T00:00:00"/>
    <s v="Ryan"/>
    <n v="461.35"/>
    <n v="461.35"/>
    <n v="0"/>
    <x v="0"/>
    <x v="1"/>
  </r>
  <r>
    <d v="2023-06-28T00:00:00"/>
    <x v="1"/>
    <x v="6"/>
    <s v="Printer"/>
    <s v="Printer"/>
    <x v="2"/>
    <n v="20"/>
    <n v="354.9"/>
    <s v="Store A"/>
    <s v="Wholesale"/>
    <n v="0"/>
    <x v="5"/>
    <n v="7098"/>
    <s v="Gift Card"/>
    <s v="WINTER15"/>
    <n v="0"/>
    <s v="REG101050"/>
    <s v="Cust 3875"/>
    <n v="43.24"/>
    <d v="2023-06-28T00:00:00"/>
    <d v="2023-07-01T00:00:00"/>
    <s v="Sophie"/>
    <n v="7098"/>
    <n v="7098"/>
    <n v="0"/>
    <x v="0"/>
    <x v="4"/>
  </r>
  <r>
    <d v="2023-01-24T00:00:00"/>
    <x v="4"/>
    <x v="2"/>
    <s v="Desk"/>
    <s v="Desk"/>
    <x v="1"/>
    <n v="7"/>
    <n v="438.41"/>
    <s v="Store C"/>
    <s v="Retail"/>
    <n v="0.1"/>
    <x v="4"/>
    <n v="2761.9830000000002"/>
    <s v="Debit Card"/>
    <s v="SAVE10"/>
    <n v="1"/>
    <s v="REG101051"/>
    <s v="Cust 7232"/>
    <n v="47.77"/>
    <d v="2023-01-24T00:00:00"/>
    <d v="2023-01-28T00:00:00"/>
    <s v="Wendy"/>
    <n v="2485.7847000000002"/>
    <n v="3068.8700000000003"/>
    <n v="583.08530000000019"/>
    <x v="1"/>
    <x v="6"/>
  </r>
  <r>
    <d v="2024-06-21T00:00:00"/>
    <x v="3"/>
    <x v="5"/>
    <s v="Tablet"/>
    <s v="Tablet"/>
    <x v="0"/>
    <n v="14"/>
    <n v="542.6"/>
    <s v="Store C"/>
    <s v="Retail"/>
    <n v="0.05"/>
    <x v="0"/>
    <n v="7216.58"/>
    <s v="Debit Card"/>
    <m/>
    <n v="0"/>
    <s v="REG101052"/>
    <s v="Cust 2137"/>
    <n v="44.76"/>
    <d v="2024-06-21T00:00:00"/>
    <d v="2024-06-30T00:00:00"/>
    <s v="Cameron"/>
    <n v="6855.7509999999993"/>
    <n v="7596.4000000000005"/>
    <n v="740.64900000000125"/>
    <x v="1"/>
    <x v="23"/>
  </r>
  <r>
    <d v="2025-04-09T00:00:00"/>
    <x v="2"/>
    <x v="6"/>
    <s v="Printer"/>
    <s v="Printer"/>
    <x v="2"/>
    <n v="3"/>
    <n v="238.82"/>
    <s v="Store C"/>
    <s v="Retail"/>
    <n v="0.1"/>
    <x v="5"/>
    <n v="644.81400000000008"/>
    <s v="Gift Card"/>
    <s v="WINTER15"/>
    <n v="0"/>
    <s v="REG101053"/>
    <s v="Cust 4537"/>
    <n v="37.07"/>
    <d v="2025-04-09T00:00:00"/>
    <d v="2025-04-18T00:00:00"/>
    <s v="Ryan"/>
    <n v="580.33260000000007"/>
    <n v="716.46"/>
    <n v="136.12739999999997"/>
    <x v="1"/>
    <x v="28"/>
  </r>
  <r>
    <d v="2025-01-11T00:00:00"/>
    <x v="2"/>
    <x v="5"/>
    <s v="Tablet"/>
    <s v="Tablet"/>
    <x v="0"/>
    <n v="16"/>
    <n v="332.19"/>
    <s v="Store C"/>
    <s v="Retail"/>
    <n v="0.1"/>
    <x v="0"/>
    <n v="4783.5360000000001"/>
    <s v="Credit Card"/>
    <s v="SAVE10"/>
    <n v="1"/>
    <s v="REG101054"/>
    <s v="Cust 6274"/>
    <n v="34.97"/>
    <d v="2025-01-11T00:00:00"/>
    <d v="2025-01-19T00:00:00"/>
    <s v="Ryan"/>
    <n v="4305.1824000000006"/>
    <n v="5315.04"/>
    <n v="1009.8575999999994"/>
    <x v="1"/>
    <x v="12"/>
  </r>
  <r>
    <d v="2024-07-13T00:00:00"/>
    <x v="3"/>
    <x v="6"/>
    <s v="Printer"/>
    <s v="Printer"/>
    <x v="2"/>
    <n v="9"/>
    <n v="454.6"/>
    <s v="Store D"/>
    <s v="Wholesale"/>
    <n v="0.05"/>
    <x v="3"/>
    <n v="3886.83"/>
    <s v="Debit Card"/>
    <m/>
    <n v="0"/>
    <s v="REG101055"/>
    <s v="Cust 3810"/>
    <n v="32.86"/>
    <d v="2024-07-13T00:00:00"/>
    <d v="2024-07-20T00:00:00"/>
    <s v="Cameron"/>
    <n v="3692.4884999999999"/>
    <n v="4091.4"/>
    <n v="398.91150000000016"/>
    <x v="1"/>
    <x v="10"/>
  </r>
  <r>
    <d v="2025-01-04T00:00:00"/>
    <x v="4"/>
    <x v="6"/>
    <s v="Printer"/>
    <s v="Printer"/>
    <x v="2"/>
    <n v="6"/>
    <n v="540.54"/>
    <s v="Store A"/>
    <s v="Retail"/>
    <n v="0.05"/>
    <x v="3"/>
    <n v="3081.078"/>
    <s v="Debit Card"/>
    <s v="SAVE10"/>
    <n v="0"/>
    <s v="REG101056"/>
    <s v="Cust 5002"/>
    <n v="19.77"/>
    <d v="2025-01-04T00:00:00"/>
    <d v="2025-01-10T00:00:00"/>
    <s v="Wendy"/>
    <n v="2927.0240999999996"/>
    <n v="3243.24"/>
    <n v="316.21590000000015"/>
    <x v="1"/>
    <x v="12"/>
  </r>
  <r>
    <d v="2023-10-25T00:00:00"/>
    <x v="4"/>
    <x v="2"/>
    <s v="Desk"/>
    <s v="Desk"/>
    <x v="1"/>
    <n v="14"/>
    <n v="147.37"/>
    <s v="Store D"/>
    <s v="Wholesale"/>
    <n v="0.15"/>
    <x v="2"/>
    <n v="1753.703"/>
    <s v="Debit Card"/>
    <s v="WINTER15"/>
    <n v="1"/>
    <s v="REG101057"/>
    <s v="Cust 8551"/>
    <n v="45.75"/>
    <d v="2023-10-25T00:00:00"/>
    <d v="2023-10-31T00:00:00"/>
    <s v="Wendy"/>
    <n v="1490.6475499999999"/>
    <n v="2063.1800000000003"/>
    <n v="572.53245000000038"/>
    <x v="2"/>
    <x v="19"/>
  </r>
  <r>
    <d v="2023-09-30T00:00:00"/>
    <x v="1"/>
    <x v="0"/>
    <s v="Laptop"/>
    <s v="Laptop"/>
    <x v="0"/>
    <n v="7"/>
    <n v="421.12"/>
    <s v="Store D"/>
    <s v="Wholesale"/>
    <n v="0.15"/>
    <x v="4"/>
    <n v="2505.6640000000002"/>
    <s v="Gift Card"/>
    <m/>
    <n v="0"/>
    <s v="REG101058"/>
    <s v="Cust 8837"/>
    <n v="44.49"/>
    <d v="2023-09-30T00:00:00"/>
    <d v="2023-10-02T00:00:00"/>
    <s v="Sophie"/>
    <n v="2129.8144000000002"/>
    <n v="2947.84"/>
    <n v="818.02559999999994"/>
    <x v="2"/>
    <x v="22"/>
  </r>
  <r>
    <d v="2023-03-16T00:00:00"/>
    <x v="2"/>
    <x v="1"/>
    <s v="Phone"/>
    <s v="Phone"/>
    <x v="0"/>
    <n v="20"/>
    <n v="436.32"/>
    <s v="Store D"/>
    <s v="Retail"/>
    <n v="0"/>
    <x v="4"/>
    <n v="8726.4"/>
    <s v="Credit Card"/>
    <s v="FREESHIP"/>
    <n v="1"/>
    <s v="REG101059"/>
    <s v="Cust 6523"/>
    <n v="37.49"/>
    <d v="2023-03-16T00:00:00"/>
    <d v="2023-03-26T00:00:00"/>
    <s v="Ryan"/>
    <n v="8726.4"/>
    <n v="8726.4"/>
    <n v="0"/>
    <x v="0"/>
    <x v="17"/>
  </r>
  <r>
    <d v="2023-07-26T00:00:00"/>
    <x v="2"/>
    <x v="0"/>
    <s v="Laptop"/>
    <s v="Laptop"/>
    <x v="0"/>
    <n v="18"/>
    <n v="436.83"/>
    <s v="Store A"/>
    <s v="Wholesale"/>
    <n v="0.1"/>
    <x v="5"/>
    <n v="7076.6459999999997"/>
    <s v="Credit Card"/>
    <s v="SAVE10"/>
    <n v="0"/>
    <s v="REG101060"/>
    <s v="Cust 1947"/>
    <n v="28.8"/>
    <d v="2023-07-26T00:00:00"/>
    <d v="2023-08-02T00:00:00"/>
    <s v="Ryan"/>
    <n v="6368.9813999999997"/>
    <n v="7862.94"/>
    <n v="1493.9585999999999"/>
    <x v="1"/>
    <x v="11"/>
  </r>
  <r>
    <d v="2023-07-10T00:00:00"/>
    <x v="0"/>
    <x v="4"/>
    <s v="Monitor"/>
    <s v="Monitor"/>
    <x v="0"/>
    <n v="2"/>
    <n v="327.57"/>
    <s v="Store A"/>
    <s v="Retail"/>
    <n v="0.05"/>
    <x v="4"/>
    <n v="622.38299999999992"/>
    <s v="Debit Card"/>
    <m/>
    <n v="0"/>
    <s v="REG101061"/>
    <s v="Cust 3440"/>
    <n v="19.489999999999998"/>
    <d v="2023-07-10T00:00:00"/>
    <d v="2023-07-19T00:00:00"/>
    <s v="Eric"/>
    <n v="591.26384999999993"/>
    <n v="655.14"/>
    <n v="63.876150000000052"/>
    <x v="1"/>
    <x v="11"/>
  </r>
  <r>
    <d v="2024-08-06T00:00:00"/>
    <x v="0"/>
    <x v="6"/>
    <s v="Printer"/>
    <s v="Printer"/>
    <x v="2"/>
    <n v="18"/>
    <n v="166.92"/>
    <s v="Store C"/>
    <s v="Wholesale"/>
    <n v="0.05"/>
    <x v="1"/>
    <n v="2854.3319999999999"/>
    <s v="Gift Card"/>
    <s v="WINTER15"/>
    <n v="0"/>
    <s v="REG101062"/>
    <s v="Cust 4102"/>
    <n v="9.35"/>
    <d v="2024-08-06T00:00:00"/>
    <d v="2024-08-16T00:00:00"/>
    <s v="Eric"/>
    <n v="2711.6153999999997"/>
    <n v="3004.56"/>
    <n v="292.94460000000026"/>
    <x v="1"/>
    <x v="29"/>
  </r>
  <r>
    <d v="2024-07-16T00:00:00"/>
    <x v="3"/>
    <x v="1"/>
    <s v="Phone"/>
    <s v="Phone"/>
    <x v="0"/>
    <n v="14"/>
    <n v="300.38"/>
    <s v="Store A"/>
    <s v="Retail"/>
    <n v="0.1"/>
    <x v="1"/>
    <n v="3784.788"/>
    <s v="Online"/>
    <m/>
    <n v="0"/>
    <s v="REG101063"/>
    <s v="Cust 4145"/>
    <n v="38.6"/>
    <d v="2024-07-16T00:00:00"/>
    <d v="2024-07-19T00:00:00"/>
    <s v="Cameron"/>
    <n v="3406.3092000000001"/>
    <n v="4205.32"/>
    <n v="799.01079999999956"/>
    <x v="1"/>
    <x v="10"/>
  </r>
  <r>
    <d v="2024-01-31T00:00:00"/>
    <x v="2"/>
    <x v="6"/>
    <s v="Printer"/>
    <s v="Printer"/>
    <x v="2"/>
    <n v="5"/>
    <n v="232.29"/>
    <s v="Store A"/>
    <s v="Wholesale"/>
    <n v="0"/>
    <x v="1"/>
    <n v="1161.45"/>
    <s v="Online"/>
    <m/>
    <n v="1"/>
    <s v="REG101064"/>
    <s v="Cust 5206"/>
    <n v="42.38"/>
    <d v="2024-01-31T00:00:00"/>
    <d v="2024-02-09T00:00:00"/>
    <s v="Ryan"/>
    <n v="1161.45"/>
    <n v="1161.45"/>
    <n v="0"/>
    <x v="0"/>
    <x v="24"/>
  </r>
  <r>
    <d v="2023-04-22T00:00:00"/>
    <x v="3"/>
    <x v="5"/>
    <s v="Tablet"/>
    <s v="Tablet"/>
    <x v="0"/>
    <n v="1"/>
    <n v="173.44"/>
    <s v="Store A"/>
    <s v="Retail"/>
    <n v="0"/>
    <x v="5"/>
    <n v="173.44"/>
    <s v="Gift Card"/>
    <s v="FREESHIP"/>
    <n v="0"/>
    <s v="REG101065"/>
    <s v="Cust 4022"/>
    <n v="32.83"/>
    <d v="2023-04-22T00:00:00"/>
    <d v="2023-04-24T00:00:00"/>
    <s v="Cameron"/>
    <n v="173.44"/>
    <n v="173.44"/>
    <n v="0"/>
    <x v="0"/>
    <x v="21"/>
  </r>
  <r>
    <d v="2025-02-04T00:00:00"/>
    <x v="0"/>
    <x v="1"/>
    <s v="Phone"/>
    <s v="Phone"/>
    <x v="0"/>
    <n v="9"/>
    <n v="256.14"/>
    <s v="Store A"/>
    <s v="Retail"/>
    <n v="0.15"/>
    <x v="2"/>
    <n v="1959.471"/>
    <s v="Credit Card"/>
    <s v="SAVE10"/>
    <n v="1"/>
    <s v="REG101066"/>
    <s v="Cust 8676"/>
    <n v="5.21"/>
    <d v="2025-02-04T00:00:00"/>
    <d v="2025-02-07T00:00:00"/>
    <s v="Eric"/>
    <n v="1665.55035"/>
    <n v="2305.2599999999998"/>
    <n v="639.70964999999978"/>
    <x v="2"/>
    <x v="3"/>
  </r>
  <r>
    <d v="2024-08-25T00:00:00"/>
    <x v="3"/>
    <x v="0"/>
    <s v="Laptop"/>
    <s v="Laptop"/>
    <x v="0"/>
    <n v="12"/>
    <n v="461.3"/>
    <s v="Store D"/>
    <s v="Wholesale"/>
    <n v="0.15"/>
    <x v="4"/>
    <n v="4705.26"/>
    <s v="Gift Card"/>
    <s v="FREESHIP"/>
    <n v="0"/>
    <s v="REG101067"/>
    <s v="Cust 7492"/>
    <n v="8.6"/>
    <d v="2024-08-25T00:00:00"/>
    <d v="2024-09-03T00:00:00"/>
    <s v="Cameron"/>
    <n v="3999.471"/>
    <n v="5535.6"/>
    <n v="1536.1290000000004"/>
    <x v="2"/>
    <x v="29"/>
  </r>
  <r>
    <d v="2023-08-30T00:00:00"/>
    <x v="0"/>
    <x v="1"/>
    <s v="Phone"/>
    <s v="Phone"/>
    <x v="0"/>
    <n v="1"/>
    <n v="193.08"/>
    <s v="Store A"/>
    <s v="Wholesale"/>
    <n v="0.05"/>
    <x v="2"/>
    <n v="183.42599999999999"/>
    <s v="Online"/>
    <s v="SAVE10"/>
    <n v="0"/>
    <s v="REG101068"/>
    <s v="Cust 3150"/>
    <n v="23.99"/>
    <d v="2023-08-30T00:00:00"/>
    <d v="2023-09-05T00:00:00"/>
    <s v="Eric"/>
    <n v="174.25469999999999"/>
    <n v="193.08"/>
    <n v="18.825300000000027"/>
    <x v="1"/>
    <x v="18"/>
  </r>
  <r>
    <d v="2023-09-06T00:00:00"/>
    <x v="4"/>
    <x v="3"/>
    <s v="Chair"/>
    <s v="Chair"/>
    <x v="1"/>
    <n v="3"/>
    <n v="312.97000000000003"/>
    <s v="Store C"/>
    <s v="Retail"/>
    <n v="0.05"/>
    <x v="0"/>
    <n v="891.96450000000004"/>
    <s v="Credit Card"/>
    <m/>
    <n v="1"/>
    <s v="REG101069"/>
    <s v="Cust 7872"/>
    <n v="20.059999999999999"/>
    <d v="2023-09-06T00:00:00"/>
    <d v="2023-09-12T00:00:00"/>
    <s v="Wendy"/>
    <n v="847.36627499999997"/>
    <n v="938.91000000000008"/>
    <n v="91.543725000000109"/>
    <x v="1"/>
    <x v="22"/>
  </r>
  <r>
    <d v="2025-05-13T00:00:00"/>
    <x v="1"/>
    <x v="0"/>
    <s v="Laptop"/>
    <s v="Laptop"/>
    <x v="0"/>
    <n v="6"/>
    <n v="214.14"/>
    <s v="Store D"/>
    <s v="Wholesale"/>
    <n v="0.05"/>
    <x v="4"/>
    <n v="1220.598"/>
    <s v="Cash"/>
    <s v="FREESHIP"/>
    <n v="0"/>
    <s v="REG101070"/>
    <s v="Cust 8762"/>
    <n v="44.86"/>
    <d v="2025-05-13T00:00:00"/>
    <d v="2025-05-21T00:00:00"/>
    <s v="Sophie"/>
    <n v="1159.5681"/>
    <n v="1284.8399999999999"/>
    <n v="125.27189999999996"/>
    <x v="1"/>
    <x v="13"/>
  </r>
  <r>
    <d v="2023-10-29T00:00:00"/>
    <x v="2"/>
    <x v="1"/>
    <s v="Phone"/>
    <s v="Phone"/>
    <x v="0"/>
    <n v="4"/>
    <n v="59.8"/>
    <s v="Store D"/>
    <s v="Retail"/>
    <n v="0.1"/>
    <x v="2"/>
    <n v="215.28"/>
    <s v="Online"/>
    <s v="FREESHIP"/>
    <n v="0"/>
    <s v="REG101071"/>
    <s v="Cust 4004"/>
    <n v="42.59"/>
    <d v="2023-10-29T00:00:00"/>
    <d v="2023-11-06T00:00:00"/>
    <s v="Ryan"/>
    <n v="193.75200000000001"/>
    <n v="239.2"/>
    <n v="45.447999999999979"/>
    <x v="1"/>
    <x v="19"/>
  </r>
  <r>
    <d v="2024-06-12T00:00:00"/>
    <x v="0"/>
    <x v="0"/>
    <s v="Laptop"/>
    <s v="Laptop"/>
    <x v="0"/>
    <n v="9"/>
    <n v="418"/>
    <s v="Store C"/>
    <s v="Wholesale"/>
    <n v="0"/>
    <x v="5"/>
    <n v="3762"/>
    <s v="Credit Card"/>
    <s v="WINTER15"/>
    <n v="0"/>
    <s v="REG101072"/>
    <s v="Cust 2781"/>
    <n v="30.45"/>
    <d v="2024-06-12T00:00:00"/>
    <d v="2024-06-18T00:00:00"/>
    <s v="Eric"/>
    <n v="3762"/>
    <n v="3762"/>
    <n v="0"/>
    <x v="0"/>
    <x v="23"/>
  </r>
  <r>
    <d v="2023-02-02T00:00:00"/>
    <x v="1"/>
    <x v="3"/>
    <s v="Chair"/>
    <s v="Chair"/>
    <x v="1"/>
    <n v="1"/>
    <n v="80.959999999999994"/>
    <s v="Store A"/>
    <s v="Wholesale"/>
    <n v="0"/>
    <x v="5"/>
    <n v="80.959999999999994"/>
    <s v="Credit Card"/>
    <s v="FREESHIP"/>
    <n v="0"/>
    <s v="REG101073"/>
    <s v="Cust 9982"/>
    <n v="48.07"/>
    <d v="2023-02-02T00:00:00"/>
    <d v="2023-02-05T00:00:00"/>
    <s v="Sophie"/>
    <n v="80.959999999999994"/>
    <n v="80.959999999999994"/>
    <n v="0"/>
    <x v="0"/>
    <x v="0"/>
  </r>
  <r>
    <d v="2023-05-04T00:00:00"/>
    <x v="0"/>
    <x v="1"/>
    <s v="Phone"/>
    <s v="Phone"/>
    <x v="0"/>
    <n v="20"/>
    <n v="42.12"/>
    <s v="Store B"/>
    <s v="Wholesale"/>
    <n v="0.15"/>
    <x v="1"/>
    <n v="716.04"/>
    <s v="Credit Card"/>
    <m/>
    <n v="0"/>
    <s v="REG101074"/>
    <s v="Cust 9561"/>
    <n v="43.22"/>
    <d v="2023-05-04T00:00:00"/>
    <d v="2023-05-12T00:00:00"/>
    <s v="Eric"/>
    <n v="608.6339999999999"/>
    <n v="842.4"/>
    <n v="233.76600000000008"/>
    <x v="2"/>
    <x v="2"/>
  </r>
  <r>
    <d v="2023-05-24T00:00:00"/>
    <x v="4"/>
    <x v="4"/>
    <s v="Monitor"/>
    <s v="Monitor"/>
    <x v="0"/>
    <n v="3"/>
    <n v="366.65"/>
    <s v="Store D"/>
    <s v="Wholesale"/>
    <n v="0"/>
    <x v="3"/>
    <n v="1099.95"/>
    <s v="Credit Card"/>
    <s v="SAVE10"/>
    <n v="0"/>
    <s v="REG101075"/>
    <s v="Cust 3496"/>
    <n v="33.6"/>
    <d v="2023-05-24T00:00:00"/>
    <d v="2023-05-31T00:00:00"/>
    <s v="Wendy"/>
    <n v="1099.95"/>
    <n v="1099.9499999999998"/>
    <n v="0"/>
    <x v="0"/>
    <x v="2"/>
  </r>
  <r>
    <d v="2023-02-03T00:00:00"/>
    <x v="4"/>
    <x v="4"/>
    <s v="Monitor"/>
    <s v="Monitor"/>
    <x v="0"/>
    <n v="19"/>
    <n v="534.91999999999996"/>
    <s v="Store D"/>
    <s v="Retail"/>
    <n v="0"/>
    <x v="4"/>
    <n v="10163.48"/>
    <s v="Online"/>
    <m/>
    <n v="0"/>
    <s v="REG101076"/>
    <s v="Cust 4085"/>
    <n v="26.97"/>
    <d v="2023-02-03T00:00:00"/>
    <d v="2023-02-13T00:00:00"/>
    <s v="Wendy"/>
    <n v="10163.48"/>
    <n v="10163.48"/>
    <n v="0"/>
    <x v="0"/>
    <x v="0"/>
  </r>
  <r>
    <d v="2023-12-25T00:00:00"/>
    <x v="0"/>
    <x v="3"/>
    <s v="Chair"/>
    <s v="Chair"/>
    <x v="1"/>
    <n v="1"/>
    <n v="494.52"/>
    <s v="Store D"/>
    <s v="Retail"/>
    <n v="0"/>
    <x v="5"/>
    <n v="494.52"/>
    <s v="Credit Card"/>
    <m/>
    <n v="0"/>
    <s v="REG101077"/>
    <s v="Cust 1921"/>
    <n v="43.02"/>
    <d v="2023-12-25T00:00:00"/>
    <d v="2024-01-02T00:00:00"/>
    <s v="Eric"/>
    <n v="494.52"/>
    <n v="494.52"/>
    <n v="0"/>
    <x v="0"/>
    <x v="27"/>
  </r>
  <r>
    <d v="2023-07-26T00:00:00"/>
    <x v="0"/>
    <x v="4"/>
    <s v="Monitor"/>
    <s v="Monitor"/>
    <x v="0"/>
    <n v="6"/>
    <n v="344.67"/>
    <s v="Store D"/>
    <s v="Wholesale"/>
    <n v="0.1"/>
    <x v="4"/>
    <n v="1861.2180000000001"/>
    <s v="Online"/>
    <s v="SAVE10"/>
    <n v="1"/>
    <s v="REG101078"/>
    <s v="Cust 9053"/>
    <n v="31.13"/>
    <d v="2023-07-26T00:00:00"/>
    <d v="2023-08-01T00:00:00"/>
    <s v="Eric"/>
    <n v="1675.0962000000002"/>
    <n v="2068.02"/>
    <n v="392.9237999999998"/>
    <x v="1"/>
    <x v="11"/>
  </r>
  <r>
    <d v="2024-06-06T00:00:00"/>
    <x v="3"/>
    <x v="4"/>
    <s v="Monitor"/>
    <s v="Monitor"/>
    <x v="0"/>
    <n v="12"/>
    <n v="489.14"/>
    <s v="Store D"/>
    <s v="Retail"/>
    <n v="0.15"/>
    <x v="5"/>
    <n v="4989.2280000000001"/>
    <s v="Online"/>
    <s v="SAVE10"/>
    <n v="0"/>
    <s v="REG101079"/>
    <s v="Cust 9345"/>
    <n v="29.31"/>
    <d v="2024-06-06T00:00:00"/>
    <d v="2024-06-15T00:00:00"/>
    <s v="Cameron"/>
    <n v="4240.8437999999996"/>
    <n v="5869.68"/>
    <n v="1628.8362000000006"/>
    <x v="2"/>
    <x v="23"/>
  </r>
  <r>
    <d v="2024-10-13T00:00:00"/>
    <x v="1"/>
    <x v="6"/>
    <s v="Printer"/>
    <s v="Printer"/>
    <x v="2"/>
    <n v="18"/>
    <n v="256.23"/>
    <s v="Store B"/>
    <s v="Wholesale"/>
    <n v="0.05"/>
    <x v="0"/>
    <n v="4381.5330000000004"/>
    <s v="Debit Card"/>
    <m/>
    <n v="0"/>
    <s v="REG101080"/>
    <s v="Cust 3559"/>
    <n v="11.21"/>
    <d v="2024-10-13T00:00:00"/>
    <d v="2024-10-18T00:00:00"/>
    <s v="Sophie"/>
    <n v="4162.4563500000004"/>
    <n v="4612.1400000000003"/>
    <n v="449.68364999999994"/>
    <x v="1"/>
    <x v="7"/>
  </r>
  <r>
    <d v="2024-11-03T00:00:00"/>
    <x v="2"/>
    <x v="6"/>
    <s v="Printer"/>
    <s v="Printer"/>
    <x v="2"/>
    <n v="17"/>
    <n v="99.76"/>
    <s v="Store C"/>
    <s v="Wholesale"/>
    <n v="0"/>
    <x v="4"/>
    <n v="1695.92"/>
    <s v="Online"/>
    <s v="FREESHIP"/>
    <n v="1"/>
    <s v="REG101081"/>
    <s v="Cust 1762"/>
    <n v="21.89"/>
    <d v="2024-11-03T00:00:00"/>
    <d v="2024-11-13T00:00:00"/>
    <s v="Ryan"/>
    <n v="1695.92"/>
    <n v="1695.92"/>
    <n v="0"/>
    <x v="0"/>
    <x v="20"/>
  </r>
  <r>
    <d v="2024-02-03T00:00:00"/>
    <x v="2"/>
    <x v="6"/>
    <s v="Printer"/>
    <s v="Printer"/>
    <x v="2"/>
    <n v="14"/>
    <n v="575.66"/>
    <s v="Store C"/>
    <s v="Wholesale"/>
    <n v="0.1"/>
    <x v="2"/>
    <n v="7253.3159999999998"/>
    <s v="Credit Card"/>
    <m/>
    <n v="0"/>
    <s v="REG101082"/>
    <s v="Cust 7060"/>
    <n v="32.53"/>
    <d v="2024-02-03T00:00:00"/>
    <d v="2024-02-11T00:00:00"/>
    <s v="Ryan"/>
    <n v="6527.9844000000003"/>
    <n v="8059.24"/>
    <n v="1531.2555999999995"/>
    <x v="1"/>
    <x v="5"/>
  </r>
  <r>
    <d v="2023-01-10T00:00:00"/>
    <x v="0"/>
    <x v="3"/>
    <s v="Chair"/>
    <s v="Chair"/>
    <x v="1"/>
    <n v="6"/>
    <n v="176.52"/>
    <s v="Store D"/>
    <s v="Wholesale"/>
    <n v="0.15"/>
    <x v="1"/>
    <n v="900.25200000000007"/>
    <s v="Online"/>
    <s v="FREESHIP"/>
    <n v="0"/>
    <s v="REG101083"/>
    <s v="Cust 8796"/>
    <n v="16.98"/>
    <d v="2023-01-10T00:00:00"/>
    <d v="2023-01-13T00:00:00"/>
    <s v="Eric"/>
    <n v="765.21420000000001"/>
    <n v="1059.1200000000001"/>
    <n v="293.90580000000011"/>
    <x v="2"/>
    <x v="6"/>
  </r>
  <r>
    <d v="2023-10-16T00:00:00"/>
    <x v="0"/>
    <x v="5"/>
    <s v="Tablet"/>
    <s v="Tablet"/>
    <x v="0"/>
    <n v="6"/>
    <n v="485.66"/>
    <s v="Store D"/>
    <s v="Wholesale"/>
    <n v="0.05"/>
    <x v="0"/>
    <n v="2768.2620000000002"/>
    <s v="Gift Card"/>
    <s v="FREESHIP"/>
    <n v="0"/>
    <s v="REG101084"/>
    <s v="Cust 6055"/>
    <n v="30.62"/>
    <d v="2023-10-16T00:00:00"/>
    <d v="2023-10-22T00:00:00"/>
    <s v="Eric"/>
    <n v="2629.8489"/>
    <n v="2913.96"/>
    <n v="284.11110000000008"/>
    <x v="1"/>
    <x v="19"/>
  </r>
  <r>
    <d v="2025-03-19T00:00:00"/>
    <x v="3"/>
    <x v="0"/>
    <s v="Laptop"/>
    <s v="Laptop"/>
    <x v="0"/>
    <n v="8"/>
    <n v="141.61000000000001"/>
    <s v="Store B"/>
    <s v="Retail"/>
    <n v="0.1"/>
    <x v="5"/>
    <n v="1019.592"/>
    <s v="Gift Card"/>
    <s v="WINTER15"/>
    <n v="0"/>
    <s v="REG101085"/>
    <s v="Cust 5779"/>
    <n v="14.02"/>
    <d v="2025-03-19T00:00:00"/>
    <d v="2025-03-24T00:00:00"/>
    <s v="Cameron"/>
    <n v="917.63279999999997"/>
    <n v="1132.8800000000001"/>
    <n v="215.24720000000013"/>
    <x v="1"/>
    <x v="8"/>
  </r>
  <r>
    <d v="2024-12-16T00:00:00"/>
    <x v="4"/>
    <x v="2"/>
    <s v="Desk"/>
    <s v="Desk"/>
    <x v="1"/>
    <n v="9"/>
    <n v="215.29"/>
    <s v="Store C"/>
    <s v="Wholesale"/>
    <n v="0.1"/>
    <x v="1"/>
    <n v="1743.8489999999999"/>
    <s v="Credit Card"/>
    <s v="WINTER15"/>
    <n v="0"/>
    <s v="REG101086"/>
    <s v="Cust 9330"/>
    <n v="5.84"/>
    <d v="2024-12-16T00:00:00"/>
    <d v="2024-12-19T00:00:00"/>
    <s v="Wendy"/>
    <n v="1569.4640999999999"/>
    <n v="1937.61"/>
    <n v="368.14589999999998"/>
    <x v="1"/>
    <x v="1"/>
  </r>
  <r>
    <d v="2023-08-16T00:00:00"/>
    <x v="4"/>
    <x v="0"/>
    <s v="Laptop"/>
    <s v="Laptop"/>
    <x v="0"/>
    <n v="18"/>
    <n v="497.22"/>
    <s v="Store B"/>
    <s v="Wholesale"/>
    <n v="0.05"/>
    <x v="4"/>
    <n v="8502.4620000000014"/>
    <s v="Credit Card"/>
    <s v="WINTER15"/>
    <n v="0"/>
    <s v="REG101087"/>
    <s v="Cust 5374"/>
    <n v="17.39"/>
    <d v="2023-08-16T00:00:00"/>
    <d v="2023-08-20T00:00:00"/>
    <s v="Wendy"/>
    <n v="8077.3389000000006"/>
    <n v="8949.9600000000009"/>
    <n v="872.6211000000003"/>
    <x v="1"/>
    <x v="18"/>
  </r>
  <r>
    <d v="2023-01-10T00:00:00"/>
    <x v="0"/>
    <x v="2"/>
    <s v="Desk"/>
    <s v="Desk"/>
    <x v="1"/>
    <n v="13"/>
    <n v="347.73"/>
    <s v="Store B"/>
    <s v="Wholesale"/>
    <n v="0.05"/>
    <x v="4"/>
    <n v="4294.4654999999993"/>
    <s v="Gift Card"/>
    <s v="FREESHIP"/>
    <n v="1"/>
    <s v="REG101088"/>
    <s v="Cust 3321"/>
    <n v="31.81"/>
    <d v="2023-01-10T00:00:00"/>
    <d v="2023-01-20T00:00:00"/>
    <s v="Eric"/>
    <n v="4079.7422249999991"/>
    <n v="4520.49"/>
    <n v="440.74777500000073"/>
    <x v="1"/>
    <x v="6"/>
  </r>
  <r>
    <d v="2025-05-09T00:00:00"/>
    <x v="3"/>
    <x v="3"/>
    <s v="Chair"/>
    <s v="Chair"/>
    <x v="1"/>
    <n v="3"/>
    <n v="371.21"/>
    <s v="Store C"/>
    <s v="Wholesale"/>
    <n v="0.1"/>
    <x v="0"/>
    <n v="1002.2670000000001"/>
    <s v="Gift Card"/>
    <s v="SAVE10"/>
    <n v="0"/>
    <s v="REG101089"/>
    <s v="Cust 6554"/>
    <n v="20.02"/>
    <d v="2025-05-09T00:00:00"/>
    <d v="2025-05-18T00:00:00"/>
    <s v="Cameron"/>
    <n v="902.04030000000012"/>
    <n v="1113.6299999999999"/>
    <n v="211.58969999999977"/>
    <x v="1"/>
    <x v="13"/>
  </r>
  <r>
    <d v="2024-04-08T00:00:00"/>
    <x v="0"/>
    <x v="6"/>
    <s v="Printer"/>
    <s v="Printer"/>
    <x v="2"/>
    <n v="12"/>
    <n v="434.33"/>
    <s v="Store A"/>
    <s v="Wholesale"/>
    <n v="0.15"/>
    <x v="5"/>
    <n v="4430.1660000000002"/>
    <s v="Cash"/>
    <s v="FREESHIP"/>
    <n v="0"/>
    <s v="REG101090"/>
    <s v="Cust 6855"/>
    <n v="15.33"/>
    <d v="2024-04-08T00:00:00"/>
    <d v="2024-04-16T00:00:00"/>
    <s v="Eric"/>
    <n v="3765.6410999999998"/>
    <n v="5211.96"/>
    <n v="1446.3189000000002"/>
    <x v="2"/>
    <x v="9"/>
  </r>
  <r>
    <d v="2025-05-06T00:00:00"/>
    <x v="0"/>
    <x v="4"/>
    <s v="Monitor"/>
    <s v="Monitor"/>
    <x v="0"/>
    <n v="16"/>
    <n v="426.65"/>
    <s v="Store A"/>
    <s v="Retail"/>
    <n v="0.1"/>
    <x v="4"/>
    <n v="6143.76"/>
    <s v="Gift Card"/>
    <m/>
    <n v="0"/>
    <s v="REG101091"/>
    <s v="Cust 9955"/>
    <n v="10.199999999999999"/>
    <d v="2025-05-06T00:00:00"/>
    <d v="2025-05-15T00:00:00"/>
    <s v="Eric"/>
    <n v="5529.384"/>
    <n v="6826.4"/>
    <n v="1297.0159999999996"/>
    <x v="1"/>
    <x v="13"/>
  </r>
  <r>
    <d v="2023-05-21T00:00:00"/>
    <x v="4"/>
    <x v="2"/>
    <s v="Desk"/>
    <s v="Desk"/>
    <x v="1"/>
    <n v="6"/>
    <n v="294.97000000000003"/>
    <s v="Store A"/>
    <s v="Wholesale"/>
    <n v="0.05"/>
    <x v="5"/>
    <n v="1681.329"/>
    <s v="Credit Card"/>
    <s v="WINTER15"/>
    <n v="0"/>
    <s v="REG101092"/>
    <s v="Cust 3320"/>
    <n v="48.08"/>
    <d v="2023-05-21T00:00:00"/>
    <d v="2023-05-29T00:00:00"/>
    <s v="Wendy"/>
    <n v="1597.2625499999999"/>
    <n v="1769.8200000000002"/>
    <n v="172.55745000000024"/>
    <x v="1"/>
    <x v="2"/>
  </r>
  <r>
    <d v="2023-11-23T00:00:00"/>
    <x v="3"/>
    <x v="1"/>
    <s v="Phone"/>
    <s v="Phone"/>
    <x v="0"/>
    <n v="12"/>
    <n v="130.9"/>
    <s v="Store D"/>
    <s v="Retail"/>
    <n v="0.15"/>
    <x v="1"/>
    <n v="1335.18"/>
    <s v="Debit Card"/>
    <s v="SAVE10"/>
    <n v="0"/>
    <s v="REG101093"/>
    <s v="Cust 8177"/>
    <n v="34.69"/>
    <d v="2023-11-23T00:00:00"/>
    <d v="2023-11-30T00:00:00"/>
    <s v="Cameron"/>
    <n v="1134.903"/>
    <n v="1570.8000000000002"/>
    <n v="435.89700000000016"/>
    <x v="2"/>
    <x v="15"/>
  </r>
  <r>
    <d v="2024-03-26T00:00:00"/>
    <x v="2"/>
    <x v="4"/>
    <s v="Monitor"/>
    <s v="Monitor"/>
    <x v="0"/>
    <n v="18"/>
    <n v="539.98"/>
    <s v="Store C"/>
    <s v="Retail"/>
    <n v="0.15"/>
    <x v="0"/>
    <n v="8261.6939999999995"/>
    <s v="Cash"/>
    <s v="FREESHIP"/>
    <n v="1"/>
    <s v="REG101094"/>
    <s v="Cust 1743"/>
    <n v="34.44"/>
    <d v="2024-03-26T00:00:00"/>
    <d v="2024-04-05T00:00:00"/>
    <s v="Ryan"/>
    <n v="7022.4398999999994"/>
    <n v="9719.64"/>
    <n v="2697.2001"/>
    <x v="2"/>
    <x v="25"/>
  </r>
  <r>
    <d v="2024-09-25T00:00:00"/>
    <x v="1"/>
    <x v="2"/>
    <s v="Desk"/>
    <s v="Desk"/>
    <x v="1"/>
    <n v="12"/>
    <n v="149.37"/>
    <s v="Store D"/>
    <s v="Retail"/>
    <n v="0.1"/>
    <x v="5"/>
    <n v="1613.1959999999999"/>
    <s v="Credit Card"/>
    <m/>
    <n v="0"/>
    <s v="REG101095"/>
    <s v="Cust 3719"/>
    <n v="20.21"/>
    <d v="2024-09-25T00:00:00"/>
    <d v="2024-10-02T00:00:00"/>
    <s v="Sophie"/>
    <n v="1451.8763999999999"/>
    <n v="1792.44"/>
    <n v="340.56360000000018"/>
    <x v="1"/>
    <x v="26"/>
  </r>
  <r>
    <d v="2023-04-06T00:00:00"/>
    <x v="0"/>
    <x v="3"/>
    <s v="Chair"/>
    <s v="Chair"/>
    <x v="1"/>
    <n v="5"/>
    <n v="411.24"/>
    <s v="Store A"/>
    <s v="Wholesale"/>
    <n v="0.15"/>
    <x v="5"/>
    <n v="1747.77"/>
    <s v="Cash"/>
    <s v="WINTER15"/>
    <n v="1"/>
    <s v="REG101096"/>
    <s v="Cust 9323"/>
    <n v="5.35"/>
    <d v="2023-04-06T00:00:00"/>
    <d v="2023-04-10T00:00:00"/>
    <s v="Eric"/>
    <n v="1485.6044999999999"/>
    <n v="2056.1999999999998"/>
    <n v="570.5954999999999"/>
    <x v="2"/>
    <x v="21"/>
  </r>
  <r>
    <d v="2024-06-24T00:00:00"/>
    <x v="2"/>
    <x v="3"/>
    <s v="Chair"/>
    <s v="Chair"/>
    <x v="1"/>
    <n v="16"/>
    <n v="462.86"/>
    <s v="Store D"/>
    <s v="Retail"/>
    <n v="0.05"/>
    <x v="5"/>
    <n v="7035.4719999999998"/>
    <s v="Cash"/>
    <m/>
    <n v="1"/>
    <s v="REG101097"/>
    <s v="Cust 1914"/>
    <n v="17.43"/>
    <d v="2024-06-24T00:00:00"/>
    <d v="2024-06-26T00:00:00"/>
    <s v="Ryan"/>
    <n v="6683.6983999999993"/>
    <n v="7405.76"/>
    <n v="722.06160000000091"/>
    <x v="1"/>
    <x v="23"/>
  </r>
  <r>
    <d v="2024-12-15T00:00:00"/>
    <x v="1"/>
    <x v="0"/>
    <s v="Laptop"/>
    <s v="Laptop"/>
    <x v="0"/>
    <n v="17"/>
    <n v="506.38"/>
    <s v="Store B"/>
    <s v="Wholesale"/>
    <n v="0"/>
    <x v="3"/>
    <n v="8608.4599999999991"/>
    <s v="Cash"/>
    <s v="WINTER15"/>
    <n v="1"/>
    <s v="REG101098"/>
    <s v="Cust 5928"/>
    <n v="33.36"/>
    <d v="2024-12-15T00:00:00"/>
    <d v="2024-12-23T00:00:00"/>
    <s v="Sophie"/>
    <n v="8608.4599999999991"/>
    <n v="8608.4599999999991"/>
    <n v="0"/>
    <x v="0"/>
    <x v="1"/>
  </r>
  <r>
    <d v="2024-10-03T00:00:00"/>
    <x v="2"/>
    <x v="2"/>
    <s v="Desk"/>
    <s v="Desk"/>
    <x v="1"/>
    <n v="19"/>
    <n v="25.61"/>
    <s v="Store B"/>
    <s v="Retail"/>
    <n v="0"/>
    <x v="5"/>
    <n v="486.59"/>
    <s v="Gift Card"/>
    <m/>
    <n v="0"/>
    <s v="REG101099"/>
    <s v="Cust 1904"/>
    <n v="30.32"/>
    <d v="2024-10-03T00:00:00"/>
    <d v="2024-10-11T00:00:00"/>
    <s v="Ryan"/>
    <n v="486.59"/>
    <n v="486.59"/>
    <n v="0"/>
    <x v="0"/>
    <x v="7"/>
  </r>
  <r>
    <d v="2023-09-03T00:00:00"/>
    <x v="1"/>
    <x v="2"/>
    <s v="Desk"/>
    <s v="Desk"/>
    <x v="1"/>
    <n v="4"/>
    <n v="467.45"/>
    <s v="Store C"/>
    <s v="Wholesale"/>
    <n v="0.05"/>
    <x v="2"/>
    <n v="1776.31"/>
    <s v="Gift Card"/>
    <s v="WINTER15"/>
    <n v="0"/>
    <s v="REG101100"/>
    <s v="Cust 8062"/>
    <n v="25.05"/>
    <d v="2023-09-03T00:00:00"/>
    <d v="2023-09-13T00:00:00"/>
    <s v="Sophie"/>
    <n v="1687.4944999999998"/>
    <n v="1869.8"/>
    <n v="182.30550000000017"/>
    <x v="1"/>
    <x v="22"/>
  </r>
  <r>
    <d v="2023-01-29T00:00:00"/>
    <x v="2"/>
    <x v="6"/>
    <s v="Printer"/>
    <s v="Printer"/>
    <x v="2"/>
    <n v="10"/>
    <n v="140.5"/>
    <s v="Store B"/>
    <s v="Retail"/>
    <n v="0.15"/>
    <x v="3"/>
    <n v="1194.25"/>
    <s v="Online"/>
    <s v="FREESHIP"/>
    <n v="0"/>
    <s v="REG101101"/>
    <s v="Cust 8150"/>
    <n v="43.81"/>
    <d v="2023-01-29T00:00:00"/>
    <d v="2023-02-05T00:00:00"/>
    <s v="Ryan"/>
    <n v="1015.1125"/>
    <n v="1405"/>
    <n v="389.88750000000005"/>
    <x v="2"/>
    <x v="6"/>
  </r>
  <r>
    <d v="2024-06-12T00:00:00"/>
    <x v="2"/>
    <x v="1"/>
    <s v="Phone"/>
    <s v="Phone"/>
    <x v="0"/>
    <n v="8"/>
    <n v="57.85"/>
    <s v="Store D"/>
    <s v="Wholesale"/>
    <n v="0"/>
    <x v="2"/>
    <n v="462.8"/>
    <s v="Online"/>
    <s v="WINTER15"/>
    <n v="1"/>
    <s v="REG101102"/>
    <s v="Cust 3275"/>
    <n v="49.82"/>
    <d v="2024-06-12T00:00:00"/>
    <d v="2024-06-20T00:00:00"/>
    <s v="Ryan"/>
    <n v="462.8"/>
    <n v="462.8"/>
    <n v="0"/>
    <x v="0"/>
    <x v="23"/>
  </r>
  <r>
    <d v="2024-11-24T00:00:00"/>
    <x v="2"/>
    <x v="4"/>
    <s v="Monitor"/>
    <s v="Monitor"/>
    <x v="0"/>
    <n v="9"/>
    <n v="539.64"/>
    <s v="Store A"/>
    <s v="Retail"/>
    <n v="0.15"/>
    <x v="1"/>
    <n v="4128.2460000000001"/>
    <s v="Gift Card"/>
    <m/>
    <n v="0"/>
    <s v="REG101103"/>
    <s v="Cust 3854"/>
    <n v="16.079999999999998"/>
    <d v="2024-11-24T00:00:00"/>
    <d v="2024-12-03T00:00:00"/>
    <s v="Ryan"/>
    <n v="3509.0090999999998"/>
    <n v="4856.76"/>
    <n v="1347.7509000000005"/>
    <x v="2"/>
    <x v="20"/>
  </r>
  <r>
    <d v="2023-08-15T00:00:00"/>
    <x v="4"/>
    <x v="4"/>
    <s v="Monitor"/>
    <s v="Monitor"/>
    <x v="0"/>
    <n v="18"/>
    <n v="476.32"/>
    <s v="Store A"/>
    <s v="Wholesale"/>
    <n v="0"/>
    <x v="4"/>
    <n v="8573.76"/>
    <s v="Credit Card"/>
    <s v="SAVE10"/>
    <n v="1"/>
    <s v="REG101104"/>
    <s v="Cust 8398"/>
    <n v="47.43"/>
    <d v="2023-08-15T00:00:00"/>
    <d v="2023-08-20T00:00:00"/>
    <s v="Wendy"/>
    <n v="8573.76"/>
    <n v="8573.76"/>
    <n v="0"/>
    <x v="0"/>
    <x v="18"/>
  </r>
  <r>
    <d v="2024-08-21T00:00:00"/>
    <x v="3"/>
    <x v="5"/>
    <s v="Tablet"/>
    <s v="Tablet"/>
    <x v="0"/>
    <n v="11"/>
    <n v="143.85"/>
    <s v="Store A"/>
    <s v="Wholesale"/>
    <n v="0.1"/>
    <x v="0"/>
    <n v="1424.115"/>
    <s v="Debit Card"/>
    <s v="FREESHIP"/>
    <n v="0"/>
    <s v="REG101105"/>
    <s v="Cust 4026"/>
    <n v="6.85"/>
    <d v="2024-08-21T00:00:00"/>
    <d v="2024-08-30T00:00:00"/>
    <s v="Cameron"/>
    <n v="1281.7035000000001"/>
    <n v="1582.35"/>
    <n v="300.64649999999983"/>
    <x v="1"/>
    <x v="29"/>
  </r>
  <r>
    <d v="2023-05-24T00:00:00"/>
    <x v="4"/>
    <x v="4"/>
    <s v="Monitor"/>
    <s v="Monitor"/>
    <x v="0"/>
    <n v="4"/>
    <n v="323.63"/>
    <s v="Store C"/>
    <s v="Retail"/>
    <n v="0.1"/>
    <x v="3"/>
    <n v="1165.068"/>
    <s v="Credit Card"/>
    <s v="FREESHIP"/>
    <n v="0"/>
    <s v="REG101106"/>
    <s v="Cust 5794"/>
    <n v="32.92"/>
    <d v="2023-05-24T00:00:00"/>
    <d v="2023-06-01T00:00:00"/>
    <s v="Wendy"/>
    <n v="1048.5612000000001"/>
    <n v="1294.52"/>
    <n v="245.95879999999988"/>
    <x v="1"/>
    <x v="2"/>
  </r>
  <r>
    <d v="2023-04-27T00:00:00"/>
    <x v="4"/>
    <x v="4"/>
    <s v="Monitor"/>
    <s v="Monitor"/>
    <x v="0"/>
    <n v="16"/>
    <n v="37.4"/>
    <s v="Store A"/>
    <s v="Wholesale"/>
    <n v="0.05"/>
    <x v="5"/>
    <n v="568.4799999999999"/>
    <s v="Credit Card"/>
    <s v="FREESHIP"/>
    <n v="0"/>
    <s v="REG101107"/>
    <s v="Cust 2917"/>
    <n v="49.55"/>
    <d v="2023-04-27T00:00:00"/>
    <d v="2023-05-01T00:00:00"/>
    <s v="Wendy"/>
    <n v="540.05599999999993"/>
    <n v="598.4"/>
    <n v="58.344000000000051"/>
    <x v="1"/>
    <x v="21"/>
  </r>
  <r>
    <d v="2023-05-21T00:00:00"/>
    <x v="0"/>
    <x v="5"/>
    <s v="Tablet"/>
    <s v="Tablet"/>
    <x v="0"/>
    <n v="1"/>
    <n v="418.98"/>
    <s v="Store B"/>
    <s v="Retail"/>
    <n v="0.1"/>
    <x v="3"/>
    <n v="377.08200000000011"/>
    <s v="Gift Card"/>
    <s v="FREESHIP"/>
    <n v="0"/>
    <s v="REG101108"/>
    <s v="Cust 5659"/>
    <n v="43.72"/>
    <d v="2023-05-21T00:00:00"/>
    <d v="2023-05-26T00:00:00"/>
    <s v="Eric"/>
    <n v="339.37380000000013"/>
    <n v="418.98"/>
    <n v="79.606199999999887"/>
    <x v="1"/>
    <x v="2"/>
  </r>
  <r>
    <d v="2025-02-16T00:00:00"/>
    <x v="0"/>
    <x v="4"/>
    <s v="Monitor"/>
    <s v="Monitor"/>
    <x v="0"/>
    <n v="12"/>
    <n v="108.35"/>
    <s v="Store A"/>
    <s v="Wholesale"/>
    <n v="0"/>
    <x v="4"/>
    <n v="1300.2"/>
    <s v="Online"/>
    <s v="FREESHIP"/>
    <n v="0"/>
    <s v="REG101109"/>
    <s v="Cust 1857"/>
    <n v="42.06"/>
    <d v="2025-02-16T00:00:00"/>
    <d v="2025-02-25T00:00:00"/>
    <s v="Eric"/>
    <n v="1300.2"/>
    <n v="1300.1999999999998"/>
    <n v="0"/>
    <x v="0"/>
    <x v="3"/>
  </r>
  <r>
    <d v="2023-08-24T00:00:00"/>
    <x v="0"/>
    <x v="5"/>
    <s v="Tablet"/>
    <s v="Tablet"/>
    <x v="0"/>
    <n v="5"/>
    <n v="256.42"/>
    <s v="Store B"/>
    <s v="Retail"/>
    <n v="0"/>
    <x v="1"/>
    <n v="1282.0999999999999"/>
    <s v="Gift Card"/>
    <s v="FREESHIP"/>
    <n v="0"/>
    <s v="REG101110"/>
    <s v="Cust 6718"/>
    <n v="28.74"/>
    <d v="2023-08-24T00:00:00"/>
    <d v="2023-08-29T00:00:00"/>
    <s v="Eric"/>
    <n v="1282.0999999999999"/>
    <n v="1282.1000000000001"/>
    <n v="0"/>
    <x v="0"/>
    <x v="18"/>
  </r>
  <r>
    <d v="2024-03-14T00:00:00"/>
    <x v="0"/>
    <x v="2"/>
    <s v="Desk"/>
    <s v="Desk"/>
    <x v="1"/>
    <n v="16"/>
    <n v="544.91"/>
    <s v="Store B"/>
    <s v="Retail"/>
    <n v="0.1"/>
    <x v="2"/>
    <n v="7846.7039999999997"/>
    <s v="Credit Card"/>
    <s v="FREESHIP"/>
    <n v="0"/>
    <s v="REG101111"/>
    <s v="Cust 8378"/>
    <n v="39.26"/>
    <d v="2024-03-14T00:00:00"/>
    <d v="2024-03-21T00:00:00"/>
    <s v="Eric"/>
    <n v="7062.0335999999998"/>
    <n v="8718.56"/>
    <n v="1656.5263999999997"/>
    <x v="1"/>
    <x v="25"/>
  </r>
  <r>
    <d v="2024-01-29T00:00:00"/>
    <x v="2"/>
    <x v="2"/>
    <s v="Desk"/>
    <s v="Desk"/>
    <x v="1"/>
    <n v="19"/>
    <n v="113.42"/>
    <s v="Store A"/>
    <s v="Retail"/>
    <n v="0"/>
    <x v="0"/>
    <n v="2154.98"/>
    <s v="Debit Card"/>
    <s v="WINTER15"/>
    <n v="0"/>
    <s v="REG101112"/>
    <s v="Cust 3069"/>
    <n v="44.96"/>
    <d v="2024-01-29T00:00:00"/>
    <d v="2024-02-07T00:00:00"/>
    <s v="Ryan"/>
    <n v="2154.98"/>
    <n v="2154.98"/>
    <n v="0"/>
    <x v="0"/>
    <x v="24"/>
  </r>
  <r>
    <d v="2024-08-09T00:00:00"/>
    <x v="1"/>
    <x v="1"/>
    <s v="Phone"/>
    <s v="Phone"/>
    <x v="0"/>
    <n v="10"/>
    <n v="522.73"/>
    <s v="Store C"/>
    <s v="Retail"/>
    <n v="0.1"/>
    <x v="5"/>
    <n v="4704.5700000000006"/>
    <s v="Credit Card"/>
    <m/>
    <n v="0"/>
    <s v="REG101113"/>
    <s v="Cust 7619"/>
    <n v="20.059999999999999"/>
    <d v="2024-08-09T00:00:00"/>
    <d v="2024-08-15T00:00:00"/>
    <s v="Sophie"/>
    <n v="4234.1130000000003"/>
    <n v="5227.3"/>
    <n v="993.1869999999999"/>
    <x v="1"/>
    <x v="29"/>
  </r>
  <r>
    <d v="2024-07-08T00:00:00"/>
    <x v="2"/>
    <x v="5"/>
    <s v="Tablet"/>
    <s v="Tablet"/>
    <x v="0"/>
    <n v="18"/>
    <n v="448.03"/>
    <s v="Store B"/>
    <s v="Retail"/>
    <n v="0.15"/>
    <x v="2"/>
    <n v="6854.8589999999986"/>
    <s v="Cash"/>
    <s v="WINTER15"/>
    <n v="1"/>
    <s v="REG101114"/>
    <s v="Cust 6167"/>
    <n v="13.23"/>
    <d v="2024-07-08T00:00:00"/>
    <d v="2024-07-17T00:00:00"/>
    <s v="Ryan"/>
    <n v="5826.630149999999"/>
    <n v="8064.5399999999991"/>
    <n v="2237.90985"/>
    <x v="2"/>
    <x v="10"/>
  </r>
  <r>
    <d v="2024-08-20T00:00:00"/>
    <x v="2"/>
    <x v="4"/>
    <s v="Monitor"/>
    <s v="Monitor"/>
    <x v="0"/>
    <n v="15"/>
    <n v="208.51"/>
    <s v="Store A"/>
    <s v="Retail"/>
    <n v="0.05"/>
    <x v="3"/>
    <n v="2971.267499999999"/>
    <s v="Gift Card"/>
    <m/>
    <n v="0"/>
    <s v="REG101115"/>
    <s v="Cust 2453"/>
    <n v="37.81"/>
    <d v="2024-08-20T00:00:00"/>
    <d v="2024-08-29T00:00:00"/>
    <s v="Ryan"/>
    <n v="2822.7041249999988"/>
    <n v="3127.6499999999996"/>
    <n v="304.9458750000008"/>
    <x v="1"/>
    <x v="29"/>
  </r>
  <r>
    <d v="2023-06-26T00:00:00"/>
    <x v="3"/>
    <x v="0"/>
    <s v="Laptop"/>
    <s v="Laptop"/>
    <x v="0"/>
    <n v="13"/>
    <n v="423.64"/>
    <s v="Store C"/>
    <s v="Retail"/>
    <n v="0.1"/>
    <x v="1"/>
    <n v="4956.5879999999997"/>
    <s v="Debit Card"/>
    <m/>
    <n v="1"/>
    <s v="REG101116"/>
    <s v="Cust 8896"/>
    <n v="23.31"/>
    <d v="2023-06-26T00:00:00"/>
    <d v="2023-06-28T00:00:00"/>
    <s v="Cameron"/>
    <n v="4460.9291999999996"/>
    <n v="5507.32"/>
    <n v="1046.3908000000001"/>
    <x v="1"/>
    <x v="4"/>
  </r>
  <r>
    <d v="2023-12-23T00:00:00"/>
    <x v="0"/>
    <x v="3"/>
    <s v="Chair"/>
    <s v="Chair"/>
    <x v="1"/>
    <n v="5"/>
    <n v="552.26"/>
    <s v="Store D"/>
    <s v="Wholesale"/>
    <n v="0.15"/>
    <x v="1"/>
    <n v="2347.105"/>
    <s v="Debit Card"/>
    <s v="WINTER15"/>
    <n v="0"/>
    <s v="REG101117"/>
    <s v="Cust 8800"/>
    <n v="26.5"/>
    <d v="2023-12-23T00:00:00"/>
    <d v="2023-12-25T00:00:00"/>
    <s v="Eric"/>
    <n v="1995.03925"/>
    <n v="2761.3"/>
    <n v="766.26075000000014"/>
    <x v="2"/>
    <x v="27"/>
  </r>
  <r>
    <d v="2023-08-20T00:00:00"/>
    <x v="3"/>
    <x v="2"/>
    <s v="Desk"/>
    <s v="Desk"/>
    <x v="1"/>
    <n v="1"/>
    <n v="182.11"/>
    <s v="Store A"/>
    <s v="Retail"/>
    <n v="0.1"/>
    <x v="3"/>
    <n v="163.899"/>
    <s v="Credit Card"/>
    <s v="WINTER15"/>
    <n v="0"/>
    <s v="REG101118"/>
    <s v="Cust 1819"/>
    <n v="7.31"/>
    <d v="2023-08-20T00:00:00"/>
    <d v="2023-08-27T00:00:00"/>
    <s v="Cameron"/>
    <n v="147.50910000000002"/>
    <n v="182.11"/>
    <n v="34.600899999999996"/>
    <x v="1"/>
    <x v="18"/>
  </r>
  <r>
    <d v="2024-10-28T00:00:00"/>
    <x v="4"/>
    <x v="2"/>
    <s v="Desk"/>
    <s v="Desk"/>
    <x v="1"/>
    <n v="7"/>
    <n v="466.36"/>
    <s v="Store D"/>
    <s v="Wholesale"/>
    <n v="0.05"/>
    <x v="5"/>
    <n v="3101.2939999999999"/>
    <s v="Online"/>
    <s v="SAVE10"/>
    <n v="1"/>
    <s v="REG101119"/>
    <s v="Cust 1300"/>
    <n v="11.45"/>
    <d v="2024-10-28T00:00:00"/>
    <d v="2024-11-06T00:00:00"/>
    <s v="Wendy"/>
    <n v="2946.2292999999995"/>
    <n v="3264.52"/>
    <n v="318.29070000000047"/>
    <x v="1"/>
    <x v="7"/>
  </r>
  <r>
    <d v="2024-11-11T00:00:00"/>
    <x v="0"/>
    <x v="6"/>
    <s v="Printer"/>
    <s v="Printer"/>
    <x v="2"/>
    <n v="15"/>
    <n v="140.54"/>
    <s v="Store A"/>
    <s v="Wholesale"/>
    <n v="0.1"/>
    <x v="0"/>
    <n v="1897.29"/>
    <s v="Credit Card"/>
    <s v="SAVE10"/>
    <n v="0"/>
    <s v="REG101120"/>
    <s v="Cust 3807"/>
    <n v="49.91"/>
    <d v="2024-11-11T00:00:00"/>
    <d v="2024-11-21T00:00:00"/>
    <s v="Eric"/>
    <n v="1707.5609999999999"/>
    <n v="2108.1"/>
    <n v="400.53899999999999"/>
    <x v="1"/>
    <x v="20"/>
  </r>
  <r>
    <d v="2023-12-07T00:00:00"/>
    <x v="4"/>
    <x v="2"/>
    <s v="Desk"/>
    <s v="Desk"/>
    <x v="1"/>
    <n v="17"/>
    <n v="460.31"/>
    <s v="Store A"/>
    <s v="Retail"/>
    <n v="0.15"/>
    <x v="4"/>
    <n v="6651.4795000000004"/>
    <s v="Online"/>
    <s v="WINTER15"/>
    <n v="0"/>
    <s v="REG101121"/>
    <s v="Cust 6633"/>
    <n v="40.18"/>
    <d v="2023-12-07T00:00:00"/>
    <d v="2023-12-15T00:00:00"/>
    <s v="Wendy"/>
    <n v="5653.7575750000005"/>
    <n v="7825.27"/>
    <n v="2171.5124249999999"/>
    <x v="2"/>
    <x v="27"/>
  </r>
  <r>
    <d v="2024-03-23T00:00:00"/>
    <x v="4"/>
    <x v="0"/>
    <s v="Laptop"/>
    <s v="Laptop"/>
    <x v="0"/>
    <n v="5"/>
    <n v="132.87"/>
    <s v="Store B"/>
    <s v="Retail"/>
    <n v="0"/>
    <x v="5"/>
    <n v="664.35"/>
    <s v="Debit Card"/>
    <s v="WINTER15"/>
    <n v="0"/>
    <s v="REG101122"/>
    <s v="Cust 6573"/>
    <n v="37.909999999999997"/>
    <d v="2024-03-23T00:00:00"/>
    <d v="2024-04-02T00:00:00"/>
    <s v="Wendy"/>
    <n v="664.35"/>
    <n v="664.35"/>
    <n v="0"/>
    <x v="0"/>
    <x v="25"/>
  </r>
  <r>
    <d v="2024-10-29T00:00:00"/>
    <x v="4"/>
    <x v="5"/>
    <s v="Tablet"/>
    <s v="Tablet"/>
    <x v="0"/>
    <n v="12"/>
    <n v="209.86"/>
    <s v="Store D"/>
    <s v="Retail"/>
    <n v="0.05"/>
    <x v="5"/>
    <n v="2392.404"/>
    <s v="Online"/>
    <s v="WINTER15"/>
    <n v="0"/>
    <s v="REG101123"/>
    <s v="Cust 8600"/>
    <n v="8.7799999999999994"/>
    <d v="2024-10-29T00:00:00"/>
    <d v="2024-11-02T00:00:00"/>
    <s v="Wendy"/>
    <n v="2272.7837999999997"/>
    <n v="2518.3200000000002"/>
    <n v="245.53620000000046"/>
    <x v="1"/>
    <x v="7"/>
  </r>
  <r>
    <d v="2025-06-17T00:00:00"/>
    <x v="0"/>
    <x v="0"/>
    <s v="Laptop"/>
    <s v="Laptop"/>
    <x v="0"/>
    <n v="9"/>
    <n v="31.35"/>
    <s v="Store B"/>
    <s v="Retail"/>
    <n v="0.1"/>
    <x v="4"/>
    <n v="253.935"/>
    <s v="Cash"/>
    <s v="SAVE10"/>
    <n v="0"/>
    <s v="REG101124"/>
    <s v="Cust 8654"/>
    <n v="39.32"/>
    <d v="2025-06-17T00:00:00"/>
    <d v="2025-06-22T00:00:00"/>
    <s v="Eric"/>
    <n v="228.54150000000001"/>
    <n v="282.15000000000003"/>
    <n v="53.608500000000021"/>
    <x v="1"/>
    <x v="16"/>
  </r>
  <r>
    <d v="2023-03-18T00:00:00"/>
    <x v="2"/>
    <x v="3"/>
    <s v="Chair"/>
    <s v="Chair"/>
    <x v="1"/>
    <n v="11"/>
    <n v="335.11"/>
    <s v="Store C"/>
    <s v="Retail"/>
    <n v="0"/>
    <x v="2"/>
    <n v="3686.21"/>
    <s v="Gift Card"/>
    <s v="FREESHIP"/>
    <n v="0"/>
    <s v="REG101125"/>
    <s v="Cust 3708"/>
    <n v="29.95"/>
    <d v="2023-03-18T00:00:00"/>
    <d v="2023-03-26T00:00:00"/>
    <s v="Ryan"/>
    <n v="3686.21"/>
    <n v="3686.21"/>
    <n v="0"/>
    <x v="0"/>
    <x v="17"/>
  </r>
  <r>
    <d v="2023-01-19T00:00:00"/>
    <x v="0"/>
    <x v="1"/>
    <s v="Phone"/>
    <s v="Phone"/>
    <x v="0"/>
    <n v="8"/>
    <n v="277.43"/>
    <s v="Store D"/>
    <s v="Wholesale"/>
    <n v="0"/>
    <x v="3"/>
    <n v="2219.44"/>
    <s v="Online"/>
    <s v="SAVE10"/>
    <n v="0"/>
    <s v="REG101126"/>
    <s v="Cust 1268"/>
    <n v="36.380000000000003"/>
    <d v="2023-01-19T00:00:00"/>
    <d v="2023-01-23T00:00:00"/>
    <s v="Eric"/>
    <n v="2219.44"/>
    <n v="2219.44"/>
    <n v="0"/>
    <x v="0"/>
    <x v="6"/>
  </r>
  <r>
    <d v="2023-07-09T00:00:00"/>
    <x v="4"/>
    <x v="2"/>
    <s v="Desk"/>
    <s v="Desk"/>
    <x v="1"/>
    <n v="6"/>
    <n v="287.72000000000003"/>
    <s v="Store A"/>
    <s v="Retail"/>
    <n v="0.05"/>
    <x v="5"/>
    <n v="1640.0039999999999"/>
    <s v="Debit Card"/>
    <s v="WINTER15"/>
    <n v="0"/>
    <s v="REG101127"/>
    <s v="Cust 5600"/>
    <n v="17.14"/>
    <d v="2023-07-09T00:00:00"/>
    <d v="2023-07-14T00:00:00"/>
    <s v="Wendy"/>
    <n v="1558.0037999999997"/>
    <n v="1726.3200000000002"/>
    <n v="168.31620000000044"/>
    <x v="1"/>
    <x v="11"/>
  </r>
  <r>
    <d v="2025-03-16T00:00:00"/>
    <x v="0"/>
    <x v="0"/>
    <s v="Laptop"/>
    <s v="Laptop"/>
    <x v="0"/>
    <n v="14"/>
    <n v="459.61"/>
    <s v="Store B"/>
    <s v="Retail"/>
    <n v="0.05"/>
    <x v="2"/>
    <n v="6112.8130000000001"/>
    <s v="Online"/>
    <m/>
    <n v="1"/>
    <s v="REG101128"/>
    <s v="Cust 2438"/>
    <n v="43.41"/>
    <d v="2025-03-16T00:00:00"/>
    <d v="2025-03-26T00:00:00"/>
    <s v="Eric"/>
    <n v="5807.1723499999998"/>
    <n v="6434.54"/>
    <n v="627.36765000000014"/>
    <x v="1"/>
    <x v="8"/>
  </r>
  <r>
    <d v="2025-02-08T00:00:00"/>
    <x v="2"/>
    <x v="5"/>
    <s v="Tablet"/>
    <s v="Tablet"/>
    <x v="0"/>
    <n v="10"/>
    <n v="396.73"/>
    <s v="Store B"/>
    <s v="Retail"/>
    <n v="0.1"/>
    <x v="0"/>
    <n v="3570.57"/>
    <s v="Online"/>
    <s v="FREESHIP"/>
    <n v="0"/>
    <s v="REG101129"/>
    <s v="Cust 4293"/>
    <n v="18.13"/>
    <d v="2025-02-08T00:00:00"/>
    <d v="2025-02-13T00:00:00"/>
    <s v="Ryan"/>
    <n v="3213.5130000000004"/>
    <n v="3967.3"/>
    <n v="753.78699999999981"/>
    <x v="1"/>
    <x v="3"/>
  </r>
  <r>
    <d v="2024-04-20T00:00:00"/>
    <x v="1"/>
    <x v="6"/>
    <s v="Printer"/>
    <s v="Printer"/>
    <x v="2"/>
    <n v="20"/>
    <n v="516.42999999999995"/>
    <s v="Store B"/>
    <s v="Retail"/>
    <n v="0"/>
    <x v="5"/>
    <n v="10328.6"/>
    <s v="Online"/>
    <s v="FREESHIP"/>
    <n v="0"/>
    <s v="REG101130"/>
    <s v="Cust 6895"/>
    <n v="36.229999999999997"/>
    <d v="2024-04-20T00:00:00"/>
    <d v="2024-04-22T00:00:00"/>
    <s v="Sophie"/>
    <n v="10328.6"/>
    <n v="10328.599999999999"/>
    <n v="0"/>
    <x v="0"/>
    <x v="9"/>
  </r>
  <r>
    <d v="2025-06-05T00:00:00"/>
    <x v="0"/>
    <x v="0"/>
    <s v="Laptop"/>
    <s v="Laptop"/>
    <x v="0"/>
    <n v="1"/>
    <n v="299.66000000000003"/>
    <s v="Store A"/>
    <s v="Retail"/>
    <n v="0.1"/>
    <x v="4"/>
    <n v="269.69400000000002"/>
    <s v="Cash"/>
    <s v="SAVE10"/>
    <n v="0"/>
    <s v="REG101131"/>
    <s v="Cust 2616"/>
    <n v="38.94"/>
    <d v="2025-06-05T00:00:00"/>
    <d v="2025-06-07T00:00:00"/>
    <s v="Eric"/>
    <n v="242.72460000000001"/>
    <n v="299.66000000000003"/>
    <n v="56.935400000000016"/>
    <x v="1"/>
    <x v="16"/>
  </r>
  <r>
    <d v="2025-04-25T00:00:00"/>
    <x v="1"/>
    <x v="3"/>
    <s v="Chair"/>
    <s v="Chair"/>
    <x v="1"/>
    <n v="12"/>
    <n v="31.72"/>
    <s v="Store B"/>
    <s v="Retail"/>
    <n v="0"/>
    <x v="1"/>
    <n v="380.64"/>
    <s v="Debit Card"/>
    <s v="SAVE10"/>
    <n v="0"/>
    <s v="REG101132"/>
    <s v="Cust 5362"/>
    <n v="30.78"/>
    <d v="2025-04-25T00:00:00"/>
    <d v="2025-05-03T00:00:00"/>
    <s v="Sophie"/>
    <n v="380.64"/>
    <n v="380.64"/>
    <n v="0"/>
    <x v="0"/>
    <x v="28"/>
  </r>
  <r>
    <d v="2023-09-06T00:00:00"/>
    <x v="3"/>
    <x v="1"/>
    <s v="Phone"/>
    <s v="Phone"/>
    <x v="0"/>
    <n v="17"/>
    <n v="588.58000000000004"/>
    <s v="Store D"/>
    <s v="Wholesale"/>
    <n v="0.05"/>
    <x v="4"/>
    <n v="9505.5670000000009"/>
    <s v="Debit Card"/>
    <s v="SAVE10"/>
    <n v="1"/>
    <s v="REG101133"/>
    <s v="Cust 1670"/>
    <n v="25.31"/>
    <d v="2023-09-06T00:00:00"/>
    <d v="2023-09-13T00:00:00"/>
    <s v="Cameron"/>
    <n v="9030.2886500000004"/>
    <n v="10005.86"/>
    <n v="975.57135000000017"/>
    <x v="1"/>
    <x v="22"/>
  </r>
  <r>
    <d v="2023-09-29T00:00:00"/>
    <x v="0"/>
    <x v="0"/>
    <s v="Laptop"/>
    <s v="Laptop"/>
    <x v="0"/>
    <n v="11"/>
    <n v="203.15"/>
    <s v="Store C"/>
    <s v="Retail"/>
    <n v="0.1"/>
    <x v="0"/>
    <n v="2011.1849999999999"/>
    <s v="Online"/>
    <s v="FREESHIP"/>
    <n v="0"/>
    <s v="REG101134"/>
    <s v="Cust 2254"/>
    <n v="30.97"/>
    <d v="2023-09-29T00:00:00"/>
    <d v="2023-10-02T00:00:00"/>
    <s v="Eric"/>
    <n v="1810.0664999999999"/>
    <n v="2234.65"/>
    <n v="424.58350000000019"/>
    <x v="1"/>
    <x v="22"/>
  </r>
  <r>
    <d v="2024-05-21T00:00:00"/>
    <x v="3"/>
    <x v="4"/>
    <s v="Monitor"/>
    <s v="Monitor"/>
    <x v="0"/>
    <n v="18"/>
    <n v="139.13999999999999"/>
    <s v="Store A"/>
    <s v="Wholesale"/>
    <n v="0"/>
    <x v="3"/>
    <n v="2504.52"/>
    <s v="Online"/>
    <s v="FREESHIP"/>
    <n v="1"/>
    <s v="REG101135"/>
    <s v="Cust 9521"/>
    <n v="10.56"/>
    <d v="2024-05-21T00:00:00"/>
    <d v="2024-05-23T00:00:00"/>
    <s v="Cameron"/>
    <n v="2504.52"/>
    <n v="2504.5199999999995"/>
    <n v="0"/>
    <x v="0"/>
    <x v="14"/>
  </r>
  <r>
    <d v="2025-04-13T00:00:00"/>
    <x v="4"/>
    <x v="4"/>
    <s v="Monitor"/>
    <s v="Monitor"/>
    <x v="0"/>
    <n v="2"/>
    <n v="158.99"/>
    <s v="Store A"/>
    <s v="Wholesale"/>
    <n v="0"/>
    <x v="5"/>
    <n v="317.98"/>
    <s v="Online"/>
    <m/>
    <n v="0"/>
    <s v="REG101136"/>
    <s v="Cust 3921"/>
    <n v="48.32"/>
    <d v="2025-04-13T00:00:00"/>
    <d v="2025-04-19T00:00:00"/>
    <s v="Wendy"/>
    <n v="317.98"/>
    <n v="317.98"/>
    <n v="0"/>
    <x v="0"/>
    <x v="28"/>
  </r>
  <r>
    <d v="2024-11-16T00:00:00"/>
    <x v="0"/>
    <x v="3"/>
    <s v="Chair"/>
    <s v="Chair"/>
    <x v="1"/>
    <n v="3"/>
    <n v="387.63"/>
    <s v="Store A"/>
    <s v="Wholesale"/>
    <n v="0"/>
    <x v="4"/>
    <n v="1162.8900000000001"/>
    <s v="Credit Card"/>
    <s v="WINTER15"/>
    <n v="0"/>
    <s v="REG101137"/>
    <s v="Cust 7628"/>
    <n v="30.08"/>
    <d v="2024-11-16T00:00:00"/>
    <d v="2024-11-20T00:00:00"/>
    <s v="Eric"/>
    <n v="1162.8900000000001"/>
    <n v="1162.8899999999999"/>
    <n v="0"/>
    <x v="0"/>
    <x v="20"/>
  </r>
  <r>
    <d v="2024-07-20T00:00:00"/>
    <x v="2"/>
    <x v="2"/>
    <s v="Desk"/>
    <s v="Desk"/>
    <x v="1"/>
    <n v="5"/>
    <n v="202.12"/>
    <s v="Store A"/>
    <s v="Retail"/>
    <n v="0.1"/>
    <x v="4"/>
    <n v="909.54000000000008"/>
    <s v="Online"/>
    <s v="FREESHIP"/>
    <n v="1"/>
    <s v="REG101138"/>
    <s v="Cust 2453"/>
    <n v="45.61"/>
    <d v="2024-07-20T00:00:00"/>
    <d v="2024-07-28T00:00:00"/>
    <s v="Ryan"/>
    <n v="818.58600000000013"/>
    <n v="1010.6"/>
    <n v="192.0139999999999"/>
    <x v="1"/>
    <x v="10"/>
  </r>
  <r>
    <d v="2023-05-20T00:00:00"/>
    <x v="2"/>
    <x v="2"/>
    <s v="Desk"/>
    <s v="Desk"/>
    <x v="1"/>
    <n v="4"/>
    <n v="334.57"/>
    <s v="Store C"/>
    <s v="Retail"/>
    <n v="0.15"/>
    <x v="3"/>
    <n v="1137.538"/>
    <s v="Gift Card"/>
    <m/>
    <n v="0"/>
    <s v="REG101139"/>
    <s v="Cust 4210"/>
    <n v="11.49"/>
    <d v="2023-05-20T00:00:00"/>
    <d v="2023-05-27T00:00:00"/>
    <s v="Ryan"/>
    <n v="966.90729999999996"/>
    <n v="1338.28"/>
    <n v="371.37270000000001"/>
    <x v="2"/>
    <x v="2"/>
  </r>
  <r>
    <d v="2023-10-22T00:00:00"/>
    <x v="4"/>
    <x v="1"/>
    <s v="Phone"/>
    <s v="Phone"/>
    <x v="0"/>
    <n v="16"/>
    <n v="486.71"/>
    <s v="Store B"/>
    <s v="Wholesale"/>
    <n v="0.15"/>
    <x v="3"/>
    <n v="6619.2559999999994"/>
    <s v="Online"/>
    <s v="FREESHIP"/>
    <n v="1"/>
    <s v="REG101140"/>
    <s v="Cust 1951"/>
    <n v="12.53"/>
    <d v="2023-10-22T00:00:00"/>
    <d v="2023-10-26T00:00:00"/>
    <s v="Wendy"/>
    <n v="5626.3675999999996"/>
    <n v="7787.36"/>
    <n v="2160.9924000000001"/>
    <x v="2"/>
    <x v="19"/>
  </r>
  <r>
    <d v="2025-05-18T00:00:00"/>
    <x v="2"/>
    <x v="4"/>
    <s v="Monitor"/>
    <s v="Monitor"/>
    <x v="0"/>
    <n v="2"/>
    <n v="188.29"/>
    <s v="Store D"/>
    <s v="Wholesale"/>
    <n v="0.15"/>
    <x v="5"/>
    <n v="320.09300000000002"/>
    <s v="Credit Card"/>
    <s v="SAVE10"/>
    <n v="0"/>
    <s v="REG101141"/>
    <s v="Cust 9405"/>
    <n v="32.22"/>
    <d v="2025-05-18T00:00:00"/>
    <d v="2025-05-21T00:00:00"/>
    <s v="Ryan"/>
    <n v="272.07905"/>
    <n v="376.58"/>
    <n v="104.50094999999999"/>
    <x v="2"/>
    <x v="13"/>
  </r>
  <r>
    <d v="2024-03-03T00:00:00"/>
    <x v="1"/>
    <x v="0"/>
    <s v="Laptop"/>
    <s v="Laptop"/>
    <x v="0"/>
    <n v="3"/>
    <n v="260.72000000000003"/>
    <s v="Store B"/>
    <s v="Wholesale"/>
    <n v="0.15"/>
    <x v="2"/>
    <n v="664.83600000000001"/>
    <s v="Online"/>
    <s v="WINTER15"/>
    <n v="0"/>
    <s v="REG101142"/>
    <s v="Cust 8769"/>
    <n v="19.41"/>
    <d v="2024-03-03T00:00:00"/>
    <d v="2024-03-06T00:00:00"/>
    <s v="Sophie"/>
    <n v="565.11059999999998"/>
    <n v="782.16000000000008"/>
    <n v="217.04940000000011"/>
    <x v="2"/>
    <x v="25"/>
  </r>
  <r>
    <d v="2023-07-23T00:00:00"/>
    <x v="0"/>
    <x v="2"/>
    <s v="Desk"/>
    <s v="Desk"/>
    <x v="1"/>
    <n v="6"/>
    <n v="358.27"/>
    <s v="Store B"/>
    <s v="Retail"/>
    <n v="0.1"/>
    <x v="2"/>
    <n v="1934.6579999999999"/>
    <s v="Gift Card"/>
    <m/>
    <n v="0"/>
    <s v="REG101143"/>
    <s v="Cust 9982"/>
    <n v="7.34"/>
    <d v="2023-07-23T00:00:00"/>
    <d v="2023-08-02T00:00:00"/>
    <s v="Eric"/>
    <n v="1741.1922"/>
    <n v="2149.62"/>
    <n v="408.42779999999993"/>
    <x v="1"/>
    <x v="11"/>
  </r>
  <r>
    <d v="2025-02-09T00:00:00"/>
    <x v="2"/>
    <x v="2"/>
    <s v="Desk"/>
    <s v="Desk"/>
    <x v="1"/>
    <n v="13"/>
    <n v="492.66"/>
    <s v="Store B"/>
    <s v="Retail"/>
    <n v="0.1"/>
    <x v="2"/>
    <n v="5764.1220000000003"/>
    <s v="Gift Card"/>
    <s v="FREESHIP"/>
    <n v="0"/>
    <s v="REG101144"/>
    <s v="Cust 4068"/>
    <n v="46.21"/>
    <d v="2025-02-09T00:00:00"/>
    <d v="2025-02-14T00:00:00"/>
    <s v="Ryan"/>
    <n v="5187.7098000000005"/>
    <n v="6404.58"/>
    <n v="1216.8701999999994"/>
    <x v="1"/>
    <x v="3"/>
  </r>
  <r>
    <d v="2023-01-17T00:00:00"/>
    <x v="1"/>
    <x v="3"/>
    <s v="Chair"/>
    <s v="Chair"/>
    <x v="1"/>
    <n v="3"/>
    <n v="348.38"/>
    <s v="Store B"/>
    <s v="Wholesale"/>
    <n v="0"/>
    <x v="3"/>
    <n v="1045.1400000000001"/>
    <s v="Gift Card"/>
    <s v="FREESHIP"/>
    <n v="0"/>
    <s v="REG101145"/>
    <s v="Cust 3523"/>
    <n v="26.25"/>
    <d v="2023-01-17T00:00:00"/>
    <d v="2023-01-23T00:00:00"/>
    <s v="Sophie"/>
    <n v="1045.1400000000001"/>
    <n v="1045.1399999999999"/>
    <n v="0"/>
    <x v="0"/>
    <x v="6"/>
  </r>
  <r>
    <d v="2023-09-17T00:00:00"/>
    <x v="2"/>
    <x v="1"/>
    <s v="Phone"/>
    <s v="Phone"/>
    <x v="0"/>
    <n v="6"/>
    <n v="437.59"/>
    <s v="Store D"/>
    <s v="Wholesale"/>
    <n v="0.05"/>
    <x v="4"/>
    <n v="2494.2629999999999"/>
    <s v="Gift Card"/>
    <s v="WINTER15"/>
    <n v="1"/>
    <s v="REG101146"/>
    <s v="Cust 3377"/>
    <n v="39.4"/>
    <d v="2023-09-17T00:00:00"/>
    <d v="2023-09-26T00:00:00"/>
    <s v="Ryan"/>
    <n v="2369.5498499999999"/>
    <n v="2625.54"/>
    <n v="255.99015000000009"/>
    <x v="1"/>
    <x v="22"/>
  </r>
  <r>
    <d v="2025-02-15T00:00:00"/>
    <x v="2"/>
    <x v="6"/>
    <s v="Printer"/>
    <s v="Printer"/>
    <x v="2"/>
    <n v="19"/>
    <n v="118.09"/>
    <s v="Store D"/>
    <s v="Wholesale"/>
    <n v="0.1"/>
    <x v="1"/>
    <n v="2019.3389999999999"/>
    <s v="Online"/>
    <s v="SAVE10"/>
    <n v="0"/>
    <s v="REG101147"/>
    <s v="Cust 3125"/>
    <n v="10.77"/>
    <d v="2025-02-15T00:00:00"/>
    <d v="2025-02-23T00:00:00"/>
    <s v="Ryan"/>
    <n v="1817.4050999999999"/>
    <n v="2243.71"/>
    <n v="426.30490000000009"/>
    <x v="1"/>
    <x v="3"/>
  </r>
  <r>
    <d v="2023-10-07T00:00:00"/>
    <x v="4"/>
    <x v="5"/>
    <s v="Tablet"/>
    <s v="Tablet"/>
    <x v="0"/>
    <n v="15"/>
    <n v="188.57"/>
    <s v="Store C"/>
    <s v="Wholesale"/>
    <n v="0.05"/>
    <x v="5"/>
    <n v="2687.122499999999"/>
    <s v="Credit Card"/>
    <s v="FREESHIP"/>
    <n v="1"/>
    <s v="REG101148"/>
    <s v="Cust 4623"/>
    <n v="38.61"/>
    <d v="2023-10-07T00:00:00"/>
    <d v="2023-10-09T00:00:00"/>
    <s v="Wendy"/>
    <n v="2552.7663749999988"/>
    <n v="2828.5499999999997"/>
    <n v="275.78362500000094"/>
    <x v="1"/>
    <x v="19"/>
  </r>
  <r>
    <d v="2023-08-08T00:00:00"/>
    <x v="4"/>
    <x v="1"/>
    <s v="Phone"/>
    <s v="Phone"/>
    <x v="0"/>
    <n v="8"/>
    <n v="200.74"/>
    <s v="Store A"/>
    <s v="Wholesale"/>
    <n v="0"/>
    <x v="4"/>
    <n v="1605.92"/>
    <s v="Gift Card"/>
    <s v="SAVE10"/>
    <n v="1"/>
    <s v="REG101149"/>
    <s v="Cust 4571"/>
    <n v="30.7"/>
    <d v="2023-08-08T00:00:00"/>
    <d v="2023-08-10T00:00:00"/>
    <s v="Wendy"/>
    <n v="1605.92"/>
    <n v="1605.92"/>
    <n v="0"/>
    <x v="0"/>
    <x v="18"/>
  </r>
  <r>
    <d v="2023-08-21T00:00:00"/>
    <x v="0"/>
    <x v="0"/>
    <s v="Laptop"/>
    <s v="Laptop"/>
    <x v="0"/>
    <n v="3"/>
    <n v="142.09"/>
    <s v="Store C"/>
    <s v="Wholesale"/>
    <n v="0.15"/>
    <x v="2"/>
    <n v="362.3295"/>
    <s v="Gift Card"/>
    <s v="WINTER15"/>
    <n v="0"/>
    <s v="REG101150"/>
    <s v="Cust 6453"/>
    <n v="26.04"/>
    <d v="2023-08-21T00:00:00"/>
    <d v="2023-08-27T00:00:00"/>
    <s v="Eric"/>
    <n v="307.980075"/>
    <n v="426.27"/>
    <n v="118.28992499999998"/>
    <x v="2"/>
    <x v="18"/>
  </r>
  <r>
    <d v="2024-07-07T00:00:00"/>
    <x v="2"/>
    <x v="5"/>
    <s v="Tablet"/>
    <s v="Tablet"/>
    <x v="0"/>
    <n v="15"/>
    <n v="576.12"/>
    <s v="Store D"/>
    <s v="Retail"/>
    <n v="0.1"/>
    <x v="1"/>
    <n v="7777.62"/>
    <s v="Online"/>
    <s v="WINTER15"/>
    <n v="0"/>
    <s v="REG101151"/>
    <s v="Cust 6982"/>
    <n v="29.31"/>
    <d v="2024-07-07T00:00:00"/>
    <d v="2024-07-11T00:00:00"/>
    <s v="Ryan"/>
    <n v="6999.8580000000002"/>
    <n v="8641.7999999999993"/>
    <n v="1641.9419999999991"/>
    <x v="1"/>
    <x v="10"/>
  </r>
  <r>
    <d v="2025-01-17T00:00:00"/>
    <x v="1"/>
    <x v="2"/>
    <s v="Desk"/>
    <s v="Desk"/>
    <x v="1"/>
    <n v="9"/>
    <n v="96.97"/>
    <s v="Store D"/>
    <s v="Retail"/>
    <n v="0.15"/>
    <x v="5"/>
    <n v="741.82050000000004"/>
    <s v="Credit Card"/>
    <s v="WINTER15"/>
    <n v="1"/>
    <s v="REG101152"/>
    <s v="Cust 6824"/>
    <n v="30.87"/>
    <d v="2025-01-17T00:00:00"/>
    <d v="2025-01-24T00:00:00"/>
    <s v="Sophie"/>
    <n v="630.54742499999998"/>
    <n v="872.73"/>
    <n v="242.18257500000004"/>
    <x v="2"/>
    <x v="12"/>
  </r>
  <r>
    <d v="2023-12-06T00:00:00"/>
    <x v="2"/>
    <x v="5"/>
    <s v="Tablet"/>
    <s v="Tablet"/>
    <x v="0"/>
    <n v="17"/>
    <n v="218.04"/>
    <s v="Store D"/>
    <s v="Wholesale"/>
    <n v="0.15"/>
    <x v="5"/>
    <n v="3150.6779999999999"/>
    <s v="Cash"/>
    <m/>
    <n v="0"/>
    <s v="REG101153"/>
    <s v="Cust 3172"/>
    <n v="16"/>
    <d v="2023-12-06T00:00:00"/>
    <d v="2023-12-16T00:00:00"/>
    <s v="Ryan"/>
    <n v="2678.0762999999997"/>
    <n v="3706.68"/>
    <n v="1028.6037000000001"/>
    <x v="2"/>
    <x v="27"/>
  </r>
  <r>
    <d v="2023-03-01T00:00:00"/>
    <x v="1"/>
    <x v="2"/>
    <s v="Desk"/>
    <s v="Desk"/>
    <x v="1"/>
    <n v="2"/>
    <n v="153.33000000000001"/>
    <s v="Store C"/>
    <s v="Wholesale"/>
    <n v="0.05"/>
    <x v="3"/>
    <n v="291.327"/>
    <s v="Cash"/>
    <m/>
    <n v="0"/>
    <s v="REG101154"/>
    <s v="Cust 8146"/>
    <n v="31.55"/>
    <d v="2023-03-01T00:00:00"/>
    <d v="2023-03-04T00:00:00"/>
    <s v="Sophie"/>
    <n v="276.76065"/>
    <n v="306.66000000000003"/>
    <n v="29.899350000000027"/>
    <x v="1"/>
    <x v="17"/>
  </r>
  <r>
    <d v="2025-02-11T00:00:00"/>
    <x v="2"/>
    <x v="6"/>
    <s v="Printer"/>
    <s v="Printer"/>
    <x v="2"/>
    <n v="8"/>
    <n v="316.12"/>
    <s v="Store B"/>
    <s v="Wholesale"/>
    <n v="0.1"/>
    <x v="4"/>
    <n v="2276.0639999999999"/>
    <s v="Gift Card"/>
    <s v="WINTER15"/>
    <n v="0"/>
    <s v="REG101155"/>
    <s v="Cust 3299"/>
    <n v="6.28"/>
    <d v="2025-02-11T00:00:00"/>
    <d v="2025-02-15T00:00:00"/>
    <s v="Ryan"/>
    <n v="2048.4575999999997"/>
    <n v="2528.96"/>
    <n v="480.50240000000031"/>
    <x v="1"/>
    <x v="3"/>
  </r>
  <r>
    <d v="2023-06-20T00:00:00"/>
    <x v="3"/>
    <x v="6"/>
    <s v="Printer"/>
    <s v="Printer"/>
    <x v="2"/>
    <n v="13"/>
    <n v="153.57"/>
    <s v="Store B"/>
    <s v="Wholesale"/>
    <n v="0.05"/>
    <x v="3"/>
    <n v="1896.5895"/>
    <s v="Gift Card"/>
    <m/>
    <n v="0"/>
    <s v="REG101156"/>
    <s v="Cust 6476"/>
    <n v="27.98"/>
    <d v="2023-06-20T00:00:00"/>
    <d v="2023-06-25T00:00:00"/>
    <s v="Cameron"/>
    <n v="1801.760025"/>
    <n v="1996.4099999999999"/>
    <n v="194.64997499999981"/>
    <x v="1"/>
    <x v="4"/>
  </r>
  <r>
    <d v="2024-02-29T00:00:00"/>
    <x v="4"/>
    <x v="6"/>
    <s v="Printer"/>
    <s v="Printer"/>
    <x v="2"/>
    <n v="7"/>
    <n v="208.31"/>
    <s v="Store C"/>
    <s v="Wholesale"/>
    <n v="0.05"/>
    <x v="2"/>
    <n v="1385.2615000000001"/>
    <s v="Online"/>
    <s v="SAVE10"/>
    <n v="0"/>
    <s v="REG101157"/>
    <s v="Cust 9835"/>
    <n v="26.57"/>
    <d v="2024-02-29T00:00:00"/>
    <d v="2024-03-03T00:00:00"/>
    <s v="Wendy"/>
    <n v="1315.998425"/>
    <n v="1458.17"/>
    <n v="142.17157500000008"/>
    <x v="1"/>
    <x v="5"/>
  </r>
  <r>
    <d v="2025-06-30T00:00:00"/>
    <x v="2"/>
    <x v="3"/>
    <s v="Chair"/>
    <s v="Chair"/>
    <x v="1"/>
    <n v="2"/>
    <n v="160.96"/>
    <s v="Store C"/>
    <s v="Wholesale"/>
    <n v="0.1"/>
    <x v="0"/>
    <n v="289.72800000000001"/>
    <s v="Gift Card"/>
    <s v="WINTER15"/>
    <n v="0"/>
    <s v="REG101158"/>
    <s v="Cust 1003"/>
    <n v="44.97"/>
    <d v="2025-06-30T00:00:00"/>
    <d v="2025-07-05T00:00:00"/>
    <s v="Ryan"/>
    <n v="260.7552"/>
    <n v="321.92"/>
    <n v="61.164800000000014"/>
    <x v="1"/>
    <x v="16"/>
  </r>
  <r>
    <d v="2024-08-19T00:00:00"/>
    <x v="2"/>
    <x v="4"/>
    <s v="Monitor"/>
    <s v="Monitor"/>
    <x v="0"/>
    <n v="3"/>
    <n v="373.77"/>
    <s v="Store B"/>
    <s v="Retail"/>
    <n v="0.1"/>
    <x v="0"/>
    <n v="1009.179"/>
    <s v="Cash"/>
    <s v="WINTER15"/>
    <n v="1"/>
    <s v="REG101159"/>
    <s v="Cust 9705"/>
    <n v="17.62"/>
    <d v="2024-08-19T00:00:00"/>
    <d v="2024-08-25T00:00:00"/>
    <s v="Ryan"/>
    <n v="908.26109999999994"/>
    <n v="1121.31"/>
    <n v="213.0489"/>
    <x v="1"/>
    <x v="29"/>
  </r>
  <r>
    <d v="2024-01-15T00:00:00"/>
    <x v="3"/>
    <x v="6"/>
    <s v="Printer"/>
    <s v="Printer"/>
    <x v="2"/>
    <n v="20"/>
    <n v="200.7"/>
    <s v="Store D"/>
    <s v="Retail"/>
    <n v="0.1"/>
    <x v="1"/>
    <n v="3612.6"/>
    <s v="Online"/>
    <s v="FREESHIP"/>
    <n v="0"/>
    <s v="REG101160"/>
    <s v="Cust 3421"/>
    <n v="29.6"/>
    <d v="2024-01-15T00:00:00"/>
    <d v="2024-01-19T00:00:00"/>
    <s v="Cameron"/>
    <n v="3251.34"/>
    <n v="4014"/>
    <n v="762.65999999999985"/>
    <x v="1"/>
    <x v="24"/>
  </r>
  <r>
    <d v="2024-08-08T00:00:00"/>
    <x v="3"/>
    <x v="2"/>
    <s v="Desk"/>
    <s v="Desk"/>
    <x v="1"/>
    <n v="14"/>
    <n v="115.77"/>
    <s v="Store B"/>
    <s v="Wholesale"/>
    <n v="0.15"/>
    <x v="2"/>
    <n v="1377.663"/>
    <s v="Credit Card"/>
    <s v="SAVE10"/>
    <n v="1"/>
    <s v="REG101161"/>
    <s v="Cust 1690"/>
    <n v="20.12"/>
    <d v="2024-08-08T00:00:00"/>
    <d v="2024-08-11T00:00:00"/>
    <s v="Cameron"/>
    <n v="1171.0135499999999"/>
    <n v="1620.78"/>
    <n v="449.76645000000008"/>
    <x v="2"/>
    <x v="29"/>
  </r>
  <r>
    <d v="2024-10-05T00:00:00"/>
    <x v="4"/>
    <x v="1"/>
    <s v="Phone"/>
    <s v="Phone"/>
    <x v="0"/>
    <n v="12"/>
    <n v="535.41"/>
    <s v="Store C"/>
    <s v="Retail"/>
    <n v="0.1"/>
    <x v="2"/>
    <n v="5782.4279999999999"/>
    <s v="Gift Card"/>
    <m/>
    <n v="0"/>
    <s v="REG101162"/>
    <s v="Cust 2507"/>
    <n v="27.82"/>
    <d v="2024-10-05T00:00:00"/>
    <d v="2024-10-07T00:00:00"/>
    <s v="Wendy"/>
    <n v="5204.1851999999999"/>
    <n v="6424.92"/>
    <n v="1220.7348000000002"/>
    <x v="1"/>
    <x v="7"/>
  </r>
  <r>
    <d v="2024-01-13T00:00:00"/>
    <x v="1"/>
    <x v="2"/>
    <s v="Desk"/>
    <s v="Desk"/>
    <x v="1"/>
    <n v="12"/>
    <n v="103.59"/>
    <s v="Store A"/>
    <s v="Retail"/>
    <n v="0.1"/>
    <x v="2"/>
    <n v="1118.7719999999999"/>
    <s v="Debit Card"/>
    <s v="FREESHIP"/>
    <n v="0"/>
    <s v="REG101163"/>
    <s v="Cust 9880"/>
    <n v="48.11"/>
    <d v="2024-01-13T00:00:00"/>
    <d v="2024-01-21T00:00:00"/>
    <s v="Sophie"/>
    <n v="1006.8947999999999"/>
    <n v="1243.08"/>
    <n v="236.18520000000001"/>
    <x v="1"/>
    <x v="24"/>
  </r>
  <r>
    <d v="2023-03-29T00:00:00"/>
    <x v="4"/>
    <x v="0"/>
    <s v="Laptop"/>
    <s v="Laptop"/>
    <x v="0"/>
    <n v="18"/>
    <n v="176.32"/>
    <s v="Store B"/>
    <s v="Wholesale"/>
    <n v="0.05"/>
    <x v="4"/>
    <n v="3015.0720000000001"/>
    <s v="Debit Card"/>
    <m/>
    <n v="0"/>
    <s v="REG101164"/>
    <s v="Cust 3972"/>
    <n v="36.35"/>
    <d v="2023-03-29T00:00:00"/>
    <d v="2023-04-04T00:00:00"/>
    <s v="Wendy"/>
    <n v="2864.3184000000001"/>
    <n v="3173.7599999999998"/>
    <n v="309.44159999999965"/>
    <x v="1"/>
    <x v="17"/>
  </r>
  <r>
    <d v="2023-10-19T00:00:00"/>
    <x v="2"/>
    <x v="6"/>
    <s v="Printer"/>
    <s v="Printer"/>
    <x v="2"/>
    <n v="5"/>
    <n v="112.44"/>
    <s v="Store D"/>
    <s v="Retail"/>
    <n v="0.1"/>
    <x v="5"/>
    <n v="505.98000000000008"/>
    <s v="Credit Card"/>
    <m/>
    <n v="1"/>
    <s v="REG101165"/>
    <s v="Cust 8280"/>
    <n v="7.46"/>
    <d v="2023-10-19T00:00:00"/>
    <d v="2023-10-23T00:00:00"/>
    <s v="Ryan"/>
    <n v="455.38200000000006"/>
    <n v="562.20000000000005"/>
    <n v="106.81799999999998"/>
    <x v="1"/>
    <x v="19"/>
  </r>
  <r>
    <d v="2023-10-23T00:00:00"/>
    <x v="4"/>
    <x v="3"/>
    <s v="Chair"/>
    <s v="Chair"/>
    <x v="1"/>
    <n v="20"/>
    <n v="19.3"/>
    <s v="Store C"/>
    <s v="Wholesale"/>
    <n v="0"/>
    <x v="5"/>
    <n v="386"/>
    <s v="Debit Card"/>
    <s v="SAVE10"/>
    <n v="0"/>
    <s v="REG101166"/>
    <s v="Cust 4205"/>
    <n v="47.23"/>
    <d v="2023-10-23T00:00:00"/>
    <d v="2023-11-01T00:00:00"/>
    <s v="Wendy"/>
    <n v="386"/>
    <n v="386"/>
    <n v="0"/>
    <x v="0"/>
    <x v="19"/>
  </r>
  <r>
    <d v="2023-03-24T00:00:00"/>
    <x v="1"/>
    <x v="1"/>
    <s v="Phone"/>
    <s v="Phone"/>
    <x v="0"/>
    <n v="9"/>
    <n v="233.11"/>
    <s v="Store B"/>
    <s v="Retail"/>
    <n v="0.05"/>
    <x v="0"/>
    <n v="1993.0905"/>
    <s v="Debit Card"/>
    <s v="WINTER15"/>
    <n v="0"/>
    <s v="REG101167"/>
    <s v="Cust 2579"/>
    <n v="31.43"/>
    <d v="2023-03-24T00:00:00"/>
    <d v="2023-03-28T00:00:00"/>
    <s v="Sophie"/>
    <n v="1893.4359749999999"/>
    <n v="2097.9900000000002"/>
    <n v="204.55402500000037"/>
    <x v="1"/>
    <x v="17"/>
  </r>
  <r>
    <d v="2024-08-09T00:00:00"/>
    <x v="4"/>
    <x v="6"/>
    <s v="Printer"/>
    <s v="Printer"/>
    <x v="2"/>
    <n v="17"/>
    <n v="66.48"/>
    <s v="Store C"/>
    <s v="Wholesale"/>
    <n v="0.15"/>
    <x v="0"/>
    <n v="960.63600000000008"/>
    <s v="Gift Card"/>
    <s v="WINTER15"/>
    <n v="1"/>
    <s v="REG101168"/>
    <s v="Cust 7265"/>
    <n v="10.79"/>
    <d v="2024-08-09T00:00:00"/>
    <d v="2024-08-14T00:00:00"/>
    <s v="Wendy"/>
    <n v="816.54060000000004"/>
    <n v="1130.1600000000001"/>
    <n v="313.61940000000004"/>
    <x v="2"/>
    <x v="29"/>
  </r>
  <r>
    <d v="2023-04-26T00:00:00"/>
    <x v="1"/>
    <x v="0"/>
    <s v="Laptop"/>
    <s v="Laptop"/>
    <x v="0"/>
    <n v="17"/>
    <n v="504.63"/>
    <s v="Store A"/>
    <s v="Wholesale"/>
    <n v="0.1"/>
    <x v="3"/>
    <n v="7720.838999999999"/>
    <s v="Online"/>
    <s v="WINTER15"/>
    <n v="1"/>
    <s v="REG101169"/>
    <s v="Cust 1199"/>
    <n v="48.33"/>
    <d v="2023-04-26T00:00:00"/>
    <d v="2023-05-06T00:00:00"/>
    <s v="Sophie"/>
    <n v="6948.7550999999994"/>
    <n v="8578.7099999999991"/>
    <n v="1629.9548999999997"/>
    <x v="1"/>
    <x v="21"/>
  </r>
  <r>
    <d v="2024-03-04T00:00:00"/>
    <x v="4"/>
    <x v="5"/>
    <s v="Tablet"/>
    <s v="Tablet"/>
    <x v="0"/>
    <n v="11"/>
    <n v="97.84"/>
    <s v="Store B"/>
    <s v="Retail"/>
    <n v="0.05"/>
    <x v="1"/>
    <n v="1022.428"/>
    <s v="Debit Card"/>
    <s v="SAVE10"/>
    <n v="1"/>
    <s v="REG101170"/>
    <s v="Cust 2928"/>
    <n v="45.97"/>
    <d v="2024-03-04T00:00:00"/>
    <d v="2024-03-12T00:00:00"/>
    <s v="Wendy"/>
    <n v="971.3066"/>
    <n v="1076.24"/>
    <n v="104.93340000000001"/>
    <x v="1"/>
    <x v="25"/>
  </r>
  <r>
    <d v="2023-02-14T00:00:00"/>
    <x v="0"/>
    <x v="5"/>
    <s v="Tablet"/>
    <s v="Tablet"/>
    <x v="0"/>
    <n v="7"/>
    <n v="468.14"/>
    <s v="Store A"/>
    <s v="Retail"/>
    <n v="0.15"/>
    <x v="5"/>
    <n v="2785.433"/>
    <s v="Cash"/>
    <s v="SAVE10"/>
    <n v="0"/>
    <s v="REG101171"/>
    <s v="Cust 9447"/>
    <n v="47.56"/>
    <d v="2023-02-14T00:00:00"/>
    <d v="2023-02-17T00:00:00"/>
    <s v="Eric"/>
    <n v="2367.61805"/>
    <n v="3276.98"/>
    <n v="909.36194999999998"/>
    <x v="2"/>
    <x v="0"/>
  </r>
  <r>
    <d v="2023-04-28T00:00:00"/>
    <x v="4"/>
    <x v="5"/>
    <s v="Tablet"/>
    <s v="Tablet"/>
    <x v="0"/>
    <n v="20"/>
    <n v="476.69"/>
    <s v="Store B"/>
    <s v="Wholesale"/>
    <n v="0.05"/>
    <x v="5"/>
    <n v="9057.1099999999988"/>
    <s v="Online"/>
    <s v="WINTER15"/>
    <n v="0"/>
    <s v="REG101172"/>
    <s v="Cust 9095"/>
    <n v="10.199999999999999"/>
    <d v="2023-04-28T00:00:00"/>
    <d v="2023-05-03T00:00:00"/>
    <s v="Wendy"/>
    <n v="8604.2544999999991"/>
    <n v="9533.7999999999993"/>
    <n v="929.54550000000017"/>
    <x v="1"/>
    <x v="21"/>
  </r>
  <r>
    <d v="2024-03-03T00:00:00"/>
    <x v="2"/>
    <x v="1"/>
    <s v="Phone"/>
    <s v="Phone"/>
    <x v="0"/>
    <n v="2"/>
    <n v="160.72999999999999"/>
    <s v="Store A"/>
    <s v="Wholesale"/>
    <n v="0.15"/>
    <x v="2"/>
    <n v="273.24099999999999"/>
    <s v="Cash"/>
    <s v="FREESHIP"/>
    <n v="0"/>
    <s v="REG101173"/>
    <s v="Cust 7587"/>
    <n v="20.18"/>
    <d v="2024-03-03T00:00:00"/>
    <d v="2024-03-11T00:00:00"/>
    <s v="Ryan"/>
    <n v="232.25484999999998"/>
    <n v="321.45999999999998"/>
    <n v="89.205150000000003"/>
    <x v="2"/>
    <x v="25"/>
  </r>
  <r>
    <d v="2024-09-04T00:00:00"/>
    <x v="4"/>
    <x v="5"/>
    <s v="Tablet"/>
    <s v="Tablet"/>
    <x v="0"/>
    <n v="9"/>
    <n v="228.98"/>
    <s v="Store D"/>
    <s v="Retail"/>
    <n v="0.15"/>
    <x v="2"/>
    <n v="1751.6969999999999"/>
    <s v="Online"/>
    <s v="WINTER15"/>
    <n v="0"/>
    <s v="REG101174"/>
    <s v="Cust 2611"/>
    <n v="45.79"/>
    <d v="2024-09-04T00:00:00"/>
    <d v="2024-09-08T00:00:00"/>
    <s v="Wendy"/>
    <n v="1488.9424499999998"/>
    <n v="2060.8199999999997"/>
    <n v="571.87754999999993"/>
    <x v="2"/>
    <x v="26"/>
  </r>
  <r>
    <d v="2024-12-30T00:00:00"/>
    <x v="0"/>
    <x v="5"/>
    <s v="Tablet"/>
    <s v="Tablet"/>
    <x v="0"/>
    <n v="19"/>
    <n v="336.5"/>
    <s v="Store B"/>
    <s v="Wholesale"/>
    <n v="0"/>
    <x v="1"/>
    <n v="6393.5"/>
    <s v="Online"/>
    <s v="WINTER15"/>
    <n v="0"/>
    <s v="REG101175"/>
    <s v="Cust 8284"/>
    <n v="27.43"/>
    <d v="2024-12-30T00:00:00"/>
    <d v="2025-01-07T00:00:00"/>
    <s v="Eric"/>
    <n v="6393.5"/>
    <n v="6393.5"/>
    <n v="0"/>
    <x v="0"/>
    <x v="1"/>
  </r>
  <r>
    <d v="2024-02-10T00:00:00"/>
    <x v="0"/>
    <x v="6"/>
    <s v="Printer"/>
    <s v="Printer"/>
    <x v="2"/>
    <n v="18"/>
    <n v="411.59"/>
    <s v="Store A"/>
    <s v="Wholesale"/>
    <n v="0"/>
    <x v="5"/>
    <n v="7408.62"/>
    <s v="Credit Card"/>
    <s v="WINTER15"/>
    <n v="0"/>
    <s v="REG101176"/>
    <s v="Cust 8154"/>
    <n v="9.6199999999999992"/>
    <d v="2024-02-10T00:00:00"/>
    <d v="2024-02-16T00:00:00"/>
    <s v="Eric"/>
    <n v="7408.62"/>
    <n v="7408.62"/>
    <n v="0"/>
    <x v="0"/>
    <x v="5"/>
  </r>
  <r>
    <d v="2023-09-07T00:00:00"/>
    <x v="3"/>
    <x v="6"/>
    <s v="Printer"/>
    <s v="Printer"/>
    <x v="2"/>
    <n v="1"/>
    <n v="431.49"/>
    <s v="Store C"/>
    <s v="Wholesale"/>
    <n v="0.15"/>
    <x v="1"/>
    <n v="366.76650000000001"/>
    <s v="Cash"/>
    <s v="SAVE10"/>
    <n v="0"/>
    <s v="REG101177"/>
    <s v="Cust 5215"/>
    <n v="17.53"/>
    <d v="2023-09-07T00:00:00"/>
    <d v="2023-09-15T00:00:00"/>
    <s v="Cameron"/>
    <n v="311.75152500000002"/>
    <n v="431.49"/>
    <n v="119.73847499999999"/>
    <x v="2"/>
    <x v="22"/>
  </r>
  <r>
    <d v="2023-08-11T00:00:00"/>
    <x v="0"/>
    <x v="0"/>
    <s v="Laptop"/>
    <s v="Laptop"/>
    <x v="0"/>
    <n v="18"/>
    <n v="495.39"/>
    <s v="Store A"/>
    <s v="Wholesale"/>
    <n v="0"/>
    <x v="3"/>
    <n v="8917.02"/>
    <s v="Gift Card"/>
    <s v="SAVE10"/>
    <n v="0"/>
    <s v="REG101178"/>
    <s v="Cust 5309"/>
    <n v="14.88"/>
    <d v="2023-08-11T00:00:00"/>
    <d v="2023-08-15T00:00:00"/>
    <s v="Eric"/>
    <n v="8917.02"/>
    <n v="8917.02"/>
    <n v="0"/>
    <x v="0"/>
    <x v="18"/>
  </r>
  <r>
    <d v="2023-03-12T00:00:00"/>
    <x v="4"/>
    <x v="1"/>
    <s v="Phone"/>
    <s v="Phone"/>
    <x v="0"/>
    <n v="4"/>
    <n v="149.30000000000001"/>
    <s v="Store A"/>
    <s v="Wholesale"/>
    <n v="0.1"/>
    <x v="4"/>
    <n v="537.48"/>
    <s v="Debit Card"/>
    <s v="FREESHIP"/>
    <n v="0"/>
    <s v="REG101179"/>
    <s v="Cust 2016"/>
    <n v="47.84"/>
    <d v="2023-03-12T00:00:00"/>
    <d v="2023-03-16T00:00:00"/>
    <s v="Wendy"/>
    <n v="483.73200000000003"/>
    <n v="597.20000000000005"/>
    <n v="113.46800000000002"/>
    <x v="1"/>
    <x v="17"/>
  </r>
  <r>
    <d v="2023-03-29T00:00:00"/>
    <x v="3"/>
    <x v="2"/>
    <s v="Desk"/>
    <s v="Desk"/>
    <x v="1"/>
    <n v="18"/>
    <n v="179.97"/>
    <s v="Store C"/>
    <s v="Wholesale"/>
    <n v="0.1"/>
    <x v="0"/>
    <n v="2915.5140000000001"/>
    <s v="Cash"/>
    <s v="SAVE10"/>
    <n v="0"/>
    <s v="REG101180"/>
    <s v="Cust 2676"/>
    <n v="22.15"/>
    <d v="2023-03-29T00:00:00"/>
    <d v="2023-03-31T00:00:00"/>
    <s v="Cameron"/>
    <n v="2623.9626000000003"/>
    <n v="3239.46"/>
    <n v="615.49739999999974"/>
    <x v="1"/>
    <x v="17"/>
  </r>
  <r>
    <d v="2025-02-17T00:00:00"/>
    <x v="1"/>
    <x v="3"/>
    <s v="Chair"/>
    <s v="Chair"/>
    <x v="1"/>
    <n v="11"/>
    <n v="381.14"/>
    <s v="Store B"/>
    <s v="Retail"/>
    <n v="0.05"/>
    <x v="2"/>
    <n v="3982.913"/>
    <s v="Gift Card"/>
    <s v="FREESHIP"/>
    <n v="0"/>
    <s v="REG101181"/>
    <s v="Cust 7529"/>
    <n v="32.83"/>
    <d v="2025-02-17T00:00:00"/>
    <d v="2025-02-27T00:00:00"/>
    <s v="Sophie"/>
    <n v="3783.7673499999996"/>
    <n v="4192.54"/>
    <n v="408.77265000000034"/>
    <x v="1"/>
    <x v="3"/>
  </r>
  <r>
    <d v="2024-01-07T00:00:00"/>
    <x v="2"/>
    <x v="3"/>
    <s v="Chair"/>
    <s v="Chair"/>
    <x v="1"/>
    <n v="5"/>
    <n v="454.62"/>
    <s v="Store C"/>
    <s v="Wholesale"/>
    <n v="0.05"/>
    <x v="4"/>
    <n v="2159.4450000000002"/>
    <s v="Gift Card"/>
    <m/>
    <n v="0"/>
    <s v="REG101182"/>
    <s v="Cust 6172"/>
    <n v="10.19"/>
    <d v="2024-01-07T00:00:00"/>
    <d v="2024-01-15T00:00:00"/>
    <s v="Ryan"/>
    <n v="2051.4727499999999"/>
    <n v="2273.1"/>
    <n v="221.62725"/>
    <x v="1"/>
    <x v="24"/>
  </r>
  <r>
    <d v="2023-01-14T00:00:00"/>
    <x v="0"/>
    <x v="1"/>
    <s v="Phone"/>
    <s v="Phone"/>
    <x v="0"/>
    <n v="17"/>
    <n v="226.56"/>
    <s v="Store A"/>
    <s v="Wholesale"/>
    <n v="0.1"/>
    <x v="4"/>
    <n v="3466.3679999999999"/>
    <s v="Gift Card"/>
    <s v="WINTER15"/>
    <n v="1"/>
    <s v="REG101183"/>
    <s v="Cust 2527"/>
    <n v="36.89"/>
    <d v="2023-01-14T00:00:00"/>
    <d v="2023-01-20T00:00:00"/>
    <s v="Eric"/>
    <n v="3119.7312000000002"/>
    <n v="3851.52"/>
    <n v="731.78879999999981"/>
    <x v="1"/>
    <x v="6"/>
  </r>
  <r>
    <d v="2024-01-03T00:00:00"/>
    <x v="4"/>
    <x v="0"/>
    <s v="Laptop"/>
    <s v="Laptop"/>
    <x v="0"/>
    <n v="2"/>
    <n v="132.91"/>
    <s v="Store A"/>
    <s v="Wholesale"/>
    <n v="0"/>
    <x v="5"/>
    <n v="265.82"/>
    <s v="Debit Card"/>
    <s v="WINTER15"/>
    <n v="0"/>
    <s v="REG101184"/>
    <s v="Cust 1970"/>
    <n v="7.76"/>
    <d v="2024-01-03T00:00:00"/>
    <d v="2024-01-12T00:00:00"/>
    <s v="Wendy"/>
    <n v="265.82"/>
    <n v="265.82"/>
    <n v="0"/>
    <x v="0"/>
    <x v="24"/>
  </r>
  <r>
    <d v="2023-08-25T00:00:00"/>
    <x v="1"/>
    <x v="2"/>
    <s v="Desk"/>
    <s v="Desk"/>
    <x v="1"/>
    <n v="2"/>
    <n v="35.69"/>
    <s v="Store C"/>
    <s v="Retail"/>
    <n v="0"/>
    <x v="0"/>
    <n v="71.38"/>
    <s v="Debit Card"/>
    <s v="FREESHIP"/>
    <n v="0"/>
    <s v="REG101185"/>
    <s v="Cust 9543"/>
    <n v="39.89"/>
    <d v="2023-08-25T00:00:00"/>
    <d v="2023-08-28T00:00:00"/>
    <s v="Sophie"/>
    <n v="71.38"/>
    <n v="71.38"/>
    <n v="0"/>
    <x v="0"/>
    <x v="18"/>
  </r>
  <r>
    <d v="2025-05-16T00:00:00"/>
    <x v="2"/>
    <x v="2"/>
    <s v="Desk"/>
    <s v="Desk"/>
    <x v="1"/>
    <n v="6"/>
    <n v="451.93"/>
    <s v="Store A"/>
    <s v="Wholesale"/>
    <n v="0.15"/>
    <x v="0"/>
    <n v="2304.8429999999998"/>
    <s v="Cash"/>
    <s v="WINTER15"/>
    <n v="1"/>
    <s v="REG101186"/>
    <s v="Cust 2957"/>
    <n v="49.37"/>
    <d v="2025-05-16T00:00:00"/>
    <d v="2025-05-25T00:00:00"/>
    <s v="Ryan"/>
    <n v="1959.1165499999997"/>
    <n v="2711.58"/>
    <n v="752.46345000000019"/>
    <x v="2"/>
    <x v="13"/>
  </r>
  <r>
    <d v="2023-12-30T00:00:00"/>
    <x v="1"/>
    <x v="0"/>
    <s v="Laptop"/>
    <s v="Laptop"/>
    <x v="0"/>
    <n v="7"/>
    <n v="270.47000000000003"/>
    <s v="Store D"/>
    <s v="Wholesale"/>
    <n v="0.05"/>
    <x v="4"/>
    <n v="1798.6255000000001"/>
    <s v="Credit Card"/>
    <s v="WINTER15"/>
    <n v="1"/>
    <s v="REG101187"/>
    <s v="Cust 2852"/>
    <n v="41.56"/>
    <d v="2023-12-30T00:00:00"/>
    <d v="2024-01-03T00:00:00"/>
    <s v="Sophie"/>
    <n v="1708.694225"/>
    <n v="1893.2900000000002"/>
    <n v="184.59577500000023"/>
    <x v="1"/>
    <x v="27"/>
  </r>
  <r>
    <d v="2024-10-06T00:00:00"/>
    <x v="1"/>
    <x v="1"/>
    <s v="Phone"/>
    <s v="Phone"/>
    <x v="0"/>
    <n v="13"/>
    <n v="55.46"/>
    <s v="Store A"/>
    <s v="Retail"/>
    <n v="0.05"/>
    <x v="5"/>
    <n v="684.93100000000004"/>
    <s v="Credit Card"/>
    <s v="FREESHIP"/>
    <n v="1"/>
    <s v="REG101188"/>
    <s v="Cust 6365"/>
    <n v="18.010000000000002"/>
    <d v="2024-10-06T00:00:00"/>
    <d v="2024-10-09T00:00:00"/>
    <s v="Sophie"/>
    <n v="650.68444999999997"/>
    <n v="720.98"/>
    <n v="70.295550000000048"/>
    <x v="1"/>
    <x v="7"/>
  </r>
  <r>
    <d v="2023-03-12T00:00:00"/>
    <x v="3"/>
    <x v="5"/>
    <s v="Tablet"/>
    <s v="Tablet"/>
    <x v="0"/>
    <n v="17"/>
    <n v="515.12"/>
    <s v="Store D"/>
    <s v="Wholesale"/>
    <n v="0.15"/>
    <x v="5"/>
    <n v="7443.4840000000004"/>
    <s v="Credit Card"/>
    <s v="SAVE10"/>
    <n v="1"/>
    <s v="REG101189"/>
    <s v="Cust 9159"/>
    <n v="32.74"/>
    <d v="2023-03-12T00:00:00"/>
    <d v="2023-03-22T00:00:00"/>
    <s v="Cameron"/>
    <n v="6326.9614000000001"/>
    <n v="8757.0400000000009"/>
    <n v="2430.0786000000007"/>
    <x v="2"/>
    <x v="17"/>
  </r>
  <r>
    <d v="2024-04-06T00:00:00"/>
    <x v="2"/>
    <x v="1"/>
    <s v="Phone"/>
    <s v="Phone"/>
    <x v="0"/>
    <n v="1"/>
    <n v="256.63"/>
    <s v="Store D"/>
    <s v="Wholesale"/>
    <n v="0"/>
    <x v="3"/>
    <n v="256.63"/>
    <s v="Gift Card"/>
    <s v="FREESHIP"/>
    <n v="0"/>
    <s v="REG101190"/>
    <s v="Cust 3252"/>
    <n v="12.97"/>
    <d v="2024-04-06T00:00:00"/>
    <d v="2024-04-08T00:00:00"/>
    <s v="Ryan"/>
    <n v="256.63"/>
    <n v="256.63"/>
    <n v="0"/>
    <x v="0"/>
    <x v="9"/>
  </r>
  <r>
    <d v="2023-01-20T00:00:00"/>
    <x v="2"/>
    <x v="5"/>
    <s v="Tablet"/>
    <s v="Tablet"/>
    <x v="0"/>
    <n v="4"/>
    <n v="423.99"/>
    <s v="Store B"/>
    <s v="Retail"/>
    <n v="0.05"/>
    <x v="2"/>
    <n v="1611.162"/>
    <s v="Online"/>
    <s v="FREESHIP"/>
    <n v="0"/>
    <s v="REG101191"/>
    <s v="Cust 8679"/>
    <n v="20.05"/>
    <d v="2023-01-20T00:00:00"/>
    <d v="2023-01-25T00:00:00"/>
    <s v="Ryan"/>
    <n v="1530.6039000000001"/>
    <n v="1695.96"/>
    <n v="165.35609999999997"/>
    <x v="1"/>
    <x v="6"/>
  </r>
  <r>
    <d v="2024-07-08T00:00:00"/>
    <x v="4"/>
    <x v="0"/>
    <s v="Laptop"/>
    <s v="Laptop"/>
    <x v="0"/>
    <n v="15"/>
    <n v="77.89"/>
    <s v="Store B"/>
    <s v="Wholesale"/>
    <n v="0.05"/>
    <x v="4"/>
    <n v="1109.9324999999999"/>
    <s v="Credit Card"/>
    <m/>
    <n v="0"/>
    <s v="REG101192"/>
    <s v="Cust 5547"/>
    <n v="20.87"/>
    <d v="2024-07-08T00:00:00"/>
    <d v="2024-07-12T00:00:00"/>
    <s v="Wendy"/>
    <n v="1054.4358749999999"/>
    <n v="1168.3499999999999"/>
    <n v="113.91412500000001"/>
    <x v="1"/>
    <x v="10"/>
  </r>
  <r>
    <d v="2023-10-06T00:00:00"/>
    <x v="2"/>
    <x v="1"/>
    <s v="Phone"/>
    <s v="Phone"/>
    <x v="0"/>
    <n v="12"/>
    <n v="11.95"/>
    <s v="Store A"/>
    <s v="Retail"/>
    <n v="0.05"/>
    <x v="3"/>
    <n v="136.22999999999999"/>
    <s v="Online"/>
    <m/>
    <n v="0"/>
    <s v="REG101193"/>
    <s v="Cust 9438"/>
    <n v="26.66"/>
    <d v="2023-10-06T00:00:00"/>
    <d v="2023-10-16T00:00:00"/>
    <s v="Ryan"/>
    <n v="129.41849999999999"/>
    <n v="143.39999999999998"/>
    <n v="13.981499999999983"/>
    <x v="1"/>
    <x v="19"/>
  </r>
  <r>
    <d v="2023-09-11T00:00:00"/>
    <x v="0"/>
    <x v="2"/>
    <s v="Desk"/>
    <s v="Desk"/>
    <x v="1"/>
    <n v="7"/>
    <n v="67.05"/>
    <s v="Store D"/>
    <s v="Wholesale"/>
    <n v="0.1"/>
    <x v="3"/>
    <n v="422.41500000000002"/>
    <s v="Cash"/>
    <s v="FREESHIP"/>
    <n v="0"/>
    <s v="REG101194"/>
    <s v="Cust 9092"/>
    <n v="36.67"/>
    <d v="2023-09-11T00:00:00"/>
    <d v="2023-09-18T00:00:00"/>
    <s v="Eric"/>
    <n v="380.17350000000005"/>
    <n v="469.34999999999997"/>
    <n v="89.176499999999919"/>
    <x v="1"/>
    <x v="22"/>
  </r>
  <r>
    <d v="2023-09-14T00:00:00"/>
    <x v="2"/>
    <x v="1"/>
    <s v="Phone"/>
    <s v="Phone"/>
    <x v="0"/>
    <n v="19"/>
    <n v="118.15"/>
    <s v="Store C"/>
    <s v="Retail"/>
    <n v="0.15"/>
    <x v="2"/>
    <n v="1908.1224999999999"/>
    <s v="Cash"/>
    <s v="SAVE10"/>
    <n v="0"/>
    <s v="REG101195"/>
    <s v="Cust 7007"/>
    <n v="12.95"/>
    <d v="2023-09-14T00:00:00"/>
    <d v="2023-09-19T00:00:00"/>
    <s v="Ryan"/>
    <n v="1621.904125"/>
    <n v="2244.85"/>
    <n v="622.94587499999989"/>
    <x v="2"/>
    <x v="22"/>
  </r>
  <r>
    <d v="2023-11-06T00:00:00"/>
    <x v="2"/>
    <x v="6"/>
    <s v="Printer"/>
    <s v="Printer"/>
    <x v="2"/>
    <n v="16"/>
    <n v="114.47"/>
    <s v="Store B"/>
    <s v="Wholesale"/>
    <n v="0.15"/>
    <x v="3"/>
    <n v="1556.7919999999999"/>
    <s v="Online"/>
    <m/>
    <n v="0"/>
    <s v="REG101196"/>
    <s v="Cust 3001"/>
    <n v="43.85"/>
    <d v="2023-11-06T00:00:00"/>
    <d v="2023-11-11T00:00:00"/>
    <s v="Ryan"/>
    <n v="1323.2731999999999"/>
    <n v="1831.52"/>
    <n v="508.24680000000012"/>
    <x v="2"/>
    <x v="15"/>
  </r>
  <r>
    <d v="2024-06-23T00:00:00"/>
    <x v="2"/>
    <x v="4"/>
    <s v="Monitor"/>
    <s v="Monitor"/>
    <x v="0"/>
    <n v="9"/>
    <n v="36.21"/>
    <s v="Store C"/>
    <s v="Wholesale"/>
    <n v="0.15"/>
    <x v="5"/>
    <n v="277.00650000000002"/>
    <s v="Credit Card"/>
    <s v="FREESHIP"/>
    <n v="0"/>
    <s v="REG101197"/>
    <s v="Cust 5771"/>
    <n v="6.71"/>
    <d v="2024-06-23T00:00:00"/>
    <d v="2024-06-30T00:00:00"/>
    <s v="Ryan"/>
    <n v="235.45552499999999"/>
    <n v="325.89"/>
    <n v="90.434474999999992"/>
    <x v="2"/>
    <x v="23"/>
  </r>
  <r>
    <d v="2023-03-30T00:00:00"/>
    <x v="4"/>
    <x v="6"/>
    <s v="Printer"/>
    <s v="Printer"/>
    <x v="2"/>
    <n v="10"/>
    <n v="52.58"/>
    <s v="Store B"/>
    <s v="Wholesale"/>
    <n v="0.1"/>
    <x v="0"/>
    <n v="473.22"/>
    <s v="Cash"/>
    <s v="WINTER15"/>
    <n v="0"/>
    <s v="REG101198"/>
    <s v="Cust 4317"/>
    <n v="14.01"/>
    <d v="2023-03-30T00:00:00"/>
    <d v="2023-04-09T00:00:00"/>
    <s v="Wendy"/>
    <n v="425.89800000000002"/>
    <n v="525.79999999999995"/>
    <n v="99.90199999999993"/>
    <x v="1"/>
    <x v="17"/>
  </r>
  <r>
    <d v="2024-10-05T00:00:00"/>
    <x v="0"/>
    <x v="1"/>
    <s v="Phone"/>
    <s v="Phone"/>
    <x v="0"/>
    <n v="6"/>
    <n v="272.26"/>
    <s v="Store A"/>
    <s v="Retail"/>
    <n v="0.1"/>
    <x v="3"/>
    <n v="1470.204"/>
    <s v="Debit Card"/>
    <s v="SAVE10"/>
    <n v="0"/>
    <s v="REG101199"/>
    <s v="Cust 3627"/>
    <n v="43.67"/>
    <d v="2024-10-05T00:00:00"/>
    <d v="2024-10-15T00:00:00"/>
    <s v="Eric"/>
    <n v="1323.1836000000001"/>
    <n v="1633.56"/>
    <n v="310.37639999999988"/>
    <x v="1"/>
    <x v="7"/>
  </r>
  <r>
    <d v="2023-03-19T00:00:00"/>
    <x v="3"/>
    <x v="3"/>
    <s v="Chair"/>
    <s v="Chair"/>
    <x v="1"/>
    <n v="10"/>
    <n v="124.97"/>
    <s v="Store D"/>
    <s v="Retail"/>
    <n v="0.15"/>
    <x v="0"/>
    <n v="1062.2449999999999"/>
    <s v="Gift Card"/>
    <s v="WINTER15"/>
    <n v="1"/>
    <s v="REG101200"/>
    <s v="Cust 4433"/>
    <n v="40.229999999999997"/>
    <d v="2023-03-19T00:00:00"/>
    <d v="2023-03-29T00:00:00"/>
    <s v="Cameron"/>
    <n v="902.90824999999984"/>
    <n v="1249.7"/>
    <n v="346.79175000000021"/>
    <x v="2"/>
    <x v="17"/>
  </r>
  <r>
    <d v="2025-03-17T00:00:00"/>
    <x v="2"/>
    <x v="1"/>
    <s v="Phone"/>
    <s v="Phone"/>
    <x v="0"/>
    <n v="9"/>
    <n v="228.62"/>
    <s v="Store C"/>
    <s v="Retail"/>
    <n v="0.05"/>
    <x v="0"/>
    <n v="1954.701"/>
    <s v="Gift Card"/>
    <s v="SAVE10"/>
    <n v="0"/>
    <s v="REG101201"/>
    <s v="Cust 6231"/>
    <n v="31.43"/>
    <d v="2025-03-17T00:00:00"/>
    <d v="2025-03-21T00:00:00"/>
    <s v="Ryan"/>
    <n v="1856.96595"/>
    <n v="2057.58"/>
    <n v="200.61404999999991"/>
    <x v="1"/>
    <x v="8"/>
  </r>
  <r>
    <d v="2024-12-18T00:00:00"/>
    <x v="3"/>
    <x v="0"/>
    <s v="Laptop"/>
    <s v="Laptop"/>
    <x v="0"/>
    <n v="20"/>
    <n v="282.91000000000003"/>
    <s v="Store A"/>
    <s v="Wholesale"/>
    <n v="0.15"/>
    <x v="2"/>
    <n v="4809.47"/>
    <s v="Debit Card"/>
    <s v="FREESHIP"/>
    <n v="0"/>
    <s v="REG101202"/>
    <s v="Cust 8987"/>
    <n v="8.19"/>
    <d v="2024-12-18T00:00:00"/>
    <d v="2024-12-28T00:00:00"/>
    <s v="Cameron"/>
    <n v="4088.0495000000001"/>
    <n v="5658.2000000000007"/>
    <n v="1570.1505000000006"/>
    <x v="2"/>
    <x v="1"/>
  </r>
  <r>
    <d v="2025-01-06T00:00:00"/>
    <x v="4"/>
    <x v="5"/>
    <s v="Tablet"/>
    <s v="Tablet"/>
    <x v="0"/>
    <n v="17"/>
    <n v="129.62"/>
    <s v="Store D"/>
    <s v="Retail"/>
    <n v="0.15"/>
    <x v="0"/>
    <n v="1873.009"/>
    <s v="Online"/>
    <s v="FREESHIP"/>
    <n v="0"/>
    <s v="REG101203"/>
    <s v="Cust 4510"/>
    <n v="24.28"/>
    <d v="2025-01-06T00:00:00"/>
    <d v="2025-01-08T00:00:00"/>
    <s v="Wendy"/>
    <n v="1592.05765"/>
    <n v="2203.54"/>
    <n v="611.48235"/>
    <x v="2"/>
    <x v="12"/>
  </r>
  <r>
    <d v="2025-01-14T00:00:00"/>
    <x v="3"/>
    <x v="4"/>
    <s v="Monitor"/>
    <s v="Monitor"/>
    <x v="0"/>
    <n v="6"/>
    <n v="162.35"/>
    <s v="Store B"/>
    <s v="Wholesale"/>
    <n v="0.05"/>
    <x v="0"/>
    <n v="925.39499999999987"/>
    <s v="Credit Card"/>
    <s v="SAVE10"/>
    <n v="1"/>
    <s v="REG101204"/>
    <s v="Cust 7003"/>
    <n v="19.18"/>
    <d v="2025-01-14T00:00:00"/>
    <d v="2025-01-20T00:00:00"/>
    <s v="Cameron"/>
    <n v="879.12524999999982"/>
    <n v="974.09999999999991"/>
    <n v="94.974750000000085"/>
    <x v="1"/>
    <x v="12"/>
  </r>
  <r>
    <d v="2023-01-26T00:00:00"/>
    <x v="1"/>
    <x v="6"/>
    <s v="Printer"/>
    <s v="Printer"/>
    <x v="2"/>
    <n v="14"/>
    <n v="209.82"/>
    <s v="Store B"/>
    <s v="Wholesale"/>
    <n v="0"/>
    <x v="0"/>
    <n v="2937.48"/>
    <s v="Cash"/>
    <s v="SAVE10"/>
    <n v="0"/>
    <s v="REG101205"/>
    <s v="Cust 6546"/>
    <n v="36.11"/>
    <d v="2023-01-26T00:00:00"/>
    <d v="2023-01-30T00:00:00"/>
    <s v="Sophie"/>
    <n v="2937.48"/>
    <n v="2937.48"/>
    <n v="0"/>
    <x v="0"/>
    <x v="6"/>
  </r>
  <r>
    <d v="2024-08-04T00:00:00"/>
    <x v="2"/>
    <x v="0"/>
    <s v="Laptop"/>
    <s v="Laptop"/>
    <x v="0"/>
    <n v="16"/>
    <n v="293.44"/>
    <s v="Store D"/>
    <s v="Wholesale"/>
    <n v="0.05"/>
    <x v="4"/>
    <n v="4460.2879999999996"/>
    <s v="Gift Card"/>
    <s v="SAVE10"/>
    <n v="0"/>
    <s v="REG101206"/>
    <s v="Cust 2951"/>
    <n v="42.56"/>
    <d v="2024-08-04T00:00:00"/>
    <d v="2024-08-14T00:00:00"/>
    <s v="Ryan"/>
    <n v="4237.2735999999995"/>
    <n v="4695.04"/>
    <n v="457.76640000000043"/>
    <x v="1"/>
    <x v="29"/>
  </r>
  <r>
    <d v="2024-02-13T00:00:00"/>
    <x v="2"/>
    <x v="1"/>
    <s v="Phone"/>
    <s v="Phone"/>
    <x v="0"/>
    <n v="11"/>
    <n v="185.52"/>
    <s v="Store D"/>
    <s v="Wholesale"/>
    <n v="0.15"/>
    <x v="4"/>
    <n v="1734.6120000000001"/>
    <s v="Credit Card"/>
    <s v="WINTER15"/>
    <n v="0"/>
    <s v="REG101207"/>
    <s v="Cust 4673"/>
    <n v="38.53"/>
    <d v="2024-02-13T00:00:00"/>
    <d v="2024-02-16T00:00:00"/>
    <s v="Ryan"/>
    <n v="1474.4202"/>
    <n v="2040.72"/>
    <n v="566.2998"/>
    <x v="2"/>
    <x v="5"/>
  </r>
  <r>
    <d v="2023-02-11T00:00:00"/>
    <x v="3"/>
    <x v="2"/>
    <s v="Desk"/>
    <s v="Desk"/>
    <x v="1"/>
    <n v="18"/>
    <n v="268.38"/>
    <s v="Store D"/>
    <s v="Wholesale"/>
    <n v="0.15"/>
    <x v="1"/>
    <n v="4106.2139999999999"/>
    <s v="Cash"/>
    <s v="FREESHIP"/>
    <n v="0"/>
    <s v="REG101208"/>
    <s v="Cust 5988"/>
    <n v="48.38"/>
    <d v="2023-02-11T00:00:00"/>
    <d v="2023-02-14T00:00:00"/>
    <s v="Cameron"/>
    <n v="3490.2819"/>
    <n v="4830.84"/>
    <n v="1340.5581000000002"/>
    <x v="2"/>
    <x v="0"/>
  </r>
  <r>
    <d v="2024-06-17T00:00:00"/>
    <x v="0"/>
    <x v="6"/>
    <s v="Printer"/>
    <s v="Printer"/>
    <x v="2"/>
    <n v="18"/>
    <n v="547.04999999999995"/>
    <s v="Store C"/>
    <s v="Wholesale"/>
    <n v="0.1"/>
    <x v="3"/>
    <n v="8862.2099999999991"/>
    <s v="Cash"/>
    <s v="FREESHIP"/>
    <n v="0"/>
    <s v="REG101209"/>
    <s v="Cust 3922"/>
    <n v="10.99"/>
    <d v="2024-06-17T00:00:00"/>
    <d v="2024-06-22T00:00:00"/>
    <s v="Eric"/>
    <n v="7975.9889999999996"/>
    <n v="9846.9"/>
    <n v="1870.9110000000001"/>
    <x v="1"/>
    <x v="23"/>
  </r>
  <r>
    <d v="2024-06-06T00:00:00"/>
    <x v="1"/>
    <x v="0"/>
    <s v="Laptop"/>
    <s v="Laptop"/>
    <x v="0"/>
    <n v="1"/>
    <n v="354.21"/>
    <s v="Store A"/>
    <s v="Wholesale"/>
    <n v="0.15"/>
    <x v="3"/>
    <n v="301.07850000000002"/>
    <s v="Online"/>
    <m/>
    <n v="0"/>
    <s v="REG101210"/>
    <s v="Cust 9853"/>
    <n v="26.16"/>
    <d v="2024-06-06T00:00:00"/>
    <d v="2024-06-12T00:00:00"/>
    <s v="Sophie"/>
    <n v="255.91672500000001"/>
    <n v="354.21"/>
    <n v="98.293274999999966"/>
    <x v="2"/>
    <x v="23"/>
  </r>
  <r>
    <d v="2023-11-26T00:00:00"/>
    <x v="1"/>
    <x v="3"/>
    <s v="Chair"/>
    <s v="Chair"/>
    <x v="1"/>
    <n v="18"/>
    <n v="250.93"/>
    <s v="Store C"/>
    <s v="Wholesale"/>
    <n v="0.05"/>
    <x v="5"/>
    <n v="4290.9029999999993"/>
    <s v="Gift Card"/>
    <m/>
    <n v="0"/>
    <s v="REG101211"/>
    <s v="Cust 6168"/>
    <n v="47.67"/>
    <d v="2023-11-26T00:00:00"/>
    <d v="2023-12-02T00:00:00"/>
    <s v="Sophie"/>
    <n v="4076.357849999999"/>
    <n v="4516.74"/>
    <n v="440.38215000000082"/>
    <x v="1"/>
    <x v="15"/>
  </r>
  <r>
    <d v="2024-04-07T00:00:00"/>
    <x v="4"/>
    <x v="6"/>
    <s v="Printer"/>
    <s v="Printer"/>
    <x v="2"/>
    <n v="18"/>
    <n v="587.25"/>
    <s v="Store C"/>
    <s v="Wholesale"/>
    <n v="0.15"/>
    <x v="3"/>
    <n v="8984.9249999999993"/>
    <s v="Online"/>
    <m/>
    <n v="0"/>
    <s v="REG101212"/>
    <s v="Cust 3175"/>
    <n v="42.15"/>
    <d v="2024-04-07T00:00:00"/>
    <d v="2024-04-09T00:00:00"/>
    <s v="Wendy"/>
    <n v="7637.1862499999988"/>
    <n v="10570.5"/>
    <n v="2933.3137500000012"/>
    <x v="2"/>
    <x v="9"/>
  </r>
  <r>
    <d v="2023-02-03T00:00:00"/>
    <x v="4"/>
    <x v="2"/>
    <s v="Desk"/>
    <s v="Desk"/>
    <x v="1"/>
    <n v="2"/>
    <n v="438.06"/>
    <s v="Store B"/>
    <s v="Retail"/>
    <n v="0"/>
    <x v="2"/>
    <n v="876.12"/>
    <s v="Online"/>
    <s v="FREESHIP"/>
    <n v="1"/>
    <s v="REG101213"/>
    <s v="Cust 1813"/>
    <n v="12.9"/>
    <d v="2023-02-03T00:00:00"/>
    <d v="2023-02-09T00:00:00"/>
    <s v="Wendy"/>
    <n v="876.12"/>
    <n v="876.12"/>
    <n v="0"/>
    <x v="0"/>
    <x v="0"/>
  </r>
  <r>
    <d v="2024-11-25T00:00:00"/>
    <x v="0"/>
    <x v="3"/>
    <s v="Chair"/>
    <s v="Chair"/>
    <x v="1"/>
    <n v="14"/>
    <n v="6.1"/>
    <s v="Store C"/>
    <s v="Wholesale"/>
    <n v="0.15"/>
    <x v="3"/>
    <n v="72.589999999999989"/>
    <s v="Online"/>
    <s v="FREESHIP"/>
    <n v="1"/>
    <s v="REG101214"/>
    <s v="Cust 7749"/>
    <n v="10.18"/>
    <d v="2024-11-25T00:00:00"/>
    <d v="2024-11-30T00:00:00"/>
    <s v="Eric"/>
    <n v="61.701499999999989"/>
    <n v="85.399999999999991"/>
    <n v="23.698500000000003"/>
    <x v="2"/>
    <x v="20"/>
  </r>
  <r>
    <d v="2024-06-30T00:00:00"/>
    <x v="2"/>
    <x v="0"/>
    <s v="Laptop"/>
    <s v="Laptop"/>
    <x v="0"/>
    <n v="2"/>
    <n v="80.14"/>
    <s v="Store D"/>
    <s v="Wholesale"/>
    <n v="0"/>
    <x v="3"/>
    <n v="160.28"/>
    <s v="Online"/>
    <s v="FREESHIP"/>
    <n v="1"/>
    <s v="REG101215"/>
    <s v="Cust 3416"/>
    <n v="13.41"/>
    <d v="2024-06-30T00:00:00"/>
    <d v="2024-07-03T00:00:00"/>
    <s v="Ryan"/>
    <n v="160.28"/>
    <n v="160.28"/>
    <n v="0"/>
    <x v="0"/>
    <x v="23"/>
  </r>
  <r>
    <d v="2023-08-02T00:00:00"/>
    <x v="1"/>
    <x v="0"/>
    <s v="Laptop"/>
    <s v="Laptop"/>
    <x v="0"/>
    <n v="11"/>
    <n v="66.97"/>
    <s v="Store A"/>
    <s v="Retail"/>
    <n v="0.15"/>
    <x v="5"/>
    <n v="626.16949999999997"/>
    <s v="Gift Card"/>
    <s v="FREESHIP"/>
    <n v="1"/>
    <s v="REG101216"/>
    <s v="Cust 7066"/>
    <n v="20.350000000000001"/>
    <d v="2023-08-02T00:00:00"/>
    <d v="2023-08-11T00:00:00"/>
    <s v="Sophie"/>
    <n v="532.24407499999995"/>
    <n v="736.67"/>
    <n v="204.42592500000001"/>
    <x v="2"/>
    <x v="18"/>
  </r>
  <r>
    <d v="2024-02-22T00:00:00"/>
    <x v="1"/>
    <x v="3"/>
    <s v="Chair"/>
    <s v="Chair"/>
    <x v="1"/>
    <n v="6"/>
    <n v="181.34"/>
    <s v="Store A"/>
    <s v="Wholesale"/>
    <n v="0"/>
    <x v="1"/>
    <n v="1088.04"/>
    <s v="Cash"/>
    <s v="FREESHIP"/>
    <n v="0"/>
    <s v="REG101217"/>
    <s v="Cust 5180"/>
    <n v="27.65"/>
    <d v="2024-02-22T00:00:00"/>
    <d v="2024-02-27T00:00:00"/>
    <s v="Sophie"/>
    <n v="1088.04"/>
    <n v="1088.04"/>
    <n v="0"/>
    <x v="0"/>
    <x v="5"/>
  </r>
  <r>
    <d v="2024-11-29T00:00:00"/>
    <x v="2"/>
    <x v="4"/>
    <s v="Monitor"/>
    <s v="Monitor"/>
    <x v="0"/>
    <n v="15"/>
    <n v="570"/>
    <s v="Store D"/>
    <s v="Wholesale"/>
    <n v="0.05"/>
    <x v="2"/>
    <n v="8122.5"/>
    <s v="Gift Card"/>
    <m/>
    <n v="0"/>
    <s v="REG101218"/>
    <s v="Cust 6246"/>
    <n v="7.62"/>
    <d v="2024-11-29T00:00:00"/>
    <d v="2024-12-09T00:00:00"/>
    <s v="Ryan"/>
    <n v="7716.375"/>
    <n v="8550"/>
    <n v="833.625"/>
    <x v="1"/>
    <x v="20"/>
  </r>
  <r>
    <d v="2023-07-21T00:00:00"/>
    <x v="2"/>
    <x v="4"/>
    <s v="Monitor"/>
    <s v="Monitor"/>
    <x v="0"/>
    <n v="9"/>
    <n v="587.79"/>
    <s v="Store D"/>
    <s v="Wholesale"/>
    <n v="0.15"/>
    <x v="5"/>
    <n v="4496.5934999999999"/>
    <s v="Online"/>
    <m/>
    <n v="0"/>
    <s v="REG101219"/>
    <s v="Cust 4182"/>
    <n v="24.64"/>
    <d v="2023-07-21T00:00:00"/>
    <d v="2023-07-31T00:00:00"/>
    <s v="Ryan"/>
    <n v="3822.1044749999996"/>
    <n v="5290.11"/>
    <n v="1468.005525"/>
    <x v="2"/>
    <x v="11"/>
  </r>
  <r>
    <d v="2023-04-14T00:00:00"/>
    <x v="3"/>
    <x v="1"/>
    <s v="Phone"/>
    <s v="Phone"/>
    <x v="0"/>
    <n v="6"/>
    <n v="196.31"/>
    <s v="Store C"/>
    <s v="Retail"/>
    <n v="0.1"/>
    <x v="3"/>
    <n v="1060.0740000000001"/>
    <s v="Online"/>
    <s v="WINTER15"/>
    <n v="0"/>
    <s v="REG101220"/>
    <s v="Cust 6843"/>
    <n v="38.65"/>
    <d v="2023-04-14T00:00:00"/>
    <d v="2023-04-17T00:00:00"/>
    <s v="Cameron"/>
    <n v="954.06660000000011"/>
    <n v="1177.8600000000001"/>
    <n v="223.79340000000002"/>
    <x v="1"/>
    <x v="21"/>
  </r>
  <r>
    <d v="2023-02-01T00:00:00"/>
    <x v="2"/>
    <x v="1"/>
    <s v="Phone"/>
    <s v="Phone"/>
    <x v="0"/>
    <n v="8"/>
    <n v="430.06"/>
    <s v="Store B"/>
    <s v="Wholesale"/>
    <n v="0.05"/>
    <x v="5"/>
    <n v="3268.4560000000001"/>
    <s v="Debit Card"/>
    <s v="SAVE10"/>
    <n v="0"/>
    <s v="REG101221"/>
    <s v="Cust 6844"/>
    <n v="38.450000000000003"/>
    <d v="2023-02-01T00:00:00"/>
    <d v="2023-02-05T00:00:00"/>
    <s v="Ryan"/>
    <n v="3105.0331999999999"/>
    <n v="3440.48"/>
    <n v="335.44680000000017"/>
    <x v="1"/>
    <x v="0"/>
  </r>
  <r>
    <d v="2024-06-30T00:00:00"/>
    <x v="0"/>
    <x v="4"/>
    <s v="Monitor"/>
    <s v="Monitor"/>
    <x v="0"/>
    <n v="14"/>
    <n v="429.72"/>
    <s v="Store A"/>
    <s v="Retail"/>
    <n v="0.1"/>
    <x v="0"/>
    <n v="5414.4719999999998"/>
    <s v="Cash"/>
    <s v="SAVE10"/>
    <n v="0"/>
    <s v="REG101222"/>
    <s v="Cust 3248"/>
    <n v="45.78"/>
    <d v="2024-06-30T00:00:00"/>
    <d v="2024-07-05T00:00:00"/>
    <s v="Eric"/>
    <n v="4873.0248000000001"/>
    <n v="6016.08"/>
    <n v="1143.0551999999998"/>
    <x v="1"/>
    <x v="23"/>
  </r>
  <r>
    <d v="2023-10-18T00:00:00"/>
    <x v="3"/>
    <x v="1"/>
    <s v="Phone"/>
    <s v="Phone"/>
    <x v="0"/>
    <n v="13"/>
    <n v="127.34"/>
    <s v="Store D"/>
    <s v="Wholesale"/>
    <n v="0"/>
    <x v="1"/>
    <n v="1655.42"/>
    <s v="Credit Card"/>
    <s v="WINTER15"/>
    <n v="0"/>
    <s v="REG101223"/>
    <s v="Cust 5226"/>
    <n v="6.15"/>
    <d v="2023-10-18T00:00:00"/>
    <d v="2023-10-21T00:00:00"/>
    <s v="Cameron"/>
    <n v="1655.42"/>
    <n v="1655.42"/>
    <n v="0"/>
    <x v="0"/>
    <x v="19"/>
  </r>
  <r>
    <d v="2024-07-04T00:00:00"/>
    <x v="0"/>
    <x v="4"/>
    <s v="Monitor"/>
    <s v="Monitor"/>
    <x v="0"/>
    <n v="6"/>
    <n v="421.97"/>
    <s v="Store B"/>
    <s v="Wholesale"/>
    <n v="0.05"/>
    <x v="5"/>
    <n v="2405.2289999999998"/>
    <s v="Cash"/>
    <s v="WINTER15"/>
    <n v="0"/>
    <s v="REG101224"/>
    <s v="Cust 9804"/>
    <n v="41.31"/>
    <d v="2024-07-04T00:00:00"/>
    <d v="2024-07-13T00:00:00"/>
    <s v="Eric"/>
    <n v="2284.9675499999998"/>
    <n v="2531.8200000000002"/>
    <n v="246.85245000000032"/>
    <x v="1"/>
    <x v="10"/>
  </r>
  <r>
    <d v="2024-07-04T00:00:00"/>
    <x v="0"/>
    <x v="5"/>
    <s v="Tablet"/>
    <s v="Tablet"/>
    <x v="0"/>
    <n v="5"/>
    <n v="225.69"/>
    <s v="Store A"/>
    <s v="Wholesale"/>
    <n v="0.15"/>
    <x v="3"/>
    <n v="959.1825"/>
    <s v="Gift Card"/>
    <s v="WINTER15"/>
    <n v="0"/>
    <s v="REG101225"/>
    <s v="Cust 3990"/>
    <n v="47.6"/>
    <d v="2024-07-04T00:00:00"/>
    <d v="2024-07-12T00:00:00"/>
    <s v="Eric"/>
    <n v="815.30512499999998"/>
    <n v="1128.45"/>
    <n v="313.14487500000007"/>
    <x v="2"/>
    <x v="10"/>
  </r>
  <r>
    <d v="2023-07-27T00:00:00"/>
    <x v="2"/>
    <x v="4"/>
    <s v="Monitor"/>
    <s v="Monitor"/>
    <x v="0"/>
    <n v="10"/>
    <n v="322.11"/>
    <s v="Store A"/>
    <s v="Retail"/>
    <n v="0.15"/>
    <x v="4"/>
    <n v="2737.9349999999999"/>
    <s v="Debit Card"/>
    <s v="WINTER15"/>
    <n v="0"/>
    <s v="REG101226"/>
    <s v="Cust 5106"/>
    <n v="28.72"/>
    <d v="2023-07-27T00:00:00"/>
    <d v="2023-08-02T00:00:00"/>
    <s v="Ryan"/>
    <n v="2327.2447499999998"/>
    <n v="3221.1000000000004"/>
    <n v="893.85525000000052"/>
    <x v="2"/>
    <x v="11"/>
  </r>
  <r>
    <d v="2025-03-01T00:00:00"/>
    <x v="4"/>
    <x v="2"/>
    <s v="Desk"/>
    <s v="Desk"/>
    <x v="1"/>
    <n v="4"/>
    <n v="209.3"/>
    <s v="Store B"/>
    <s v="Retail"/>
    <n v="0.05"/>
    <x v="1"/>
    <n v="795.34"/>
    <s v="Gift Card"/>
    <m/>
    <n v="0"/>
    <s v="REG101227"/>
    <s v="Cust 3448"/>
    <n v="6.89"/>
    <d v="2025-03-01T00:00:00"/>
    <d v="2025-03-06T00:00:00"/>
    <s v="Wendy"/>
    <n v="755.57299999999998"/>
    <n v="837.2"/>
    <n v="81.627000000000066"/>
    <x v="1"/>
    <x v="8"/>
  </r>
  <r>
    <d v="2023-02-23T00:00:00"/>
    <x v="3"/>
    <x v="2"/>
    <s v="Desk"/>
    <s v="Desk"/>
    <x v="1"/>
    <n v="16"/>
    <n v="326.16000000000003"/>
    <s v="Store C"/>
    <s v="Wholesale"/>
    <n v="0.1"/>
    <x v="2"/>
    <n v="4696.7040000000006"/>
    <s v="Credit Card"/>
    <m/>
    <n v="0"/>
    <s v="REG101228"/>
    <s v="Cust 1439"/>
    <n v="44.3"/>
    <d v="2023-02-23T00:00:00"/>
    <d v="2023-02-25T00:00:00"/>
    <s v="Cameron"/>
    <n v="4227.0336000000007"/>
    <n v="5218.5600000000004"/>
    <n v="991.52639999999974"/>
    <x v="1"/>
    <x v="0"/>
  </r>
  <r>
    <d v="2023-01-11T00:00:00"/>
    <x v="0"/>
    <x v="4"/>
    <s v="Monitor"/>
    <s v="Monitor"/>
    <x v="0"/>
    <n v="13"/>
    <n v="515.41999999999996"/>
    <s v="Store D"/>
    <s v="Retail"/>
    <n v="0"/>
    <x v="5"/>
    <n v="6700.4599999999991"/>
    <s v="Online"/>
    <s v="FREESHIP"/>
    <n v="0"/>
    <s v="REG101229"/>
    <s v="Cust 5342"/>
    <n v="43.37"/>
    <d v="2023-01-11T00:00:00"/>
    <d v="2023-01-20T00:00:00"/>
    <s v="Eric"/>
    <n v="6700.4599999999991"/>
    <n v="6700.4599999999991"/>
    <n v="0"/>
    <x v="0"/>
    <x v="6"/>
  </r>
  <r>
    <d v="2024-04-16T00:00:00"/>
    <x v="4"/>
    <x v="5"/>
    <s v="Tablet"/>
    <s v="Tablet"/>
    <x v="0"/>
    <n v="7"/>
    <n v="129.83000000000001"/>
    <s v="Store A"/>
    <s v="Wholesale"/>
    <n v="0"/>
    <x v="3"/>
    <n v="908.81000000000006"/>
    <s v="Gift Card"/>
    <s v="WINTER15"/>
    <n v="0"/>
    <s v="REG101230"/>
    <s v="Cust 4564"/>
    <n v="13.12"/>
    <d v="2024-04-16T00:00:00"/>
    <d v="2024-04-20T00:00:00"/>
    <s v="Wendy"/>
    <n v="908.81000000000006"/>
    <n v="908.81000000000006"/>
    <n v="0"/>
    <x v="0"/>
    <x v="9"/>
  </r>
  <r>
    <d v="2024-03-09T00:00:00"/>
    <x v="3"/>
    <x v="4"/>
    <s v="Monitor"/>
    <s v="Monitor"/>
    <x v="0"/>
    <n v="17"/>
    <n v="376.15"/>
    <s v="Store C"/>
    <s v="Retail"/>
    <n v="0.05"/>
    <x v="4"/>
    <n v="6074.8224999999993"/>
    <s v="Gift Card"/>
    <s v="WINTER15"/>
    <n v="1"/>
    <s v="REG101231"/>
    <s v="Cust 6441"/>
    <n v="31.96"/>
    <d v="2024-03-09T00:00:00"/>
    <d v="2024-03-12T00:00:00"/>
    <s v="Cameron"/>
    <n v="5771.0813749999988"/>
    <n v="6394.5499999999993"/>
    <n v="623.46862500000043"/>
    <x v="1"/>
    <x v="25"/>
  </r>
  <r>
    <d v="2024-10-07T00:00:00"/>
    <x v="1"/>
    <x v="3"/>
    <s v="Chair"/>
    <s v="Chair"/>
    <x v="1"/>
    <n v="8"/>
    <n v="385.46"/>
    <s v="Store A"/>
    <s v="Wholesale"/>
    <n v="0"/>
    <x v="5"/>
    <n v="3083.68"/>
    <s v="Cash"/>
    <s v="SAVE10"/>
    <n v="0"/>
    <s v="REG101232"/>
    <s v="Cust 7591"/>
    <n v="8.89"/>
    <d v="2024-10-07T00:00:00"/>
    <d v="2024-10-11T00:00:00"/>
    <s v="Sophie"/>
    <n v="3083.68"/>
    <n v="3083.68"/>
    <n v="0"/>
    <x v="0"/>
    <x v="7"/>
  </r>
  <r>
    <d v="2023-10-06T00:00:00"/>
    <x v="4"/>
    <x v="6"/>
    <s v="Printer"/>
    <s v="Printer"/>
    <x v="2"/>
    <n v="2"/>
    <n v="474.13"/>
    <s v="Store D"/>
    <s v="Wholesale"/>
    <n v="0"/>
    <x v="3"/>
    <n v="948.26"/>
    <s v="Gift Card"/>
    <s v="FREESHIP"/>
    <n v="1"/>
    <s v="REG101233"/>
    <s v="Cust 9778"/>
    <n v="14.41"/>
    <d v="2023-10-06T00:00:00"/>
    <d v="2023-10-15T00:00:00"/>
    <s v="Wendy"/>
    <n v="948.26"/>
    <n v="948.26"/>
    <n v="0"/>
    <x v="0"/>
    <x v="19"/>
  </r>
  <r>
    <d v="2023-04-08T00:00:00"/>
    <x v="4"/>
    <x v="4"/>
    <s v="Monitor"/>
    <s v="Monitor"/>
    <x v="0"/>
    <n v="15"/>
    <n v="506.17"/>
    <s v="Store B"/>
    <s v="Wholesale"/>
    <n v="0.05"/>
    <x v="1"/>
    <n v="7212.9224999999997"/>
    <s v="Online"/>
    <m/>
    <n v="0"/>
    <s v="REG101234"/>
    <s v="Cust 1195"/>
    <n v="41.73"/>
    <d v="2023-04-08T00:00:00"/>
    <d v="2023-04-13T00:00:00"/>
    <s v="Wendy"/>
    <n v="6852.2763749999995"/>
    <n v="7592.55"/>
    <n v="740.27362500000072"/>
    <x v="1"/>
    <x v="21"/>
  </r>
  <r>
    <d v="2024-02-20T00:00:00"/>
    <x v="1"/>
    <x v="1"/>
    <s v="Phone"/>
    <s v="Phone"/>
    <x v="0"/>
    <n v="1"/>
    <n v="67.38"/>
    <s v="Store D"/>
    <s v="Retail"/>
    <n v="0.15"/>
    <x v="1"/>
    <n v="57.273000000000003"/>
    <s v="Credit Card"/>
    <s v="WINTER15"/>
    <n v="0"/>
    <s v="REG101235"/>
    <s v="Cust 8126"/>
    <n v="6.14"/>
    <d v="2024-02-20T00:00:00"/>
    <d v="2024-02-27T00:00:00"/>
    <s v="Sophie"/>
    <n v="48.682050000000004"/>
    <n v="67.38"/>
    <n v="18.697949999999992"/>
    <x v="2"/>
    <x v="5"/>
  </r>
  <r>
    <d v="2023-01-30T00:00:00"/>
    <x v="4"/>
    <x v="3"/>
    <s v="Chair"/>
    <s v="Chair"/>
    <x v="1"/>
    <n v="15"/>
    <n v="274.3"/>
    <s v="Store B"/>
    <s v="Retail"/>
    <n v="0.15"/>
    <x v="2"/>
    <n v="3497.3249999999998"/>
    <s v="Credit Card"/>
    <m/>
    <n v="0"/>
    <s v="REG101236"/>
    <s v="Cust 4609"/>
    <n v="21.56"/>
    <d v="2023-01-30T00:00:00"/>
    <d v="2023-02-08T00:00:00"/>
    <s v="Wendy"/>
    <n v="2972.7262499999997"/>
    <n v="4114.5"/>
    <n v="1141.7737500000003"/>
    <x v="2"/>
    <x v="6"/>
  </r>
  <r>
    <d v="2023-05-12T00:00:00"/>
    <x v="1"/>
    <x v="4"/>
    <s v="Monitor"/>
    <s v="Monitor"/>
    <x v="0"/>
    <n v="2"/>
    <n v="334.48"/>
    <s v="Store B"/>
    <s v="Wholesale"/>
    <n v="0"/>
    <x v="1"/>
    <n v="668.96"/>
    <s v="Debit Card"/>
    <m/>
    <n v="0"/>
    <s v="REG101237"/>
    <s v="Cust 1449"/>
    <n v="31.53"/>
    <d v="2023-05-12T00:00:00"/>
    <d v="2023-05-20T00:00:00"/>
    <s v="Sophie"/>
    <n v="668.96"/>
    <n v="668.96"/>
    <n v="0"/>
    <x v="0"/>
    <x v="2"/>
  </r>
  <r>
    <d v="2024-01-08T00:00:00"/>
    <x v="1"/>
    <x v="3"/>
    <s v="Chair"/>
    <s v="Chair"/>
    <x v="1"/>
    <n v="7"/>
    <n v="562.6"/>
    <s v="Store A"/>
    <s v="Retail"/>
    <n v="0.15"/>
    <x v="0"/>
    <n v="3347.47"/>
    <s v="Online"/>
    <s v="WINTER15"/>
    <n v="0"/>
    <s v="REG101238"/>
    <s v="Cust 3508"/>
    <n v="19.95"/>
    <d v="2024-01-08T00:00:00"/>
    <d v="2024-01-12T00:00:00"/>
    <s v="Sophie"/>
    <n v="2845.3494999999998"/>
    <n v="3938.2000000000003"/>
    <n v="1092.8505000000005"/>
    <x v="2"/>
    <x v="24"/>
  </r>
  <r>
    <d v="2024-06-05T00:00:00"/>
    <x v="2"/>
    <x v="4"/>
    <s v="Monitor"/>
    <s v="Monitor"/>
    <x v="0"/>
    <n v="7"/>
    <n v="14.34"/>
    <s v="Store D"/>
    <s v="Retail"/>
    <n v="0.05"/>
    <x v="1"/>
    <n v="95.36099999999999"/>
    <s v="Debit Card"/>
    <s v="WINTER15"/>
    <n v="0"/>
    <s v="REG101239"/>
    <s v="Cust 4826"/>
    <n v="19.45"/>
    <d v="2024-06-05T00:00:00"/>
    <d v="2024-06-08T00:00:00"/>
    <s v="Ryan"/>
    <n v="90.592949999999988"/>
    <n v="100.38"/>
    <n v="9.7870500000000078"/>
    <x v="1"/>
    <x v="23"/>
  </r>
  <r>
    <d v="2025-05-21T00:00:00"/>
    <x v="0"/>
    <x v="1"/>
    <s v="Phone"/>
    <s v="Phone"/>
    <x v="0"/>
    <n v="11"/>
    <n v="34.72"/>
    <s v="Store B"/>
    <s v="Wholesale"/>
    <n v="0.1"/>
    <x v="4"/>
    <n v="343.72800000000001"/>
    <s v="Gift Card"/>
    <s v="FREESHIP"/>
    <n v="0"/>
    <s v="REG101240"/>
    <s v="Cust 1232"/>
    <n v="9.31"/>
    <d v="2025-05-21T00:00:00"/>
    <d v="2025-05-23T00:00:00"/>
    <s v="Eric"/>
    <n v="309.35520000000002"/>
    <n v="381.91999999999996"/>
    <n v="72.564799999999934"/>
    <x v="1"/>
    <x v="13"/>
  </r>
  <r>
    <d v="2025-05-21T00:00:00"/>
    <x v="0"/>
    <x v="3"/>
    <s v="Chair"/>
    <s v="Chair"/>
    <x v="1"/>
    <n v="7"/>
    <n v="15.06"/>
    <s v="Store A"/>
    <s v="Retail"/>
    <n v="0"/>
    <x v="1"/>
    <n v="105.42"/>
    <s v="Cash"/>
    <m/>
    <n v="1"/>
    <s v="REG101241"/>
    <s v="Cust 9675"/>
    <n v="46.57"/>
    <d v="2025-05-21T00:00:00"/>
    <d v="2025-05-26T00:00:00"/>
    <s v="Eric"/>
    <n v="105.42"/>
    <n v="105.42"/>
    <n v="0"/>
    <x v="0"/>
    <x v="13"/>
  </r>
  <r>
    <d v="2023-03-05T00:00:00"/>
    <x v="0"/>
    <x v="6"/>
    <s v="Printer"/>
    <s v="Printer"/>
    <x v="2"/>
    <n v="11"/>
    <n v="488.17"/>
    <s v="Store B"/>
    <s v="Wholesale"/>
    <n v="0.05"/>
    <x v="5"/>
    <n v="5101.3764999999994"/>
    <s v="Cash"/>
    <s v="WINTER15"/>
    <n v="1"/>
    <s v="REG101242"/>
    <s v="Cust 5153"/>
    <n v="37.47"/>
    <d v="2023-03-05T00:00:00"/>
    <d v="2023-03-11T00:00:00"/>
    <s v="Eric"/>
    <n v="4846.3076749999991"/>
    <n v="5369.87"/>
    <n v="523.56232500000078"/>
    <x v="1"/>
    <x v="17"/>
  </r>
  <r>
    <d v="2024-10-27T00:00:00"/>
    <x v="1"/>
    <x v="5"/>
    <s v="Tablet"/>
    <s v="Tablet"/>
    <x v="0"/>
    <n v="10"/>
    <n v="268.39"/>
    <s v="Store B"/>
    <s v="Retail"/>
    <n v="0.05"/>
    <x v="1"/>
    <n v="2549.704999999999"/>
    <s v="Credit Card"/>
    <s v="SAVE10"/>
    <n v="0"/>
    <s v="REG101243"/>
    <s v="Cust 6330"/>
    <n v="25.86"/>
    <d v="2024-10-27T00:00:00"/>
    <d v="2024-11-02T00:00:00"/>
    <s v="Sophie"/>
    <n v="2422.2197499999988"/>
    <n v="2683.8999999999996"/>
    <n v="261.6802500000008"/>
    <x v="1"/>
    <x v="7"/>
  </r>
  <r>
    <d v="2025-03-24T00:00:00"/>
    <x v="2"/>
    <x v="5"/>
    <s v="Tablet"/>
    <s v="Tablet"/>
    <x v="0"/>
    <n v="5"/>
    <n v="64.180000000000007"/>
    <s v="Store C"/>
    <s v="Retail"/>
    <n v="0.1"/>
    <x v="0"/>
    <n v="288.81000000000012"/>
    <s v="Gift Card"/>
    <s v="SAVE10"/>
    <n v="0"/>
    <s v="REG101244"/>
    <s v="Cust 8277"/>
    <n v="21.17"/>
    <d v="2025-03-24T00:00:00"/>
    <d v="2025-03-29T00:00:00"/>
    <s v="Ryan"/>
    <n v="259.92900000000009"/>
    <n v="320.90000000000003"/>
    <n v="60.970999999999947"/>
    <x v="1"/>
    <x v="8"/>
  </r>
  <r>
    <d v="2024-09-21T00:00:00"/>
    <x v="4"/>
    <x v="1"/>
    <s v="Phone"/>
    <s v="Phone"/>
    <x v="0"/>
    <n v="15"/>
    <n v="466.55"/>
    <s v="Store A"/>
    <s v="Retail"/>
    <n v="0.05"/>
    <x v="1"/>
    <n v="6648.3374999999996"/>
    <s v="Cash"/>
    <s v="SAVE10"/>
    <n v="1"/>
    <s v="REG101245"/>
    <s v="Cust 5884"/>
    <n v="36.68"/>
    <d v="2024-09-21T00:00:00"/>
    <d v="2024-09-27T00:00:00"/>
    <s v="Wendy"/>
    <n v="6315.9206249999997"/>
    <n v="6998.25"/>
    <n v="682.32937500000025"/>
    <x v="1"/>
    <x v="26"/>
  </r>
  <r>
    <d v="2025-05-18T00:00:00"/>
    <x v="2"/>
    <x v="2"/>
    <s v="Desk"/>
    <s v="Desk"/>
    <x v="1"/>
    <n v="8"/>
    <n v="505.34"/>
    <s v="Store B"/>
    <s v="Retail"/>
    <n v="0.05"/>
    <x v="5"/>
    <n v="3840.5839999999998"/>
    <s v="Debit Card"/>
    <m/>
    <n v="0"/>
    <s v="REG101246"/>
    <s v="Cust 4061"/>
    <n v="22.88"/>
    <d v="2025-05-18T00:00:00"/>
    <d v="2025-05-27T00:00:00"/>
    <s v="Ryan"/>
    <n v="3648.5547999999999"/>
    <n v="4042.72"/>
    <n v="394.16519999999991"/>
    <x v="1"/>
    <x v="13"/>
  </r>
  <r>
    <d v="2024-07-11T00:00:00"/>
    <x v="0"/>
    <x v="4"/>
    <s v="Monitor"/>
    <s v="Monitor"/>
    <x v="0"/>
    <n v="6"/>
    <n v="100.75"/>
    <s v="Store A"/>
    <s v="Wholesale"/>
    <n v="0.1"/>
    <x v="2"/>
    <n v="544.05000000000007"/>
    <s v="Credit Card"/>
    <s v="FREESHIP"/>
    <n v="0"/>
    <s v="REG101247"/>
    <s v="Cust 8095"/>
    <n v="12.98"/>
    <d v="2024-07-11T00:00:00"/>
    <d v="2024-07-14T00:00:00"/>
    <s v="Eric"/>
    <n v="489.6450000000001"/>
    <n v="604.5"/>
    <n v="114.8549999999999"/>
    <x v="1"/>
    <x v="10"/>
  </r>
  <r>
    <d v="2025-01-27T00:00:00"/>
    <x v="2"/>
    <x v="5"/>
    <s v="Tablet"/>
    <s v="Tablet"/>
    <x v="0"/>
    <n v="8"/>
    <n v="352.72"/>
    <s v="Store C"/>
    <s v="Retail"/>
    <n v="0.05"/>
    <x v="3"/>
    <n v="2680.672"/>
    <s v="Cash"/>
    <m/>
    <n v="0"/>
    <s v="REG101248"/>
    <s v="Cust 2435"/>
    <n v="30.8"/>
    <d v="2025-01-27T00:00:00"/>
    <d v="2025-02-04T00:00:00"/>
    <s v="Ryan"/>
    <n v="2546.6383999999998"/>
    <n v="2821.76"/>
    <n v="275.1216000000004"/>
    <x v="1"/>
    <x v="12"/>
  </r>
  <r>
    <d v="2023-11-26T00:00:00"/>
    <x v="0"/>
    <x v="0"/>
    <s v="Laptop"/>
    <s v="Laptop"/>
    <x v="0"/>
    <n v="9"/>
    <n v="526.26"/>
    <s v="Store B"/>
    <s v="Retail"/>
    <n v="0"/>
    <x v="5"/>
    <n v="4736.34"/>
    <s v="Cash"/>
    <s v="FREESHIP"/>
    <n v="0"/>
    <s v="REG101249"/>
    <s v="Cust 6785"/>
    <n v="15.47"/>
    <d v="2023-11-26T00:00:00"/>
    <d v="2023-12-06T00:00:00"/>
    <s v="Eric"/>
    <n v="4736.34"/>
    <n v="4736.34"/>
    <n v="0"/>
    <x v="0"/>
    <x v="15"/>
  </r>
  <r>
    <d v="2024-06-02T00:00:00"/>
    <x v="3"/>
    <x v="6"/>
    <s v="Printer"/>
    <s v="Printer"/>
    <x v="2"/>
    <n v="18"/>
    <n v="519.41999999999996"/>
    <s v="Store C"/>
    <s v="Retail"/>
    <n v="0.15"/>
    <x v="0"/>
    <n v="7947.1259999999993"/>
    <s v="Cash"/>
    <s v="WINTER15"/>
    <n v="0"/>
    <s v="REG101250"/>
    <s v="Cust 6485"/>
    <n v="32.96"/>
    <d v="2024-06-02T00:00:00"/>
    <d v="2024-06-04T00:00:00"/>
    <s v="Cameron"/>
    <n v="6755.0570999999991"/>
    <n v="9349.56"/>
    <n v="2594.5029000000004"/>
    <x v="2"/>
    <x v="23"/>
  </r>
  <r>
    <d v="2023-01-17T00:00:00"/>
    <x v="2"/>
    <x v="3"/>
    <s v="Chair"/>
    <s v="Chair"/>
    <x v="1"/>
    <n v="18"/>
    <n v="108.46"/>
    <s v="Store D"/>
    <s v="Wholesale"/>
    <n v="0.05"/>
    <x v="2"/>
    <n v="1854.6659999999999"/>
    <s v="Online"/>
    <s v="SAVE10"/>
    <n v="0"/>
    <s v="REG101251"/>
    <s v="Cust 6960"/>
    <n v="10.72"/>
    <d v="2023-01-17T00:00:00"/>
    <d v="2023-01-24T00:00:00"/>
    <s v="Ryan"/>
    <n v="1761.9326999999998"/>
    <n v="1952.28"/>
    <n v="190.34730000000013"/>
    <x v="1"/>
    <x v="6"/>
  </r>
  <r>
    <d v="2025-05-03T00:00:00"/>
    <x v="2"/>
    <x v="2"/>
    <s v="Desk"/>
    <s v="Desk"/>
    <x v="1"/>
    <n v="13"/>
    <n v="420.68"/>
    <s v="Store D"/>
    <s v="Wholesale"/>
    <n v="0.05"/>
    <x v="2"/>
    <n v="5195.3980000000001"/>
    <s v="Online"/>
    <m/>
    <n v="0"/>
    <s v="REG101252"/>
    <s v="Cust 1135"/>
    <n v="24.51"/>
    <d v="2025-05-03T00:00:00"/>
    <d v="2025-05-11T00:00:00"/>
    <s v="Ryan"/>
    <n v="4935.6280999999999"/>
    <n v="5468.84"/>
    <n v="533.21190000000024"/>
    <x v="1"/>
    <x v="13"/>
  </r>
  <r>
    <d v="2025-01-05T00:00:00"/>
    <x v="2"/>
    <x v="6"/>
    <s v="Printer"/>
    <s v="Printer"/>
    <x v="2"/>
    <n v="17"/>
    <n v="5.91"/>
    <s v="Store A"/>
    <s v="Wholesale"/>
    <n v="0.15"/>
    <x v="0"/>
    <n v="85.399500000000003"/>
    <s v="Online"/>
    <s v="SAVE10"/>
    <n v="0"/>
    <s v="REG101253"/>
    <s v="Cust 6186"/>
    <n v="44.85"/>
    <d v="2025-01-05T00:00:00"/>
    <d v="2025-01-13T00:00:00"/>
    <s v="Ryan"/>
    <n v="72.589574999999996"/>
    <n v="100.47"/>
    <n v="27.880425000000002"/>
    <x v="2"/>
    <x v="12"/>
  </r>
  <r>
    <d v="2024-02-20T00:00:00"/>
    <x v="0"/>
    <x v="1"/>
    <s v="Phone"/>
    <s v="Phone"/>
    <x v="0"/>
    <n v="4"/>
    <n v="452.77"/>
    <s v="Store B"/>
    <s v="Retail"/>
    <n v="0"/>
    <x v="4"/>
    <n v="1811.08"/>
    <s v="Debit Card"/>
    <s v="SAVE10"/>
    <n v="0"/>
    <s v="REG101254"/>
    <s v="Cust 8828"/>
    <n v="32.01"/>
    <d v="2024-02-20T00:00:00"/>
    <d v="2024-03-01T00:00:00"/>
    <s v="Eric"/>
    <n v="1811.08"/>
    <n v="1811.08"/>
    <n v="0"/>
    <x v="0"/>
    <x v="5"/>
  </r>
  <r>
    <d v="2023-12-26T00:00:00"/>
    <x v="2"/>
    <x v="4"/>
    <s v="Monitor"/>
    <s v="Monitor"/>
    <x v="0"/>
    <n v="7"/>
    <n v="157"/>
    <s v="Store A"/>
    <s v="Wholesale"/>
    <n v="0.15"/>
    <x v="1"/>
    <n v="934.15"/>
    <s v="Online"/>
    <s v="SAVE10"/>
    <n v="1"/>
    <s v="REG101255"/>
    <s v="Cust 9097"/>
    <n v="39.72"/>
    <d v="2023-12-26T00:00:00"/>
    <d v="2024-01-04T00:00:00"/>
    <s v="Ryan"/>
    <n v="794.02749999999992"/>
    <n v="1099"/>
    <n v="304.97250000000008"/>
    <x v="2"/>
    <x v="27"/>
  </r>
  <r>
    <d v="2023-03-07T00:00:00"/>
    <x v="2"/>
    <x v="6"/>
    <s v="Printer"/>
    <s v="Printer"/>
    <x v="2"/>
    <n v="11"/>
    <n v="550.86"/>
    <s v="Store C"/>
    <s v="Retail"/>
    <n v="0.1"/>
    <x v="5"/>
    <n v="5453.5140000000001"/>
    <s v="Online"/>
    <s v="FREESHIP"/>
    <n v="0"/>
    <s v="REG101256"/>
    <s v="Cust 4744"/>
    <n v="21.82"/>
    <d v="2023-03-07T00:00:00"/>
    <d v="2023-03-12T00:00:00"/>
    <s v="Ryan"/>
    <n v="4908.1626000000006"/>
    <n v="6059.46"/>
    <n v="1151.2973999999995"/>
    <x v="1"/>
    <x v="17"/>
  </r>
  <r>
    <d v="2024-09-13T00:00:00"/>
    <x v="2"/>
    <x v="3"/>
    <s v="Chair"/>
    <s v="Chair"/>
    <x v="1"/>
    <n v="5"/>
    <n v="172.65"/>
    <s v="Store C"/>
    <s v="Wholesale"/>
    <n v="0.15"/>
    <x v="1"/>
    <n v="733.76249999999993"/>
    <s v="Cash"/>
    <s v="SAVE10"/>
    <n v="0"/>
    <s v="REG101257"/>
    <s v="Cust 4287"/>
    <n v="28.3"/>
    <d v="2024-09-13T00:00:00"/>
    <d v="2024-09-22T00:00:00"/>
    <s v="Ryan"/>
    <n v="623.69812499999989"/>
    <n v="863.25"/>
    <n v="239.55187500000011"/>
    <x v="2"/>
    <x v="26"/>
  </r>
  <r>
    <d v="2024-01-02T00:00:00"/>
    <x v="0"/>
    <x v="5"/>
    <s v="Tablet"/>
    <s v="Tablet"/>
    <x v="0"/>
    <n v="16"/>
    <n v="145.30000000000001"/>
    <s v="Store B"/>
    <s v="Wholesale"/>
    <n v="0"/>
    <x v="0"/>
    <n v="2324.8000000000002"/>
    <s v="Credit Card"/>
    <s v="FREESHIP"/>
    <n v="1"/>
    <s v="REG101258"/>
    <s v="Cust 2236"/>
    <n v="29.64"/>
    <d v="2024-01-02T00:00:00"/>
    <d v="2024-01-12T00:00:00"/>
    <s v="Eric"/>
    <n v="2324.8000000000002"/>
    <n v="2324.8000000000002"/>
    <n v="0"/>
    <x v="0"/>
    <x v="24"/>
  </r>
  <r>
    <d v="2025-02-08T00:00:00"/>
    <x v="1"/>
    <x v="6"/>
    <s v="Printer"/>
    <s v="Printer"/>
    <x v="2"/>
    <n v="10"/>
    <n v="67.38"/>
    <s v="Store C"/>
    <s v="Retail"/>
    <n v="0.1"/>
    <x v="4"/>
    <n v="606.41999999999996"/>
    <s v="Gift Card"/>
    <s v="FREESHIP"/>
    <n v="1"/>
    <s v="REG101259"/>
    <s v="Cust 5312"/>
    <n v="20.58"/>
    <d v="2025-02-08T00:00:00"/>
    <d v="2025-02-18T00:00:00"/>
    <s v="Sophie"/>
    <n v="545.77800000000002"/>
    <n v="673.8"/>
    <n v="128.02199999999993"/>
    <x v="1"/>
    <x v="3"/>
  </r>
  <r>
    <d v="2025-03-04T00:00:00"/>
    <x v="1"/>
    <x v="6"/>
    <s v="Printer"/>
    <s v="Printer"/>
    <x v="2"/>
    <n v="15"/>
    <n v="141.13"/>
    <s v="Store D"/>
    <s v="Wholesale"/>
    <n v="0"/>
    <x v="3"/>
    <n v="2116.9499999999998"/>
    <s v="Cash"/>
    <s v="SAVE10"/>
    <n v="0"/>
    <s v="REG101260"/>
    <s v="Cust 5096"/>
    <n v="19.63"/>
    <d v="2025-03-04T00:00:00"/>
    <d v="2025-03-12T00:00:00"/>
    <s v="Sophie"/>
    <n v="2116.9499999999998"/>
    <n v="2116.9499999999998"/>
    <n v="0"/>
    <x v="0"/>
    <x v="8"/>
  </r>
  <r>
    <d v="2024-03-12T00:00:00"/>
    <x v="3"/>
    <x v="5"/>
    <s v="Tablet"/>
    <s v="Tablet"/>
    <x v="0"/>
    <n v="1"/>
    <n v="534.61"/>
    <s v="Store D"/>
    <s v="Retail"/>
    <n v="0.05"/>
    <x v="2"/>
    <n v="507.87950000000001"/>
    <s v="Online"/>
    <s v="SAVE10"/>
    <n v="0"/>
    <s v="REG101261"/>
    <s v="Cust 1162"/>
    <n v="22.68"/>
    <d v="2024-03-12T00:00:00"/>
    <d v="2024-03-21T00:00:00"/>
    <s v="Cameron"/>
    <n v="482.485525"/>
    <n v="534.61"/>
    <n v="52.124475000000018"/>
    <x v="1"/>
    <x v="25"/>
  </r>
  <r>
    <d v="2024-07-03T00:00:00"/>
    <x v="0"/>
    <x v="1"/>
    <s v="Phone"/>
    <s v="Phone"/>
    <x v="0"/>
    <n v="9"/>
    <n v="560.04"/>
    <s v="Store D"/>
    <s v="Retail"/>
    <n v="0.05"/>
    <x v="3"/>
    <n v="4788.3419999999996"/>
    <s v="Gift Card"/>
    <s v="WINTER15"/>
    <n v="0"/>
    <s v="REG101262"/>
    <s v="Cust 1669"/>
    <n v="22.81"/>
    <d v="2024-07-03T00:00:00"/>
    <d v="2024-07-07T00:00:00"/>
    <s v="Eric"/>
    <n v="4548.9248999999991"/>
    <n v="5040.3599999999997"/>
    <n v="491.4351000000006"/>
    <x v="1"/>
    <x v="10"/>
  </r>
  <r>
    <d v="2025-01-05T00:00:00"/>
    <x v="2"/>
    <x v="0"/>
    <s v="Laptop"/>
    <s v="Laptop"/>
    <x v="0"/>
    <n v="8"/>
    <n v="275.32"/>
    <s v="Store D"/>
    <s v="Retail"/>
    <n v="0.1"/>
    <x v="4"/>
    <n v="1982.3040000000001"/>
    <s v="Cash"/>
    <s v="SAVE10"/>
    <n v="0"/>
    <s v="REG101263"/>
    <s v="Cust 6213"/>
    <n v="18.260000000000002"/>
    <d v="2025-01-05T00:00:00"/>
    <d v="2025-01-13T00:00:00"/>
    <s v="Ryan"/>
    <n v="1784.0736000000002"/>
    <n v="2202.56"/>
    <n v="418.48639999999978"/>
    <x v="1"/>
    <x v="12"/>
  </r>
  <r>
    <d v="2024-03-21T00:00:00"/>
    <x v="0"/>
    <x v="1"/>
    <s v="Phone"/>
    <s v="Phone"/>
    <x v="0"/>
    <n v="3"/>
    <n v="105.73"/>
    <s v="Store D"/>
    <s v="Retail"/>
    <n v="0.05"/>
    <x v="5"/>
    <n v="301.33049999999997"/>
    <s v="Debit Card"/>
    <s v="FREESHIP"/>
    <n v="1"/>
    <s v="REG101264"/>
    <s v="Cust 7659"/>
    <n v="12.12"/>
    <d v="2024-03-21T00:00:00"/>
    <d v="2024-03-28T00:00:00"/>
    <s v="Eric"/>
    <n v="286.26397499999996"/>
    <n v="317.19"/>
    <n v="30.926025000000038"/>
    <x v="1"/>
    <x v="25"/>
  </r>
  <r>
    <d v="2025-03-28T00:00:00"/>
    <x v="3"/>
    <x v="4"/>
    <s v="Monitor"/>
    <s v="Monitor"/>
    <x v="0"/>
    <n v="15"/>
    <n v="568.80999999999995"/>
    <s v="Store D"/>
    <s v="Retail"/>
    <n v="0.1"/>
    <x v="2"/>
    <n v="7678.9349999999986"/>
    <s v="Gift Card"/>
    <m/>
    <n v="0"/>
    <s v="REG101265"/>
    <s v="Cust 2894"/>
    <n v="8.5399999999999991"/>
    <d v="2025-03-28T00:00:00"/>
    <d v="2025-04-03T00:00:00"/>
    <s v="Cameron"/>
    <n v="6911.0414999999985"/>
    <n v="8532.15"/>
    <n v="1621.1085000000012"/>
    <x v="1"/>
    <x v="8"/>
  </r>
  <r>
    <d v="2025-04-13T00:00:00"/>
    <x v="3"/>
    <x v="0"/>
    <s v="Laptop"/>
    <s v="Laptop"/>
    <x v="0"/>
    <n v="20"/>
    <n v="190.39"/>
    <s v="Store B"/>
    <s v="Retail"/>
    <n v="0.1"/>
    <x v="5"/>
    <n v="3427.02"/>
    <s v="Gift Card"/>
    <s v="SAVE10"/>
    <n v="0"/>
    <s v="REG101266"/>
    <s v="Cust 1457"/>
    <n v="49.93"/>
    <d v="2025-04-13T00:00:00"/>
    <d v="2025-04-18T00:00:00"/>
    <s v="Cameron"/>
    <n v="3084.3180000000002"/>
    <n v="3807.7999999999997"/>
    <n v="723.48199999999952"/>
    <x v="1"/>
    <x v="28"/>
  </r>
  <r>
    <d v="2024-04-30T00:00:00"/>
    <x v="4"/>
    <x v="3"/>
    <s v="Chair"/>
    <s v="Chair"/>
    <x v="1"/>
    <n v="19"/>
    <n v="433.39"/>
    <s v="Store C"/>
    <s v="Retail"/>
    <n v="0.05"/>
    <x v="5"/>
    <n v="7822.6894999999986"/>
    <s v="Online"/>
    <s v="WINTER15"/>
    <n v="0"/>
    <s v="REG101267"/>
    <s v="Cust 2410"/>
    <n v="7.59"/>
    <d v="2024-04-30T00:00:00"/>
    <d v="2024-05-09T00:00:00"/>
    <s v="Wendy"/>
    <n v="7431.5550249999987"/>
    <n v="8234.41"/>
    <n v="802.8549750000011"/>
    <x v="1"/>
    <x v="9"/>
  </r>
  <r>
    <d v="2025-02-15T00:00:00"/>
    <x v="1"/>
    <x v="1"/>
    <s v="Phone"/>
    <s v="Phone"/>
    <x v="0"/>
    <n v="1"/>
    <n v="92.72"/>
    <s v="Store C"/>
    <s v="Wholesale"/>
    <n v="0.15"/>
    <x v="0"/>
    <n v="78.811999999999998"/>
    <s v="Debit Card"/>
    <s v="WINTER15"/>
    <n v="0"/>
    <s v="REG101268"/>
    <s v="Cust 4723"/>
    <n v="48.46"/>
    <d v="2025-02-15T00:00:00"/>
    <d v="2025-02-19T00:00:00"/>
    <s v="Sophie"/>
    <n v="66.990200000000002"/>
    <n v="92.72"/>
    <n v="25.729799999999997"/>
    <x v="2"/>
    <x v="3"/>
  </r>
  <r>
    <d v="2025-02-18T00:00:00"/>
    <x v="4"/>
    <x v="0"/>
    <s v="Laptop"/>
    <s v="Laptop"/>
    <x v="0"/>
    <n v="1"/>
    <n v="263.27999999999997"/>
    <s v="Store D"/>
    <s v="Wholesale"/>
    <n v="0.1"/>
    <x v="0"/>
    <n v="236.952"/>
    <s v="Credit Card"/>
    <s v="SAVE10"/>
    <n v="0"/>
    <s v="REG101269"/>
    <s v="Cust 1586"/>
    <n v="36.28"/>
    <d v="2025-02-18T00:00:00"/>
    <d v="2025-02-23T00:00:00"/>
    <s v="Wendy"/>
    <n v="213.2568"/>
    <n v="263.27999999999997"/>
    <n v="50.023199999999974"/>
    <x v="1"/>
    <x v="3"/>
  </r>
  <r>
    <d v="2023-09-08T00:00:00"/>
    <x v="4"/>
    <x v="1"/>
    <s v="Phone"/>
    <s v="Phone"/>
    <x v="0"/>
    <n v="11"/>
    <n v="358.59"/>
    <s v="Store B"/>
    <s v="Wholesale"/>
    <n v="0"/>
    <x v="2"/>
    <n v="3944.49"/>
    <s v="Credit Card"/>
    <m/>
    <n v="0"/>
    <s v="REG101270"/>
    <s v="Cust 5049"/>
    <n v="29.19"/>
    <d v="2023-09-08T00:00:00"/>
    <d v="2023-09-10T00:00:00"/>
    <s v="Wendy"/>
    <n v="3944.49"/>
    <n v="3944.49"/>
    <n v="0"/>
    <x v="0"/>
    <x v="22"/>
  </r>
  <r>
    <d v="2024-02-04T00:00:00"/>
    <x v="3"/>
    <x v="5"/>
    <s v="Tablet"/>
    <s v="Tablet"/>
    <x v="0"/>
    <n v="18"/>
    <n v="595.53"/>
    <s v="Store B"/>
    <s v="Retail"/>
    <n v="0"/>
    <x v="2"/>
    <n v="10719.54"/>
    <s v="Cash"/>
    <s v="WINTER15"/>
    <n v="0"/>
    <s v="REG101271"/>
    <s v="Cust 9534"/>
    <n v="42.91"/>
    <d v="2024-02-04T00:00:00"/>
    <d v="2024-02-06T00:00:00"/>
    <s v="Cameron"/>
    <n v="10719.54"/>
    <n v="10719.539999999999"/>
    <n v="0"/>
    <x v="0"/>
    <x v="5"/>
  </r>
  <r>
    <d v="2024-11-25T00:00:00"/>
    <x v="2"/>
    <x v="4"/>
    <s v="Monitor"/>
    <s v="Monitor"/>
    <x v="0"/>
    <n v="14"/>
    <n v="574.32000000000005"/>
    <s v="Store D"/>
    <s v="Wholesale"/>
    <n v="0.15"/>
    <x v="4"/>
    <n v="6834.4080000000004"/>
    <s v="Credit Card"/>
    <s v="SAVE10"/>
    <n v="0"/>
    <s v="REG101272"/>
    <s v="Cust 5693"/>
    <n v="12.07"/>
    <d v="2024-11-25T00:00:00"/>
    <d v="2024-12-05T00:00:00"/>
    <s v="Ryan"/>
    <n v="5809.2467999999999"/>
    <n v="8040.4800000000005"/>
    <n v="2231.2332000000006"/>
    <x v="2"/>
    <x v="20"/>
  </r>
  <r>
    <d v="2024-12-30T00:00:00"/>
    <x v="2"/>
    <x v="0"/>
    <s v="Laptop"/>
    <s v="Laptop"/>
    <x v="0"/>
    <n v="18"/>
    <n v="444.13"/>
    <s v="Store D"/>
    <s v="Retail"/>
    <n v="0"/>
    <x v="2"/>
    <n v="7994.34"/>
    <s v="Cash"/>
    <s v="SAVE10"/>
    <n v="0"/>
    <s v="REG101273"/>
    <s v="Cust 6950"/>
    <n v="5.41"/>
    <d v="2024-12-30T00:00:00"/>
    <d v="2025-01-02T00:00:00"/>
    <s v="Ryan"/>
    <n v="7994.34"/>
    <n v="7994.34"/>
    <n v="0"/>
    <x v="0"/>
    <x v="1"/>
  </r>
  <r>
    <d v="2023-09-05T00:00:00"/>
    <x v="4"/>
    <x v="5"/>
    <s v="Tablet"/>
    <s v="Tablet"/>
    <x v="0"/>
    <n v="19"/>
    <n v="431.47"/>
    <s v="Store A"/>
    <s v="Retail"/>
    <n v="0.1"/>
    <x v="0"/>
    <n v="7378.1370000000006"/>
    <s v="Gift Card"/>
    <s v="WINTER15"/>
    <n v="0"/>
    <s v="REG101274"/>
    <s v="Cust 7098"/>
    <n v="49.23"/>
    <d v="2023-09-05T00:00:00"/>
    <d v="2023-09-10T00:00:00"/>
    <s v="Wendy"/>
    <n v="6640.3233000000009"/>
    <n v="8197.93"/>
    <n v="1557.6066999999994"/>
    <x v="1"/>
    <x v="22"/>
  </r>
  <r>
    <d v="2023-08-01T00:00:00"/>
    <x v="4"/>
    <x v="6"/>
    <s v="Printer"/>
    <s v="Printer"/>
    <x v="2"/>
    <n v="19"/>
    <n v="67.489999999999995"/>
    <s v="Store C"/>
    <s v="Retail"/>
    <n v="0"/>
    <x v="2"/>
    <n v="1282.31"/>
    <s v="Debit Card"/>
    <s v="SAVE10"/>
    <n v="0"/>
    <s v="REG101275"/>
    <s v="Cust 8300"/>
    <n v="32.04"/>
    <d v="2023-08-01T00:00:00"/>
    <d v="2023-08-11T00:00:00"/>
    <s v="Wendy"/>
    <n v="1282.31"/>
    <n v="1282.31"/>
    <n v="0"/>
    <x v="0"/>
    <x v="18"/>
  </r>
  <r>
    <d v="2023-01-06T00:00:00"/>
    <x v="3"/>
    <x v="5"/>
    <s v="Tablet"/>
    <s v="Tablet"/>
    <x v="0"/>
    <n v="11"/>
    <n v="25.67"/>
    <s v="Store C"/>
    <s v="Retail"/>
    <n v="0.15"/>
    <x v="3"/>
    <n v="240.0145"/>
    <s v="Credit Card"/>
    <s v="SAVE10"/>
    <n v="0"/>
    <s v="REG101276"/>
    <s v="Cust 9557"/>
    <n v="30.12"/>
    <d v="2023-01-06T00:00:00"/>
    <d v="2023-01-08T00:00:00"/>
    <s v="Cameron"/>
    <n v="204.012325"/>
    <n v="282.37"/>
    <n v="78.357675"/>
    <x v="2"/>
    <x v="6"/>
  </r>
  <r>
    <d v="2025-05-02T00:00:00"/>
    <x v="3"/>
    <x v="1"/>
    <s v="Phone"/>
    <s v="Phone"/>
    <x v="0"/>
    <n v="4"/>
    <n v="368.69"/>
    <s v="Store D"/>
    <s v="Wholesale"/>
    <n v="0"/>
    <x v="4"/>
    <n v="1474.76"/>
    <s v="Gift Card"/>
    <s v="WINTER15"/>
    <n v="0"/>
    <s v="REG101277"/>
    <s v="Cust 8787"/>
    <n v="48.57"/>
    <d v="2025-05-02T00:00:00"/>
    <d v="2025-05-06T00:00:00"/>
    <s v="Cameron"/>
    <n v="1474.76"/>
    <n v="1474.76"/>
    <n v="0"/>
    <x v="0"/>
    <x v="13"/>
  </r>
  <r>
    <d v="2023-12-21T00:00:00"/>
    <x v="4"/>
    <x v="4"/>
    <s v="Monitor"/>
    <s v="Monitor"/>
    <x v="0"/>
    <n v="7"/>
    <n v="257.01"/>
    <s v="Store D"/>
    <s v="Retail"/>
    <n v="0.05"/>
    <x v="0"/>
    <n v="1709.1165000000001"/>
    <s v="Credit Card"/>
    <m/>
    <n v="0"/>
    <s v="REG101278"/>
    <s v="Cust 9717"/>
    <n v="35.520000000000003"/>
    <d v="2023-12-21T00:00:00"/>
    <d v="2023-12-28T00:00:00"/>
    <s v="Wendy"/>
    <n v="1623.6606750000001"/>
    <n v="1799.07"/>
    <n v="175.40932499999985"/>
    <x v="1"/>
    <x v="27"/>
  </r>
  <r>
    <d v="2024-09-10T00:00:00"/>
    <x v="0"/>
    <x v="0"/>
    <s v="Laptop"/>
    <s v="Laptop"/>
    <x v="0"/>
    <n v="14"/>
    <n v="85.54"/>
    <s v="Store B"/>
    <s v="Wholesale"/>
    <n v="0"/>
    <x v="2"/>
    <n v="1197.56"/>
    <s v="Gift Card"/>
    <s v="FREESHIP"/>
    <n v="0"/>
    <s v="REG101279"/>
    <s v="Cust 2719"/>
    <n v="16.079999999999998"/>
    <d v="2024-09-10T00:00:00"/>
    <d v="2024-09-14T00:00:00"/>
    <s v="Eric"/>
    <n v="1197.56"/>
    <n v="1197.5600000000002"/>
    <n v="0"/>
    <x v="0"/>
    <x v="26"/>
  </r>
  <r>
    <d v="2024-04-05T00:00:00"/>
    <x v="3"/>
    <x v="3"/>
    <s v="Chair"/>
    <s v="Chair"/>
    <x v="1"/>
    <n v="9"/>
    <n v="267.60000000000002"/>
    <s v="Store D"/>
    <s v="Retail"/>
    <n v="0.15"/>
    <x v="0"/>
    <n v="2047.14"/>
    <s v="Credit Card"/>
    <s v="FREESHIP"/>
    <n v="0"/>
    <s v="REG101280"/>
    <s v="Cust 6203"/>
    <n v="8.48"/>
    <d v="2024-04-05T00:00:00"/>
    <d v="2024-04-10T00:00:00"/>
    <s v="Cameron"/>
    <n v="1740.069"/>
    <n v="2408.4"/>
    <n v="668.33100000000013"/>
    <x v="2"/>
    <x v="9"/>
  </r>
  <r>
    <d v="2023-07-26T00:00:00"/>
    <x v="0"/>
    <x v="2"/>
    <s v="Desk"/>
    <s v="Desk"/>
    <x v="1"/>
    <n v="15"/>
    <n v="261.85000000000002"/>
    <s v="Store D"/>
    <s v="Wholesale"/>
    <n v="0.15"/>
    <x v="4"/>
    <n v="3338.5875000000001"/>
    <s v="Online"/>
    <s v="SAVE10"/>
    <n v="0"/>
    <s v="REG101281"/>
    <s v="Cust 9151"/>
    <n v="40.68"/>
    <d v="2023-07-26T00:00:00"/>
    <d v="2023-07-31T00:00:00"/>
    <s v="Eric"/>
    <n v="2837.7993750000001"/>
    <n v="3927.7500000000005"/>
    <n v="1089.9506250000004"/>
    <x v="2"/>
    <x v="11"/>
  </r>
  <r>
    <d v="2023-11-12T00:00:00"/>
    <x v="0"/>
    <x v="6"/>
    <s v="Printer"/>
    <s v="Printer"/>
    <x v="2"/>
    <n v="11"/>
    <n v="199.57"/>
    <s v="Store A"/>
    <s v="Retail"/>
    <n v="0.05"/>
    <x v="5"/>
    <n v="2085.5065"/>
    <s v="Debit Card"/>
    <s v="SAVE10"/>
    <n v="0"/>
    <s v="REG101282"/>
    <s v="Cust 5096"/>
    <n v="48.94"/>
    <d v="2023-11-12T00:00:00"/>
    <d v="2023-11-14T00:00:00"/>
    <s v="Eric"/>
    <n v="1981.2311749999999"/>
    <n v="2195.27"/>
    <n v="214.03882500000009"/>
    <x v="1"/>
    <x v="15"/>
  </r>
  <r>
    <d v="2025-04-18T00:00:00"/>
    <x v="3"/>
    <x v="1"/>
    <s v="Phone"/>
    <s v="Phone"/>
    <x v="0"/>
    <n v="5"/>
    <n v="504.96"/>
    <s v="Store C"/>
    <s v="Retail"/>
    <n v="0.05"/>
    <x v="4"/>
    <n v="2398.559999999999"/>
    <s v="Gift Card"/>
    <s v="FREESHIP"/>
    <n v="0"/>
    <s v="REG101283"/>
    <s v="Cust 4250"/>
    <n v="22.12"/>
    <d v="2025-04-18T00:00:00"/>
    <d v="2025-04-20T00:00:00"/>
    <s v="Cameron"/>
    <n v="2278.6319999999992"/>
    <n v="2524.7999999999997"/>
    <n v="246.16800000000057"/>
    <x v="1"/>
    <x v="28"/>
  </r>
  <r>
    <d v="2023-08-12T00:00:00"/>
    <x v="1"/>
    <x v="3"/>
    <s v="Chair"/>
    <s v="Chair"/>
    <x v="1"/>
    <n v="8"/>
    <n v="28.34"/>
    <s v="Store C"/>
    <s v="Wholesale"/>
    <n v="0.05"/>
    <x v="1"/>
    <n v="215.38399999999999"/>
    <s v="Cash"/>
    <m/>
    <n v="1"/>
    <s v="REG101284"/>
    <s v="Cust 1276"/>
    <n v="23.19"/>
    <d v="2023-08-12T00:00:00"/>
    <d v="2023-08-19T00:00:00"/>
    <s v="Sophie"/>
    <n v="204.61479999999997"/>
    <n v="226.72"/>
    <n v="22.105200000000025"/>
    <x v="1"/>
    <x v="18"/>
  </r>
  <r>
    <d v="2024-12-12T00:00:00"/>
    <x v="4"/>
    <x v="6"/>
    <s v="Printer"/>
    <s v="Printer"/>
    <x v="2"/>
    <n v="17"/>
    <n v="495.13"/>
    <s v="Store D"/>
    <s v="Wholesale"/>
    <n v="0.1"/>
    <x v="1"/>
    <n v="7575.4889999999996"/>
    <s v="Online"/>
    <s v="FREESHIP"/>
    <n v="1"/>
    <s v="REG101285"/>
    <s v="Cust 6063"/>
    <n v="26.37"/>
    <d v="2024-12-12T00:00:00"/>
    <d v="2024-12-21T00:00:00"/>
    <s v="Wendy"/>
    <n v="6817.9400999999998"/>
    <n v="8417.2099999999991"/>
    <n v="1599.2698999999993"/>
    <x v="1"/>
    <x v="1"/>
  </r>
  <r>
    <d v="2025-05-07T00:00:00"/>
    <x v="4"/>
    <x v="1"/>
    <s v="Phone"/>
    <s v="Phone"/>
    <x v="0"/>
    <n v="14"/>
    <n v="142.05000000000001"/>
    <s v="Store D"/>
    <s v="Retail"/>
    <n v="0.05"/>
    <x v="2"/>
    <n v="1889.2650000000001"/>
    <s v="Gift Card"/>
    <s v="SAVE10"/>
    <n v="0"/>
    <s v="REG101286"/>
    <s v="Cust 7604"/>
    <n v="33.65"/>
    <d v="2025-05-07T00:00:00"/>
    <d v="2025-05-13T00:00:00"/>
    <s v="Wendy"/>
    <n v="1794.8017500000001"/>
    <n v="1988.7000000000003"/>
    <n v="193.89825000000019"/>
    <x v="1"/>
    <x v="13"/>
  </r>
  <r>
    <d v="2025-03-10T00:00:00"/>
    <x v="0"/>
    <x v="3"/>
    <s v="Chair"/>
    <s v="Chair"/>
    <x v="1"/>
    <n v="16"/>
    <n v="504.36"/>
    <s v="Store D"/>
    <s v="Wholesale"/>
    <n v="0"/>
    <x v="5"/>
    <n v="8069.76"/>
    <s v="Debit Card"/>
    <m/>
    <n v="1"/>
    <s v="REG101287"/>
    <s v="Cust 9402"/>
    <n v="11.67"/>
    <d v="2025-03-10T00:00:00"/>
    <d v="2025-03-13T00:00:00"/>
    <s v="Eric"/>
    <n v="8069.76"/>
    <n v="8069.76"/>
    <n v="0"/>
    <x v="0"/>
    <x v="8"/>
  </r>
  <r>
    <d v="2025-06-01T00:00:00"/>
    <x v="0"/>
    <x v="2"/>
    <s v="Desk"/>
    <s v="Desk"/>
    <x v="1"/>
    <n v="7"/>
    <n v="122.2"/>
    <s v="Store B"/>
    <s v="Retail"/>
    <n v="0"/>
    <x v="3"/>
    <n v="855.4"/>
    <s v="Credit Card"/>
    <m/>
    <n v="0"/>
    <s v="REG101288"/>
    <s v="Cust 4398"/>
    <n v="30.21"/>
    <d v="2025-06-01T00:00:00"/>
    <d v="2025-06-10T00:00:00"/>
    <s v="Eric"/>
    <n v="855.4"/>
    <n v="855.4"/>
    <n v="0"/>
    <x v="0"/>
    <x v="16"/>
  </r>
  <r>
    <d v="2025-05-19T00:00:00"/>
    <x v="4"/>
    <x v="3"/>
    <s v="Chair"/>
    <s v="Chair"/>
    <x v="1"/>
    <n v="7"/>
    <n v="338.42"/>
    <s v="Store B"/>
    <s v="Retail"/>
    <n v="0.15"/>
    <x v="1"/>
    <n v="2013.5989999999999"/>
    <s v="Online"/>
    <s v="FREESHIP"/>
    <n v="0"/>
    <s v="REG101289"/>
    <s v="Cust 8770"/>
    <n v="5.82"/>
    <d v="2025-05-19T00:00:00"/>
    <d v="2025-05-21T00:00:00"/>
    <s v="Wendy"/>
    <n v="1711.5591499999998"/>
    <n v="2368.94"/>
    <n v="657.38085000000024"/>
    <x v="2"/>
    <x v="13"/>
  </r>
  <r>
    <d v="2023-02-08T00:00:00"/>
    <x v="0"/>
    <x v="5"/>
    <s v="Tablet"/>
    <s v="Tablet"/>
    <x v="0"/>
    <n v="4"/>
    <n v="224.75"/>
    <s v="Store D"/>
    <s v="Wholesale"/>
    <n v="0"/>
    <x v="2"/>
    <n v="899"/>
    <s v="Debit Card"/>
    <m/>
    <n v="0"/>
    <s v="REG101290"/>
    <s v="Cust 2148"/>
    <n v="43.86"/>
    <d v="2023-02-08T00:00:00"/>
    <d v="2023-02-16T00:00:00"/>
    <s v="Eric"/>
    <n v="899"/>
    <n v="899"/>
    <n v="0"/>
    <x v="0"/>
    <x v="0"/>
  </r>
  <r>
    <d v="2025-04-24T00:00:00"/>
    <x v="3"/>
    <x v="2"/>
    <s v="Desk"/>
    <s v="Desk"/>
    <x v="1"/>
    <n v="16"/>
    <n v="509.71"/>
    <s v="Store C"/>
    <s v="Wholesale"/>
    <n v="0.1"/>
    <x v="3"/>
    <n v="7339.8239999999996"/>
    <s v="Cash"/>
    <m/>
    <n v="0"/>
    <s v="REG101291"/>
    <s v="Cust 4107"/>
    <n v="41.78"/>
    <d v="2025-04-24T00:00:00"/>
    <d v="2025-05-03T00:00:00"/>
    <s v="Cameron"/>
    <n v="6605.8415999999997"/>
    <n v="8155.36"/>
    <n v="1549.5183999999999"/>
    <x v="1"/>
    <x v="28"/>
  </r>
  <r>
    <d v="2024-09-01T00:00:00"/>
    <x v="2"/>
    <x v="5"/>
    <s v="Tablet"/>
    <s v="Tablet"/>
    <x v="0"/>
    <n v="14"/>
    <n v="297.56"/>
    <s v="Store B"/>
    <s v="Wholesale"/>
    <n v="0.1"/>
    <x v="4"/>
    <n v="3749.2559999999999"/>
    <s v="Debit Card"/>
    <s v="FREESHIP"/>
    <n v="0"/>
    <s v="REG101292"/>
    <s v="Cust 4450"/>
    <n v="31.44"/>
    <d v="2024-09-01T00:00:00"/>
    <d v="2024-09-08T00:00:00"/>
    <s v="Ryan"/>
    <n v="3374.3303999999998"/>
    <n v="4165.84"/>
    <n v="791.50960000000032"/>
    <x v="1"/>
    <x v="26"/>
  </r>
  <r>
    <d v="2024-11-07T00:00:00"/>
    <x v="3"/>
    <x v="6"/>
    <s v="Printer"/>
    <s v="Printer"/>
    <x v="2"/>
    <n v="13"/>
    <n v="365.11"/>
    <s v="Store C"/>
    <s v="Retail"/>
    <n v="0.05"/>
    <x v="4"/>
    <n v="4509.1085000000003"/>
    <s v="Online"/>
    <m/>
    <n v="0"/>
    <s v="REG101293"/>
    <s v="Cust 8233"/>
    <n v="13.97"/>
    <d v="2024-11-07T00:00:00"/>
    <d v="2024-11-13T00:00:00"/>
    <s v="Cameron"/>
    <n v="4283.6530750000002"/>
    <n v="4746.43"/>
    <n v="462.77692500000012"/>
    <x v="1"/>
    <x v="20"/>
  </r>
  <r>
    <d v="2024-11-29T00:00:00"/>
    <x v="0"/>
    <x v="3"/>
    <s v="Chair"/>
    <s v="Chair"/>
    <x v="1"/>
    <n v="1"/>
    <n v="139.13"/>
    <s v="Store C"/>
    <s v="Wholesale"/>
    <n v="0"/>
    <x v="3"/>
    <n v="139.13"/>
    <s v="Cash"/>
    <m/>
    <n v="1"/>
    <s v="REG101294"/>
    <s v="Cust 9012"/>
    <n v="35.92"/>
    <d v="2024-11-29T00:00:00"/>
    <d v="2024-12-02T00:00:00"/>
    <s v="Eric"/>
    <n v="139.13"/>
    <n v="139.13"/>
    <n v="0"/>
    <x v="0"/>
    <x v="20"/>
  </r>
  <r>
    <d v="2023-04-10T00:00:00"/>
    <x v="4"/>
    <x v="3"/>
    <s v="Chair"/>
    <s v="Chair"/>
    <x v="1"/>
    <n v="6"/>
    <n v="543.89"/>
    <s v="Store C"/>
    <s v="Retail"/>
    <n v="0"/>
    <x v="5"/>
    <n v="3263.34"/>
    <s v="Cash"/>
    <m/>
    <n v="1"/>
    <s v="REG101295"/>
    <s v="Cust 1496"/>
    <n v="13.19"/>
    <d v="2023-04-10T00:00:00"/>
    <d v="2023-04-20T00:00:00"/>
    <s v="Wendy"/>
    <n v="3263.34"/>
    <n v="3263.34"/>
    <n v="0"/>
    <x v="0"/>
    <x v="21"/>
  </r>
  <r>
    <d v="2024-01-10T00:00:00"/>
    <x v="2"/>
    <x v="6"/>
    <s v="Printer"/>
    <s v="Printer"/>
    <x v="2"/>
    <n v="19"/>
    <n v="219.7"/>
    <s v="Store A"/>
    <s v="Retail"/>
    <n v="0"/>
    <x v="1"/>
    <n v="4174.3"/>
    <s v="Cash"/>
    <s v="FREESHIP"/>
    <n v="0"/>
    <s v="REG101296"/>
    <s v="Cust 9365"/>
    <n v="15.38"/>
    <d v="2024-01-10T00:00:00"/>
    <d v="2024-01-16T00:00:00"/>
    <s v="Ryan"/>
    <n v="4174.3"/>
    <n v="4174.3"/>
    <n v="0"/>
    <x v="0"/>
    <x v="24"/>
  </r>
  <r>
    <d v="2025-05-17T00:00:00"/>
    <x v="1"/>
    <x v="1"/>
    <s v="Phone"/>
    <s v="Phone"/>
    <x v="0"/>
    <n v="6"/>
    <n v="94.34"/>
    <s v="Store C"/>
    <s v="Retail"/>
    <n v="0.05"/>
    <x v="1"/>
    <n v="537.73799999999994"/>
    <s v="Cash"/>
    <s v="WINTER15"/>
    <n v="1"/>
    <s v="REG101297"/>
    <s v="Cust 1392"/>
    <n v="49.26"/>
    <d v="2025-05-17T00:00:00"/>
    <d v="2025-05-23T00:00:00"/>
    <s v="Sophie"/>
    <n v="510.85109999999992"/>
    <n v="566.04"/>
    <n v="55.188900000000046"/>
    <x v="1"/>
    <x v="13"/>
  </r>
  <r>
    <d v="2024-07-26T00:00:00"/>
    <x v="3"/>
    <x v="0"/>
    <s v="Laptop"/>
    <s v="Laptop"/>
    <x v="0"/>
    <n v="9"/>
    <n v="486.58"/>
    <s v="Store A"/>
    <s v="Retail"/>
    <n v="0.15"/>
    <x v="1"/>
    <n v="3722.337"/>
    <s v="Online"/>
    <s v="FREESHIP"/>
    <n v="0"/>
    <s v="REG101298"/>
    <s v="Cust 3474"/>
    <n v="38.72"/>
    <d v="2024-07-26T00:00:00"/>
    <d v="2024-07-30T00:00:00"/>
    <s v="Cameron"/>
    <n v="3163.9864499999999"/>
    <n v="4379.22"/>
    <n v="1215.2335500000004"/>
    <x v="2"/>
    <x v="10"/>
  </r>
  <r>
    <d v="2024-12-26T00:00:00"/>
    <x v="1"/>
    <x v="2"/>
    <s v="Desk"/>
    <s v="Desk"/>
    <x v="1"/>
    <n v="12"/>
    <n v="578.86"/>
    <s v="Store D"/>
    <s v="Retail"/>
    <n v="0.15"/>
    <x v="2"/>
    <n v="5904.3719999999994"/>
    <s v="Cash"/>
    <s v="FREESHIP"/>
    <n v="0"/>
    <s v="REG101299"/>
    <s v="Cust 2111"/>
    <n v="25.84"/>
    <d v="2024-12-26T00:00:00"/>
    <d v="2025-01-03T00:00:00"/>
    <s v="Sophie"/>
    <n v="5018.7161999999989"/>
    <n v="6946.32"/>
    <n v="1927.6038000000008"/>
    <x v="2"/>
    <x v="1"/>
  </r>
  <r>
    <d v="2025-01-23T00:00:00"/>
    <x v="0"/>
    <x v="5"/>
    <s v="Tablet"/>
    <s v="Tablet"/>
    <x v="0"/>
    <n v="7"/>
    <n v="196.88"/>
    <s v="Store C"/>
    <s v="Retail"/>
    <n v="0"/>
    <x v="4"/>
    <n v="1378.16"/>
    <s v="Debit Card"/>
    <s v="SAVE10"/>
    <n v="0"/>
    <s v="REG101300"/>
    <s v="Cust 9506"/>
    <n v="44.92"/>
    <d v="2025-01-23T00:00:00"/>
    <d v="2025-01-31T00:00:00"/>
    <s v="Eric"/>
    <n v="1378.16"/>
    <n v="1378.1599999999999"/>
    <n v="0"/>
    <x v="0"/>
    <x v="12"/>
  </r>
  <r>
    <d v="2024-03-25T00:00:00"/>
    <x v="1"/>
    <x v="1"/>
    <s v="Phone"/>
    <s v="Phone"/>
    <x v="0"/>
    <n v="7"/>
    <n v="446.32"/>
    <s v="Store B"/>
    <s v="Wholesale"/>
    <n v="0.1"/>
    <x v="1"/>
    <n v="2811.8159999999998"/>
    <s v="Debit Card"/>
    <m/>
    <n v="0"/>
    <s v="REG101301"/>
    <s v="Cust 2341"/>
    <n v="47.23"/>
    <d v="2024-03-25T00:00:00"/>
    <d v="2024-04-01T00:00:00"/>
    <s v="Sophie"/>
    <n v="2530.6343999999999"/>
    <n v="3124.24"/>
    <n v="593.60559999999987"/>
    <x v="1"/>
    <x v="25"/>
  </r>
  <r>
    <d v="2025-03-04T00:00:00"/>
    <x v="3"/>
    <x v="5"/>
    <s v="Tablet"/>
    <s v="Tablet"/>
    <x v="0"/>
    <n v="11"/>
    <n v="447.38"/>
    <s v="Store D"/>
    <s v="Wholesale"/>
    <n v="0"/>
    <x v="1"/>
    <n v="4921.18"/>
    <s v="Gift Card"/>
    <s v="SAVE10"/>
    <n v="0"/>
    <s v="REG101302"/>
    <s v="Cust 7035"/>
    <n v="36.72"/>
    <d v="2025-03-04T00:00:00"/>
    <d v="2025-03-11T00:00:00"/>
    <s v="Cameron"/>
    <n v="4921.18"/>
    <n v="4921.18"/>
    <n v="0"/>
    <x v="0"/>
    <x v="8"/>
  </r>
  <r>
    <d v="2023-10-20T00:00:00"/>
    <x v="1"/>
    <x v="2"/>
    <s v="Desk"/>
    <s v="Desk"/>
    <x v="1"/>
    <n v="14"/>
    <n v="275.33999999999997"/>
    <s v="Store B"/>
    <s v="Retail"/>
    <n v="0.1"/>
    <x v="3"/>
    <n v="3469.2840000000001"/>
    <s v="Online"/>
    <m/>
    <n v="1"/>
    <s v="REG101303"/>
    <s v="Cust 5935"/>
    <n v="32.799999999999997"/>
    <d v="2023-10-20T00:00:00"/>
    <d v="2023-10-24T00:00:00"/>
    <s v="Sophie"/>
    <n v="3122.3556000000003"/>
    <n v="3854.7599999999998"/>
    <n v="732.40439999999944"/>
    <x v="1"/>
    <x v="19"/>
  </r>
  <r>
    <d v="2024-09-19T00:00:00"/>
    <x v="3"/>
    <x v="2"/>
    <s v="Desk"/>
    <s v="Desk"/>
    <x v="1"/>
    <n v="2"/>
    <n v="27.64"/>
    <s v="Store B"/>
    <s v="Retail"/>
    <n v="0.15"/>
    <x v="2"/>
    <n v="46.988"/>
    <s v="Credit Card"/>
    <s v="FREESHIP"/>
    <n v="0"/>
    <s v="REG101304"/>
    <s v="Cust 3291"/>
    <n v="21.73"/>
    <d v="2024-09-19T00:00:00"/>
    <d v="2024-09-28T00:00:00"/>
    <s v="Cameron"/>
    <n v="39.939799999999998"/>
    <n v="55.28"/>
    <n v="15.340200000000003"/>
    <x v="2"/>
    <x v="26"/>
  </r>
  <r>
    <d v="2023-09-23T00:00:00"/>
    <x v="2"/>
    <x v="4"/>
    <s v="Monitor"/>
    <s v="Monitor"/>
    <x v="0"/>
    <n v="17"/>
    <n v="439.3"/>
    <s v="Store B"/>
    <s v="Retail"/>
    <n v="0"/>
    <x v="2"/>
    <n v="7468.1"/>
    <s v="Online"/>
    <s v="FREESHIP"/>
    <n v="0"/>
    <s v="REG101305"/>
    <s v="Cust 5258"/>
    <n v="12.87"/>
    <d v="2023-09-23T00:00:00"/>
    <d v="2023-09-26T00:00:00"/>
    <s v="Ryan"/>
    <n v="7468.1"/>
    <n v="7468.1"/>
    <n v="0"/>
    <x v="0"/>
    <x v="22"/>
  </r>
  <r>
    <d v="2024-12-31T00:00:00"/>
    <x v="0"/>
    <x v="6"/>
    <s v="Printer"/>
    <s v="Printer"/>
    <x v="2"/>
    <n v="15"/>
    <n v="573.80999999999995"/>
    <s v="Store C"/>
    <s v="Retail"/>
    <n v="0"/>
    <x v="1"/>
    <n v="8607.15"/>
    <s v="Gift Card"/>
    <s v="SAVE10"/>
    <n v="0"/>
    <s v="REG101306"/>
    <s v="Cust 4715"/>
    <n v="35.869999999999997"/>
    <d v="2024-12-31T00:00:00"/>
    <d v="2025-01-02T00:00:00"/>
    <s v="Eric"/>
    <n v="8607.15"/>
    <n v="8607.15"/>
    <n v="0"/>
    <x v="0"/>
    <x v="1"/>
  </r>
  <r>
    <d v="2024-01-23T00:00:00"/>
    <x v="2"/>
    <x v="2"/>
    <s v="Desk"/>
    <s v="Desk"/>
    <x v="1"/>
    <n v="19"/>
    <n v="360.06"/>
    <s v="Store C"/>
    <s v="Wholesale"/>
    <n v="0.05"/>
    <x v="0"/>
    <n v="6499.0829999999996"/>
    <s v="Debit Card"/>
    <s v="FREESHIP"/>
    <n v="0"/>
    <s v="REG101307"/>
    <s v="Cust 3106"/>
    <n v="33.19"/>
    <d v="2024-01-23T00:00:00"/>
    <d v="2024-01-31T00:00:00"/>
    <s v="Ryan"/>
    <n v="6174.1288499999991"/>
    <n v="6841.14"/>
    <n v="667.01115000000118"/>
    <x v="1"/>
    <x v="24"/>
  </r>
  <r>
    <d v="2023-06-13T00:00:00"/>
    <x v="0"/>
    <x v="0"/>
    <s v="Laptop"/>
    <s v="Laptop"/>
    <x v="0"/>
    <n v="7"/>
    <n v="535.20000000000005"/>
    <s v="Store C"/>
    <s v="Retail"/>
    <n v="0.1"/>
    <x v="2"/>
    <n v="3371.7600000000011"/>
    <s v="Debit Card"/>
    <m/>
    <n v="0"/>
    <s v="REG101308"/>
    <s v="Cust 9606"/>
    <n v="10.44"/>
    <d v="2023-06-13T00:00:00"/>
    <d v="2023-06-23T00:00:00"/>
    <s v="Eric"/>
    <n v="3034.5840000000012"/>
    <n v="3746.4000000000005"/>
    <n v="711.81599999999935"/>
    <x v="1"/>
    <x v="4"/>
  </r>
  <r>
    <d v="2023-07-01T00:00:00"/>
    <x v="0"/>
    <x v="3"/>
    <s v="Chair"/>
    <s v="Chair"/>
    <x v="1"/>
    <n v="19"/>
    <n v="161.13"/>
    <s v="Store A"/>
    <s v="Wholesale"/>
    <n v="0"/>
    <x v="4"/>
    <n v="3061.47"/>
    <s v="Credit Card"/>
    <s v="FREESHIP"/>
    <n v="0"/>
    <s v="REG101309"/>
    <s v="Cust 9182"/>
    <n v="5.46"/>
    <d v="2023-07-01T00:00:00"/>
    <d v="2023-07-06T00:00:00"/>
    <s v="Eric"/>
    <n v="3061.47"/>
    <n v="3061.47"/>
    <n v="0"/>
    <x v="0"/>
    <x v="11"/>
  </r>
  <r>
    <d v="2025-03-22T00:00:00"/>
    <x v="1"/>
    <x v="0"/>
    <s v="Laptop"/>
    <s v="Laptop"/>
    <x v="0"/>
    <n v="11"/>
    <n v="29.6"/>
    <s v="Store D"/>
    <s v="Retail"/>
    <n v="0.15"/>
    <x v="3"/>
    <n v="276.76"/>
    <s v="Cash"/>
    <s v="FREESHIP"/>
    <n v="1"/>
    <s v="REG101310"/>
    <s v="Cust 6299"/>
    <n v="34.96"/>
    <d v="2025-03-22T00:00:00"/>
    <d v="2025-03-25T00:00:00"/>
    <s v="Sophie"/>
    <n v="235.24599999999998"/>
    <n v="325.60000000000002"/>
    <n v="90.354000000000042"/>
    <x v="2"/>
    <x v="8"/>
  </r>
  <r>
    <d v="2025-02-07T00:00:00"/>
    <x v="1"/>
    <x v="0"/>
    <s v="Laptop"/>
    <s v="Laptop"/>
    <x v="0"/>
    <n v="16"/>
    <n v="172.89"/>
    <s v="Store B"/>
    <s v="Wholesale"/>
    <n v="0.15"/>
    <x v="4"/>
    <n v="2351.3040000000001"/>
    <s v="Credit Card"/>
    <s v="FREESHIP"/>
    <n v="1"/>
    <s v="REG101311"/>
    <s v="Cust 9628"/>
    <n v="41.87"/>
    <d v="2025-02-07T00:00:00"/>
    <d v="2025-02-15T00:00:00"/>
    <s v="Sophie"/>
    <n v="1998.6084000000001"/>
    <n v="2766.24"/>
    <n v="767.63159999999971"/>
    <x v="2"/>
    <x v="3"/>
  </r>
  <r>
    <d v="2023-10-18T00:00:00"/>
    <x v="2"/>
    <x v="1"/>
    <s v="Phone"/>
    <s v="Phone"/>
    <x v="0"/>
    <n v="5"/>
    <n v="48.06"/>
    <s v="Store A"/>
    <s v="Wholesale"/>
    <n v="0"/>
    <x v="1"/>
    <n v="240.3"/>
    <s v="Gift Card"/>
    <s v="FREESHIP"/>
    <n v="0"/>
    <s v="REG101312"/>
    <s v="Cust 3831"/>
    <n v="19.170000000000002"/>
    <d v="2023-10-18T00:00:00"/>
    <d v="2023-10-26T00:00:00"/>
    <s v="Ryan"/>
    <n v="240.3"/>
    <n v="240.3"/>
    <n v="0"/>
    <x v="0"/>
    <x v="19"/>
  </r>
  <r>
    <d v="2024-01-02T00:00:00"/>
    <x v="3"/>
    <x v="2"/>
    <s v="Desk"/>
    <s v="Desk"/>
    <x v="1"/>
    <n v="7"/>
    <n v="55.76"/>
    <s v="Store C"/>
    <s v="Wholesale"/>
    <n v="0.1"/>
    <x v="1"/>
    <n v="351.28800000000001"/>
    <s v="Online"/>
    <m/>
    <n v="0"/>
    <s v="REG101313"/>
    <s v="Cust 7955"/>
    <n v="38.979999999999997"/>
    <d v="2024-01-02T00:00:00"/>
    <d v="2024-01-11T00:00:00"/>
    <s v="Cameron"/>
    <n v="316.1592"/>
    <n v="390.32"/>
    <n v="74.160799999999995"/>
    <x v="1"/>
    <x v="24"/>
  </r>
  <r>
    <d v="2025-03-08T00:00:00"/>
    <x v="1"/>
    <x v="0"/>
    <s v="Laptop"/>
    <s v="Laptop"/>
    <x v="0"/>
    <n v="4"/>
    <n v="24.58"/>
    <s v="Store B"/>
    <s v="Wholesale"/>
    <n v="0.15"/>
    <x v="3"/>
    <n v="83.571999999999989"/>
    <s v="Debit Card"/>
    <s v="WINTER15"/>
    <n v="0"/>
    <s v="REG101314"/>
    <s v="Cust 3939"/>
    <n v="39.869999999999997"/>
    <d v="2025-03-08T00:00:00"/>
    <d v="2025-03-17T00:00:00"/>
    <s v="Sophie"/>
    <n v="71.036199999999994"/>
    <n v="98.32"/>
    <n v="27.283799999999999"/>
    <x v="2"/>
    <x v="8"/>
  </r>
  <r>
    <d v="2023-07-03T00:00:00"/>
    <x v="4"/>
    <x v="2"/>
    <s v="Desk"/>
    <s v="Desk"/>
    <x v="1"/>
    <n v="2"/>
    <n v="504.82"/>
    <s v="Store D"/>
    <s v="Retail"/>
    <n v="0"/>
    <x v="3"/>
    <n v="1009.64"/>
    <s v="Debit Card"/>
    <s v="FREESHIP"/>
    <n v="0"/>
    <s v="REG101315"/>
    <s v="Cust 7916"/>
    <n v="25.54"/>
    <d v="2023-07-03T00:00:00"/>
    <d v="2023-07-08T00:00:00"/>
    <s v="Wendy"/>
    <n v="1009.64"/>
    <n v="1009.64"/>
    <n v="0"/>
    <x v="0"/>
    <x v="11"/>
  </r>
  <r>
    <d v="2023-11-15T00:00:00"/>
    <x v="2"/>
    <x v="5"/>
    <s v="Tablet"/>
    <s v="Tablet"/>
    <x v="0"/>
    <n v="17"/>
    <n v="275.89"/>
    <s v="Store B"/>
    <s v="Wholesale"/>
    <n v="0.1"/>
    <x v="5"/>
    <n v="4221.1170000000002"/>
    <s v="Gift Card"/>
    <s v="FREESHIP"/>
    <n v="0"/>
    <s v="REG101316"/>
    <s v="Cust 2477"/>
    <n v="15.43"/>
    <d v="2023-11-15T00:00:00"/>
    <d v="2023-11-22T00:00:00"/>
    <s v="Ryan"/>
    <n v="3799.0053000000003"/>
    <n v="4690.13"/>
    <n v="891.12469999999985"/>
    <x v="1"/>
    <x v="15"/>
  </r>
  <r>
    <d v="2024-02-10T00:00:00"/>
    <x v="4"/>
    <x v="2"/>
    <s v="Desk"/>
    <s v="Desk"/>
    <x v="1"/>
    <n v="9"/>
    <n v="130.57"/>
    <s v="Store C"/>
    <s v="Wholesale"/>
    <n v="0.1"/>
    <x v="0"/>
    <n v="1057.617"/>
    <s v="Cash"/>
    <s v="WINTER15"/>
    <n v="0"/>
    <s v="REG101317"/>
    <s v="Cust 3781"/>
    <n v="37.14"/>
    <d v="2024-02-10T00:00:00"/>
    <d v="2024-02-17T00:00:00"/>
    <s v="Wendy"/>
    <n v="951.85529999999994"/>
    <n v="1175.1299999999999"/>
    <n v="223.27469999999994"/>
    <x v="1"/>
    <x v="5"/>
  </r>
  <r>
    <d v="2025-04-09T00:00:00"/>
    <x v="4"/>
    <x v="4"/>
    <s v="Monitor"/>
    <s v="Monitor"/>
    <x v="0"/>
    <n v="12"/>
    <n v="312.72000000000003"/>
    <s v="Store C"/>
    <s v="Retail"/>
    <n v="0"/>
    <x v="0"/>
    <n v="3752.64"/>
    <s v="Gift Card"/>
    <m/>
    <n v="0"/>
    <s v="REG101318"/>
    <s v="Cust 2641"/>
    <n v="18.46"/>
    <d v="2025-04-09T00:00:00"/>
    <d v="2025-04-19T00:00:00"/>
    <s v="Wendy"/>
    <n v="3752.64"/>
    <n v="3752.6400000000003"/>
    <n v="0"/>
    <x v="0"/>
    <x v="28"/>
  </r>
  <r>
    <d v="2023-09-09T00:00:00"/>
    <x v="4"/>
    <x v="5"/>
    <s v="Tablet"/>
    <s v="Tablet"/>
    <x v="0"/>
    <n v="18"/>
    <n v="222.66"/>
    <s v="Store C"/>
    <s v="Wholesale"/>
    <n v="0.05"/>
    <x v="1"/>
    <n v="3807.4859999999999"/>
    <s v="Gift Card"/>
    <s v="SAVE10"/>
    <n v="0"/>
    <s v="REG101319"/>
    <s v="Cust 1969"/>
    <n v="12.91"/>
    <d v="2023-09-09T00:00:00"/>
    <d v="2023-09-12T00:00:00"/>
    <s v="Wendy"/>
    <n v="3617.1116999999999"/>
    <n v="4007.88"/>
    <n v="390.76830000000018"/>
    <x v="1"/>
    <x v="22"/>
  </r>
  <r>
    <d v="2023-03-19T00:00:00"/>
    <x v="0"/>
    <x v="1"/>
    <s v="Phone"/>
    <s v="Phone"/>
    <x v="0"/>
    <n v="13"/>
    <n v="374.05"/>
    <s v="Store D"/>
    <s v="Wholesale"/>
    <n v="0.05"/>
    <x v="4"/>
    <n v="4619.5174999999999"/>
    <s v="Debit Card"/>
    <s v="FREESHIP"/>
    <n v="0"/>
    <s v="REG101320"/>
    <s v="Cust 4494"/>
    <n v="26.32"/>
    <d v="2023-03-19T00:00:00"/>
    <d v="2023-03-26T00:00:00"/>
    <s v="Eric"/>
    <n v="4388.5416249999998"/>
    <n v="4862.6500000000005"/>
    <n v="474.10837500000071"/>
    <x v="1"/>
    <x v="17"/>
  </r>
  <r>
    <d v="2024-12-31T00:00:00"/>
    <x v="3"/>
    <x v="6"/>
    <s v="Printer"/>
    <s v="Printer"/>
    <x v="2"/>
    <n v="11"/>
    <n v="331.29"/>
    <s v="Store B"/>
    <s v="Wholesale"/>
    <n v="0.1"/>
    <x v="1"/>
    <n v="3279.7710000000002"/>
    <s v="Credit Card"/>
    <s v="WINTER15"/>
    <n v="0"/>
    <s v="REG101321"/>
    <s v="Cust 8850"/>
    <n v="6.22"/>
    <d v="2024-12-31T00:00:00"/>
    <d v="2025-01-02T00:00:00"/>
    <s v="Cameron"/>
    <n v="2951.7939000000001"/>
    <n v="3644.19"/>
    <n v="692.39609999999993"/>
    <x v="1"/>
    <x v="1"/>
  </r>
  <r>
    <d v="2023-11-24T00:00:00"/>
    <x v="3"/>
    <x v="1"/>
    <s v="Phone"/>
    <s v="Phone"/>
    <x v="0"/>
    <n v="5"/>
    <n v="533.52"/>
    <s v="Store D"/>
    <s v="Wholesale"/>
    <n v="0"/>
    <x v="3"/>
    <n v="2667.6"/>
    <s v="Credit Card"/>
    <s v="FREESHIP"/>
    <n v="1"/>
    <s v="REG101322"/>
    <s v="Cust 3061"/>
    <n v="9.08"/>
    <d v="2023-11-24T00:00:00"/>
    <d v="2023-11-26T00:00:00"/>
    <s v="Cameron"/>
    <n v="2667.6"/>
    <n v="2667.6"/>
    <n v="0"/>
    <x v="0"/>
    <x v="15"/>
  </r>
  <r>
    <d v="2025-05-15T00:00:00"/>
    <x v="0"/>
    <x v="3"/>
    <s v="Chair"/>
    <s v="Chair"/>
    <x v="1"/>
    <n v="10"/>
    <n v="492.24"/>
    <s v="Store A"/>
    <s v="Retail"/>
    <n v="0"/>
    <x v="1"/>
    <n v="4922.3999999999996"/>
    <s v="Gift Card"/>
    <s v="WINTER15"/>
    <n v="0"/>
    <s v="REG101323"/>
    <s v="Cust 4732"/>
    <n v="38.89"/>
    <d v="2025-05-15T00:00:00"/>
    <d v="2025-05-22T00:00:00"/>
    <s v="Eric"/>
    <n v="4922.3999999999996"/>
    <n v="4922.3999999999996"/>
    <n v="0"/>
    <x v="0"/>
    <x v="13"/>
  </r>
  <r>
    <d v="2025-04-06T00:00:00"/>
    <x v="1"/>
    <x v="5"/>
    <s v="Tablet"/>
    <s v="Tablet"/>
    <x v="0"/>
    <n v="9"/>
    <n v="543.57000000000005"/>
    <s v="Store D"/>
    <s v="Retail"/>
    <n v="0.15"/>
    <x v="4"/>
    <n v="4158.3104999999996"/>
    <s v="Debit Card"/>
    <s v="SAVE10"/>
    <n v="0"/>
    <s v="REG101324"/>
    <s v="Cust 9889"/>
    <n v="7.54"/>
    <d v="2025-04-06T00:00:00"/>
    <d v="2025-04-11T00:00:00"/>
    <s v="Sophie"/>
    <n v="3534.5639249999995"/>
    <n v="4892.13"/>
    <n v="1357.5660750000006"/>
    <x v="2"/>
    <x v="28"/>
  </r>
  <r>
    <d v="2024-02-06T00:00:00"/>
    <x v="1"/>
    <x v="2"/>
    <s v="Desk"/>
    <s v="Desk"/>
    <x v="1"/>
    <n v="17"/>
    <n v="141.76"/>
    <s v="Store D"/>
    <s v="Wholesale"/>
    <n v="0.1"/>
    <x v="5"/>
    <n v="2168.9279999999999"/>
    <s v="Cash"/>
    <s v="WINTER15"/>
    <n v="1"/>
    <s v="REG101325"/>
    <s v="Cust 2165"/>
    <n v="9.98"/>
    <d v="2024-02-06T00:00:00"/>
    <d v="2024-02-14T00:00:00"/>
    <s v="Sophie"/>
    <n v="1952.0352"/>
    <n v="2409.92"/>
    <n v="457.88480000000004"/>
    <x v="1"/>
    <x v="5"/>
  </r>
  <r>
    <d v="2025-05-14T00:00:00"/>
    <x v="2"/>
    <x v="0"/>
    <s v="Laptop"/>
    <s v="Laptop"/>
    <x v="0"/>
    <n v="12"/>
    <n v="502.7"/>
    <s v="Store D"/>
    <s v="Wholesale"/>
    <n v="0.1"/>
    <x v="1"/>
    <n v="5429.16"/>
    <s v="Credit Card"/>
    <s v="FREESHIP"/>
    <n v="0"/>
    <s v="REG101326"/>
    <s v="Cust 6121"/>
    <n v="6.49"/>
    <d v="2025-05-14T00:00:00"/>
    <d v="2025-05-20T00:00:00"/>
    <s v="Ryan"/>
    <n v="4886.2439999999997"/>
    <n v="6032.4"/>
    <n v="1146.1559999999999"/>
    <x v="1"/>
    <x v="13"/>
  </r>
  <r>
    <d v="2023-01-13T00:00:00"/>
    <x v="0"/>
    <x v="5"/>
    <s v="Tablet"/>
    <s v="Tablet"/>
    <x v="0"/>
    <n v="10"/>
    <n v="155.43"/>
    <s v="Store D"/>
    <s v="Wholesale"/>
    <n v="0.05"/>
    <x v="2"/>
    <n v="1476.585"/>
    <s v="Gift Card"/>
    <s v="WINTER15"/>
    <n v="0"/>
    <s v="REG101327"/>
    <s v="Cust 4071"/>
    <n v="26.49"/>
    <d v="2023-01-13T00:00:00"/>
    <d v="2023-01-18T00:00:00"/>
    <s v="Eric"/>
    <n v="1402.75575"/>
    <n v="1554.3000000000002"/>
    <n v="151.54425000000015"/>
    <x v="1"/>
    <x v="6"/>
  </r>
  <r>
    <d v="2024-02-19T00:00:00"/>
    <x v="2"/>
    <x v="5"/>
    <s v="Tablet"/>
    <s v="Tablet"/>
    <x v="0"/>
    <n v="18"/>
    <n v="203.73"/>
    <s v="Store B"/>
    <s v="Wholesale"/>
    <n v="0"/>
    <x v="3"/>
    <n v="3667.14"/>
    <s v="Gift Card"/>
    <s v="SAVE10"/>
    <n v="1"/>
    <s v="REG101328"/>
    <s v="Cust 5249"/>
    <n v="24.98"/>
    <d v="2024-02-19T00:00:00"/>
    <d v="2024-02-28T00:00:00"/>
    <s v="Ryan"/>
    <n v="3667.14"/>
    <n v="3667.14"/>
    <n v="0"/>
    <x v="0"/>
    <x v="5"/>
  </r>
  <r>
    <d v="2023-10-07T00:00:00"/>
    <x v="1"/>
    <x v="1"/>
    <s v="Phone"/>
    <s v="Phone"/>
    <x v="0"/>
    <n v="3"/>
    <n v="464.11"/>
    <s v="Store B"/>
    <s v="Wholesale"/>
    <n v="0.15"/>
    <x v="1"/>
    <n v="1183.4804999999999"/>
    <s v="Gift Card"/>
    <m/>
    <n v="0"/>
    <s v="REG101329"/>
    <s v="Cust 4262"/>
    <n v="27.45"/>
    <d v="2023-10-07T00:00:00"/>
    <d v="2023-10-12T00:00:00"/>
    <s v="Sophie"/>
    <n v="1005.9584249999999"/>
    <n v="1392.33"/>
    <n v="386.37157500000001"/>
    <x v="2"/>
    <x v="19"/>
  </r>
  <r>
    <d v="2024-09-17T00:00:00"/>
    <x v="3"/>
    <x v="3"/>
    <s v="Chair"/>
    <s v="Chair"/>
    <x v="1"/>
    <n v="2"/>
    <n v="442.03"/>
    <s v="Store B"/>
    <s v="Retail"/>
    <n v="0.15"/>
    <x v="3"/>
    <n v="751.45099999999991"/>
    <s v="Debit Card"/>
    <s v="WINTER15"/>
    <n v="0"/>
    <s v="REG101330"/>
    <s v="Cust 9314"/>
    <n v="28.71"/>
    <d v="2024-09-17T00:00:00"/>
    <d v="2024-09-19T00:00:00"/>
    <s v="Cameron"/>
    <n v="638.73334999999986"/>
    <n v="884.06"/>
    <n v="245.32665000000009"/>
    <x v="2"/>
    <x v="26"/>
  </r>
  <r>
    <d v="2023-05-07T00:00:00"/>
    <x v="2"/>
    <x v="1"/>
    <s v="Phone"/>
    <s v="Phone"/>
    <x v="0"/>
    <n v="7"/>
    <n v="82.91"/>
    <s v="Store A"/>
    <s v="Retail"/>
    <n v="0.05"/>
    <x v="0"/>
    <n v="551.35149999999999"/>
    <s v="Debit Card"/>
    <s v="WINTER15"/>
    <n v="1"/>
    <s v="REG101331"/>
    <s v="Cust 7703"/>
    <n v="17.03"/>
    <d v="2023-05-07T00:00:00"/>
    <d v="2023-05-17T00:00:00"/>
    <s v="Ryan"/>
    <n v="523.78392499999995"/>
    <n v="580.37"/>
    <n v="56.586075000000051"/>
    <x v="1"/>
    <x v="2"/>
  </r>
  <r>
    <d v="2023-12-12T00:00:00"/>
    <x v="2"/>
    <x v="1"/>
    <s v="Phone"/>
    <s v="Phone"/>
    <x v="0"/>
    <n v="13"/>
    <n v="468.16"/>
    <s v="Store B"/>
    <s v="Retail"/>
    <n v="0.15"/>
    <x v="1"/>
    <n v="5173.1679999999997"/>
    <s v="Cash"/>
    <s v="SAVE10"/>
    <n v="0"/>
    <s v="REG101332"/>
    <s v="Cust 8367"/>
    <n v="29.11"/>
    <d v="2023-12-12T00:00:00"/>
    <d v="2023-12-21T00:00:00"/>
    <s v="Ryan"/>
    <n v="4397.1927999999998"/>
    <n v="6086.08"/>
    <n v="1688.8872000000001"/>
    <x v="2"/>
    <x v="27"/>
  </r>
  <r>
    <d v="2025-03-11T00:00:00"/>
    <x v="3"/>
    <x v="5"/>
    <s v="Tablet"/>
    <s v="Tablet"/>
    <x v="0"/>
    <n v="3"/>
    <n v="11.32"/>
    <s v="Store C"/>
    <s v="Retail"/>
    <n v="0.05"/>
    <x v="0"/>
    <n v="32.262"/>
    <s v="Online"/>
    <s v="WINTER15"/>
    <n v="0"/>
    <s v="REG101333"/>
    <s v="Cust 7872"/>
    <n v="16.39"/>
    <d v="2025-03-11T00:00:00"/>
    <d v="2025-03-14T00:00:00"/>
    <s v="Cameron"/>
    <n v="30.648899999999998"/>
    <n v="33.96"/>
    <n v="3.3111000000000033"/>
    <x v="1"/>
    <x v="8"/>
  </r>
  <r>
    <d v="2024-03-29T00:00:00"/>
    <x v="0"/>
    <x v="3"/>
    <s v="Chair"/>
    <s v="Chair"/>
    <x v="1"/>
    <n v="1"/>
    <n v="378.36"/>
    <s v="Store A"/>
    <s v="Retail"/>
    <n v="0.05"/>
    <x v="0"/>
    <n v="359.44200000000001"/>
    <s v="Cash"/>
    <m/>
    <n v="0"/>
    <s v="REG101334"/>
    <s v="Cust 4732"/>
    <n v="7.59"/>
    <d v="2024-03-29T00:00:00"/>
    <d v="2024-04-07T00:00:00"/>
    <s v="Eric"/>
    <n v="341.4699"/>
    <n v="378.36"/>
    <n v="36.890100000000018"/>
    <x v="1"/>
    <x v="25"/>
  </r>
  <r>
    <d v="2024-07-28T00:00:00"/>
    <x v="4"/>
    <x v="5"/>
    <s v="Tablet"/>
    <s v="Tablet"/>
    <x v="0"/>
    <n v="6"/>
    <n v="61.06"/>
    <s v="Store D"/>
    <s v="Wholesale"/>
    <n v="0"/>
    <x v="5"/>
    <n v="366.36"/>
    <s v="Debit Card"/>
    <s v="SAVE10"/>
    <n v="1"/>
    <s v="REG101335"/>
    <s v="Cust 1007"/>
    <n v="49.09"/>
    <d v="2024-07-28T00:00:00"/>
    <d v="2024-08-05T00:00:00"/>
    <s v="Wendy"/>
    <n v="366.36"/>
    <n v="366.36"/>
    <n v="0"/>
    <x v="0"/>
    <x v="10"/>
  </r>
  <r>
    <d v="2024-07-11T00:00:00"/>
    <x v="1"/>
    <x v="5"/>
    <s v="Tablet"/>
    <s v="Tablet"/>
    <x v="0"/>
    <n v="14"/>
    <n v="98.06"/>
    <s v="Store A"/>
    <s v="Wholesale"/>
    <n v="0.1"/>
    <x v="1"/>
    <n v="1235.556"/>
    <s v="Debit Card"/>
    <s v="SAVE10"/>
    <n v="1"/>
    <s v="REG101336"/>
    <s v="Cust 1946"/>
    <n v="10.34"/>
    <d v="2024-07-11T00:00:00"/>
    <d v="2024-07-21T00:00:00"/>
    <s v="Sophie"/>
    <n v="1112.0004000000001"/>
    <n v="1372.8400000000001"/>
    <n v="260.83960000000002"/>
    <x v="1"/>
    <x v="10"/>
  </r>
  <r>
    <d v="2024-07-05T00:00:00"/>
    <x v="4"/>
    <x v="0"/>
    <s v="Laptop"/>
    <s v="Laptop"/>
    <x v="0"/>
    <n v="16"/>
    <n v="123.86"/>
    <s v="Store A"/>
    <s v="Wholesale"/>
    <n v="0.15"/>
    <x v="1"/>
    <n v="1684.4960000000001"/>
    <s v="Gift Card"/>
    <m/>
    <n v="1"/>
    <s v="REG101337"/>
    <s v="Cust 6347"/>
    <n v="18.02"/>
    <d v="2024-07-05T00:00:00"/>
    <d v="2024-07-14T00:00:00"/>
    <s v="Wendy"/>
    <n v="1431.8216"/>
    <n v="1981.76"/>
    <n v="549.9384"/>
    <x v="2"/>
    <x v="10"/>
  </r>
  <r>
    <d v="2024-03-19T00:00:00"/>
    <x v="0"/>
    <x v="0"/>
    <s v="Laptop"/>
    <s v="Laptop"/>
    <x v="0"/>
    <n v="16"/>
    <n v="90.3"/>
    <s v="Store C"/>
    <s v="Wholesale"/>
    <n v="0.05"/>
    <x v="4"/>
    <n v="1372.56"/>
    <s v="Online"/>
    <s v="WINTER15"/>
    <n v="0"/>
    <s v="REG101338"/>
    <s v="Cust 6499"/>
    <n v="25.25"/>
    <d v="2024-03-19T00:00:00"/>
    <d v="2024-03-24T00:00:00"/>
    <s v="Eric"/>
    <n v="1303.9319999999998"/>
    <n v="1444.8"/>
    <n v="140.86800000000017"/>
    <x v="1"/>
    <x v="25"/>
  </r>
  <r>
    <d v="2023-12-25T00:00:00"/>
    <x v="3"/>
    <x v="5"/>
    <s v="Tablet"/>
    <s v="Tablet"/>
    <x v="0"/>
    <n v="18"/>
    <n v="470.91"/>
    <s v="Store C"/>
    <s v="Wholesale"/>
    <n v="0.1"/>
    <x v="0"/>
    <n v="7628.7420000000011"/>
    <s v="Gift Card"/>
    <s v="FREESHIP"/>
    <n v="0"/>
    <s v="REG101339"/>
    <s v="Cust 1420"/>
    <n v="14.87"/>
    <d v="2023-12-25T00:00:00"/>
    <d v="2023-12-29T00:00:00"/>
    <s v="Cameron"/>
    <n v="6865.8678000000009"/>
    <n v="8476.380000000001"/>
    <n v="1610.5122000000001"/>
    <x v="1"/>
    <x v="27"/>
  </r>
  <r>
    <d v="2024-12-03T00:00:00"/>
    <x v="1"/>
    <x v="4"/>
    <s v="Monitor"/>
    <s v="Monitor"/>
    <x v="0"/>
    <n v="12"/>
    <n v="383.45"/>
    <s v="Store C"/>
    <s v="Retail"/>
    <n v="0"/>
    <x v="5"/>
    <n v="4601.3999999999996"/>
    <s v="Debit Card"/>
    <s v="FREESHIP"/>
    <n v="0"/>
    <s v="REG101340"/>
    <s v="Cust 6744"/>
    <n v="11.62"/>
    <d v="2024-12-03T00:00:00"/>
    <d v="2024-12-05T00:00:00"/>
    <s v="Sophie"/>
    <n v="4601.3999999999996"/>
    <n v="4601.3999999999996"/>
    <n v="0"/>
    <x v="0"/>
    <x v="1"/>
  </r>
  <r>
    <d v="2023-09-08T00:00:00"/>
    <x v="0"/>
    <x v="5"/>
    <s v="Tablet"/>
    <s v="Tablet"/>
    <x v="0"/>
    <n v="20"/>
    <n v="293.94"/>
    <s v="Store B"/>
    <s v="Retail"/>
    <n v="0.15"/>
    <x v="1"/>
    <n v="4996.9799999999996"/>
    <s v="Credit Card"/>
    <s v="SAVE10"/>
    <n v="0"/>
    <s v="REG101341"/>
    <s v="Cust 5690"/>
    <n v="9.2899999999999991"/>
    <d v="2023-09-08T00:00:00"/>
    <d v="2023-09-15T00:00:00"/>
    <s v="Eric"/>
    <n v="4247.4329999999991"/>
    <n v="5878.8"/>
    <n v="1631.3670000000011"/>
    <x v="2"/>
    <x v="22"/>
  </r>
  <r>
    <d v="2024-01-05T00:00:00"/>
    <x v="0"/>
    <x v="2"/>
    <s v="Desk"/>
    <s v="Desk"/>
    <x v="1"/>
    <n v="2"/>
    <n v="454.01"/>
    <s v="Store B"/>
    <s v="Wholesale"/>
    <n v="0"/>
    <x v="4"/>
    <n v="908.02"/>
    <s v="Online"/>
    <s v="WINTER15"/>
    <n v="0"/>
    <s v="REG101342"/>
    <s v="Cust 1265"/>
    <n v="9.7799999999999994"/>
    <d v="2024-01-05T00:00:00"/>
    <d v="2024-01-07T00:00:00"/>
    <s v="Eric"/>
    <n v="908.02"/>
    <n v="908.02"/>
    <n v="0"/>
    <x v="0"/>
    <x v="24"/>
  </r>
  <r>
    <d v="2023-08-03T00:00:00"/>
    <x v="1"/>
    <x v="3"/>
    <s v="Chair"/>
    <s v="Chair"/>
    <x v="1"/>
    <n v="5"/>
    <n v="163.55000000000001"/>
    <s v="Store D"/>
    <s v="Retail"/>
    <n v="0.05"/>
    <x v="2"/>
    <n v="776.86249999999995"/>
    <s v="Cash"/>
    <m/>
    <n v="0"/>
    <s v="REG101343"/>
    <s v="Cust 7676"/>
    <n v="28.9"/>
    <d v="2023-08-03T00:00:00"/>
    <d v="2023-08-10T00:00:00"/>
    <s v="Sophie"/>
    <n v="738.01937499999997"/>
    <n v="817.75"/>
    <n v="79.730625000000032"/>
    <x v="1"/>
    <x v="18"/>
  </r>
  <r>
    <d v="2025-02-11T00:00:00"/>
    <x v="2"/>
    <x v="4"/>
    <s v="Monitor"/>
    <s v="Monitor"/>
    <x v="0"/>
    <n v="12"/>
    <n v="141.61000000000001"/>
    <s v="Store B"/>
    <s v="Wholesale"/>
    <n v="0"/>
    <x v="2"/>
    <n v="1699.32"/>
    <s v="Credit Card"/>
    <s v="WINTER15"/>
    <n v="0"/>
    <s v="REG101344"/>
    <s v="Cust 4442"/>
    <n v="11.72"/>
    <d v="2025-02-11T00:00:00"/>
    <d v="2025-02-21T00:00:00"/>
    <s v="Ryan"/>
    <n v="1699.32"/>
    <n v="1699.3200000000002"/>
    <n v="0"/>
    <x v="0"/>
    <x v="3"/>
  </r>
  <r>
    <d v="2023-06-17T00:00:00"/>
    <x v="1"/>
    <x v="3"/>
    <s v="Chair"/>
    <s v="Chair"/>
    <x v="1"/>
    <n v="6"/>
    <n v="332.18"/>
    <s v="Store B"/>
    <s v="Wholesale"/>
    <n v="0.1"/>
    <x v="5"/>
    <n v="1793.7719999999999"/>
    <s v="Online"/>
    <s v="WINTER15"/>
    <n v="0"/>
    <s v="REG101345"/>
    <s v="Cust 2975"/>
    <n v="21.95"/>
    <d v="2023-06-17T00:00:00"/>
    <d v="2023-06-21T00:00:00"/>
    <s v="Sophie"/>
    <n v="1614.3948"/>
    <n v="1993.08"/>
    <n v="378.6851999999999"/>
    <x v="1"/>
    <x v="4"/>
  </r>
  <r>
    <d v="2024-02-05T00:00:00"/>
    <x v="3"/>
    <x v="4"/>
    <s v="Monitor"/>
    <s v="Monitor"/>
    <x v="0"/>
    <n v="14"/>
    <n v="463.96"/>
    <s v="Store D"/>
    <s v="Retail"/>
    <n v="0.15"/>
    <x v="4"/>
    <n v="5521.1239999999998"/>
    <s v="Gift Card"/>
    <m/>
    <n v="0"/>
    <s v="REG101346"/>
    <s v="Cust 7832"/>
    <n v="29.19"/>
    <d v="2024-02-05T00:00:00"/>
    <d v="2024-02-14T00:00:00"/>
    <s v="Cameron"/>
    <n v="4692.9553999999998"/>
    <n v="6495.44"/>
    <n v="1802.4845999999998"/>
    <x v="2"/>
    <x v="5"/>
  </r>
  <r>
    <d v="2024-03-17T00:00:00"/>
    <x v="1"/>
    <x v="2"/>
    <s v="Desk"/>
    <s v="Desk"/>
    <x v="1"/>
    <n v="10"/>
    <n v="68.27"/>
    <s v="Store A"/>
    <s v="Wholesale"/>
    <n v="0.15"/>
    <x v="4"/>
    <n v="580.29499999999996"/>
    <s v="Credit Card"/>
    <m/>
    <n v="0"/>
    <s v="REG101347"/>
    <s v="Cust 7753"/>
    <n v="24.33"/>
    <d v="2024-03-17T00:00:00"/>
    <d v="2024-03-27T00:00:00"/>
    <s v="Sophie"/>
    <n v="493.25074999999993"/>
    <n v="682.69999999999993"/>
    <n v="189.44925000000001"/>
    <x v="2"/>
    <x v="25"/>
  </r>
  <r>
    <d v="2024-02-03T00:00:00"/>
    <x v="3"/>
    <x v="0"/>
    <s v="Laptop"/>
    <s v="Laptop"/>
    <x v="0"/>
    <n v="8"/>
    <n v="27.01"/>
    <s v="Store C"/>
    <s v="Wholesale"/>
    <n v="0.05"/>
    <x v="0"/>
    <n v="205.27600000000001"/>
    <s v="Online"/>
    <s v="FREESHIP"/>
    <n v="1"/>
    <s v="REG101348"/>
    <s v="Cust 8639"/>
    <n v="42.65"/>
    <d v="2024-02-03T00:00:00"/>
    <d v="2024-02-09T00:00:00"/>
    <s v="Cameron"/>
    <n v="195.01220000000001"/>
    <n v="216.08"/>
    <n v="21.067800000000005"/>
    <x v="1"/>
    <x v="5"/>
  </r>
  <r>
    <d v="2023-03-31T00:00:00"/>
    <x v="2"/>
    <x v="5"/>
    <s v="Tablet"/>
    <s v="Tablet"/>
    <x v="0"/>
    <n v="9"/>
    <n v="78.8"/>
    <s v="Store D"/>
    <s v="Retail"/>
    <n v="0.1"/>
    <x v="1"/>
    <n v="638.28"/>
    <s v="Online"/>
    <s v="FREESHIP"/>
    <n v="0"/>
    <s v="REG101349"/>
    <s v="Cust 9878"/>
    <n v="9.2899999999999991"/>
    <d v="2023-03-31T00:00:00"/>
    <d v="2023-04-10T00:00:00"/>
    <s v="Ryan"/>
    <n v="574.452"/>
    <n v="709.19999999999993"/>
    <n v="134.74799999999993"/>
    <x v="1"/>
    <x v="17"/>
  </r>
  <r>
    <d v="2023-08-18T00:00:00"/>
    <x v="4"/>
    <x v="5"/>
    <s v="Tablet"/>
    <s v="Tablet"/>
    <x v="0"/>
    <n v="16"/>
    <n v="174.68"/>
    <s v="Store B"/>
    <s v="Wholesale"/>
    <n v="0.15"/>
    <x v="2"/>
    <n v="2375.6480000000001"/>
    <s v="Credit Card"/>
    <m/>
    <n v="0"/>
    <s v="REG101350"/>
    <s v="Cust 4205"/>
    <n v="45.99"/>
    <d v="2023-08-18T00:00:00"/>
    <d v="2023-08-22T00:00:00"/>
    <s v="Wendy"/>
    <n v="2019.3008"/>
    <n v="2794.88"/>
    <n v="775.57920000000013"/>
    <x v="2"/>
    <x v="18"/>
  </r>
  <r>
    <d v="2023-09-10T00:00:00"/>
    <x v="3"/>
    <x v="6"/>
    <s v="Printer"/>
    <s v="Printer"/>
    <x v="2"/>
    <n v="4"/>
    <n v="306.06"/>
    <s v="Store C"/>
    <s v="Wholesale"/>
    <n v="0.05"/>
    <x v="3"/>
    <n v="1163.028"/>
    <s v="Gift Card"/>
    <s v="SAVE10"/>
    <n v="1"/>
    <s v="REG101351"/>
    <s v="Cust 4009"/>
    <n v="32.75"/>
    <d v="2023-09-10T00:00:00"/>
    <d v="2023-09-13T00:00:00"/>
    <s v="Cameron"/>
    <n v="1104.8766000000001"/>
    <n v="1224.24"/>
    <n v="119.36339999999996"/>
    <x v="1"/>
    <x v="22"/>
  </r>
  <r>
    <d v="2024-01-29T00:00:00"/>
    <x v="1"/>
    <x v="5"/>
    <s v="Tablet"/>
    <s v="Tablet"/>
    <x v="0"/>
    <n v="12"/>
    <n v="164.22"/>
    <s v="Store C"/>
    <s v="Retail"/>
    <n v="0"/>
    <x v="5"/>
    <n v="1970.64"/>
    <s v="Credit Card"/>
    <s v="FREESHIP"/>
    <n v="0"/>
    <s v="REG101352"/>
    <s v="Cust 6499"/>
    <n v="21.46"/>
    <d v="2024-01-29T00:00:00"/>
    <d v="2024-02-03T00:00:00"/>
    <s v="Sophie"/>
    <n v="1970.64"/>
    <n v="1970.6399999999999"/>
    <n v="0"/>
    <x v="0"/>
    <x v="24"/>
  </r>
  <r>
    <d v="2024-03-21T00:00:00"/>
    <x v="2"/>
    <x v="5"/>
    <s v="Tablet"/>
    <s v="Tablet"/>
    <x v="0"/>
    <n v="20"/>
    <n v="336.29"/>
    <s v="Store C"/>
    <s v="Retail"/>
    <n v="0"/>
    <x v="0"/>
    <n v="6725.8"/>
    <s v="Gift Card"/>
    <s v="FREESHIP"/>
    <n v="0"/>
    <s v="REG101353"/>
    <s v="Cust 4389"/>
    <n v="25.02"/>
    <d v="2024-03-21T00:00:00"/>
    <d v="2024-03-30T00:00:00"/>
    <s v="Ryan"/>
    <n v="6725.8"/>
    <n v="6725.8"/>
    <n v="0"/>
    <x v="0"/>
    <x v="25"/>
  </r>
  <r>
    <d v="2024-08-03T00:00:00"/>
    <x v="4"/>
    <x v="5"/>
    <s v="Tablet"/>
    <s v="Tablet"/>
    <x v="0"/>
    <n v="7"/>
    <n v="180.25"/>
    <s v="Store D"/>
    <s v="Retail"/>
    <n v="0.1"/>
    <x v="4"/>
    <n v="1135.575"/>
    <s v="Gift Card"/>
    <s v="WINTER15"/>
    <n v="0"/>
    <s v="REG101354"/>
    <s v="Cust 2008"/>
    <n v="36.79"/>
    <d v="2024-08-03T00:00:00"/>
    <d v="2024-08-05T00:00:00"/>
    <s v="Wendy"/>
    <n v="1022.0175"/>
    <n v="1261.75"/>
    <n v="239.73249999999996"/>
    <x v="1"/>
    <x v="29"/>
  </r>
  <r>
    <d v="2025-05-05T00:00:00"/>
    <x v="2"/>
    <x v="4"/>
    <s v="Monitor"/>
    <s v="Monitor"/>
    <x v="0"/>
    <n v="1"/>
    <n v="21.75"/>
    <s v="Store C"/>
    <s v="Retail"/>
    <n v="0"/>
    <x v="1"/>
    <n v="21.75"/>
    <s v="Cash"/>
    <s v="FREESHIP"/>
    <n v="0"/>
    <s v="REG101355"/>
    <s v="Cust 6509"/>
    <n v="7.35"/>
    <d v="2025-05-05T00:00:00"/>
    <d v="2025-05-14T00:00:00"/>
    <s v="Ryan"/>
    <n v="21.75"/>
    <n v="21.75"/>
    <n v="0"/>
    <x v="0"/>
    <x v="13"/>
  </r>
  <r>
    <d v="2023-02-08T00:00:00"/>
    <x v="4"/>
    <x v="5"/>
    <s v="Tablet"/>
    <s v="Tablet"/>
    <x v="0"/>
    <n v="13"/>
    <n v="149.16"/>
    <s v="Store C"/>
    <s v="Retail"/>
    <n v="0.1"/>
    <x v="0"/>
    <n v="1745.172"/>
    <s v="Cash"/>
    <m/>
    <n v="1"/>
    <s v="REG101356"/>
    <s v="Cust 4270"/>
    <n v="20.9"/>
    <d v="2023-02-08T00:00:00"/>
    <d v="2023-02-16T00:00:00"/>
    <s v="Wendy"/>
    <n v="1570.6548"/>
    <n v="1939.08"/>
    <n v="368.4251999999999"/>
    <x v="1"/>
    <x v="0"/>
  </r>
  <r>
    <d v="2023-05-26T00:00:00"/>
    <x v="3"/>
    <x v="3"/>
    <s v="Chair"/>
    <s v="Chair"/>
    <x v="1"/>
    <n v="7"/>
    <n v="220.9"/>
    <s v="Store A"/>
    <s v="Wholesale"/>
    <n v="0.15"/>
    <x v="5"/>
    <n v="1314.355"/>
    <s v="Gift Card"/>
    <s v="FREESHIP"/>
    <n v="0"/>
    <s v="REG101357"/>
    <s v="Cust 4414"/>
    <n v="15.25"/>
    <d v="2023-05-26T00:00:00"/>
    <d v="2023-06-05T00:00:00"/>
    <s v="Cameron"/>
    <n v="1117.2017499999999"/>
    <n v="1546.3"/>
    <n v="429.09825000000001"/>
    <x v="2"/>
    <x v="2"/>
  </r>
  <r>
    <d v="2024-07-15T00:00:00"/>
    <x v="0"/>
    <x v="3"/>
    <s v="Chair"/>
    <s v="Chair"/>
    <x v="1"/>
    <n v="1"/>
    <n v="364.27"/>
    <s v="Store A"/>
    <s v="Retail"/>
    <n v="0.1"/>
    <x v="1"/>
    <n v="327.84300000000002"/>
    <s v="Debit Card"/>
    <s v="WINTER15"/>
    <n v="0"/>
    <s v="REG101358"/>
    <s v="Cust 6409"/>
    <n v="8.91"/>
    <d v="2024-07-15T00:00:00"/>
    <d v="2024-07-22T00:00:00"/>
    <s v="Eric"/>
    <n v="295.05870000000004"/>
    <n v="364.27"/>
    <n v="69.211299999999937"/>
    <x v="1"/>
    <x v="10"/>
  </r>
  <r>
    <d v="2024-12-18T00:00:00"/>
    <x v="2"/>
    <x v="4"/>
    <s v="Monitor"/>
    <s v="Monitor"/>
    <x v="0"/>
    <n v="9"/>
    <n v="306.42"/>
    <s v="Store C"/>
    <s v="Wholesale"/>
    <n v="0"/>
    <x v="5"/>
    <n v="2757.78"/>
    <s v="Online"/>
    <m/>
    <n v="0"/>
    <s v="REG101359"/>
    <s v="Cust 1621"/>
    <n v="15.81"/>
    <d v="2024-12-18T00:00:00"/>
    <d v="2024-12-27T00:00:00"/>
    <s v="Ryan"/>
    <n v="2757.78"/>
    <n v="2757.78"/>
    <n v="0"/>
    <x v="0"/>
    <x v="1"/>
  </r>
  <r>
    <d v="2024-09-29T00:00:00"/>
    <x v="2"/>
    <x v="5"/>
    <s v="Tablet"/>
    <s v="Tablet"/>
    <x v="0"/>
    <n v="18"/>
    <n v="589"/>
    <s v="Store B"/>
    <s v="Wholesale"/>
    <n v="0.1"/>
    <x v="4"/>
    <n v="9541.8000000000011"/>
    <s v="Cash"/>
    <s v="WINTER15"/>
    <n v="0"/>
    <s v="REG101360"/>
    <s v="Cust 6790"/>
    <n v="37.78"/>
    <d v="2024-09-29T00:00:00"/>
    <d v="2024-10-08T00:00:00"/>
    <s v="Ryan"/>
    <n v="8587.6200000000008"/>
    <n v="10602"/>
    <n v="2014.3799999999992"/>
    <x v="1"/>
    <x v="26"/>
  </r>
  <r>
    <d v="2024-10-25T00:00:00"/>
    <x v="1"/>
    <x v="2"/>
    <s v="Desk"/>
    <s v="Desk"/>
    <x v="1"/>
    <n v="16"/>
    <n v="249.45"/>
    <s v="Store C"/>
    <s v="Wholesale"/>
    <n v="0.1"/>
    <x v="1"/>
    <n v="3592.08"/>
    <s v="Cash"/>
    <s v="FREESHIP"/>
    <n v="0"/>
    <s v="REG101361"/>
    <s v="Cust 4045"/>
    <n v="20.92"/>
    <d v="2024-10-25T00:00:00"/>
    <d v="2024-11-01T00:00:00"/>
    <s v="Sophie"/>
    <n v="3232.8719999999998"/>
    <n v="3991.2"/>
    <n v="758.32799999999997"/>
    <x v="1"/>
    <x v="7"/>
  </r>
  <r>
    <d v="2025-01-06T00:00:00"/>
    <x v="2"/>
    <x v="4"/>
    <s v="Monitor"/>
    <s v="Monitor"/>
    <x v="0"/>
    <n v="20"/>
    <n v="440.32"/>
    <s v="Store C"/>
    <s v="Retail"/>
    <n v="0.05"/>
    <x v="1"/>
    <n v="8366.08"/>
    <s v="Debit Card"/>
    <s v="SAVE10"/>
    <n v="1"/>
    <s v="REG101362"/>
    <s v="Cust 1258"/>
    <n v="6.17"/>
    <d v="2025-01-06T00:00:00"/>
    <d v="2025-01-16T00:00:00"/>
    <s v="Ryan"/>
    <n v="7947.7759999999998"/>
    <n v="8806.4"/>
    <n v="858.6239999999998"/>
    <x v="1"/>
    <x v="12"/>
  </r>
  <r>
    <d v="2023-11-19T00:00:00"/>
    <x v="3"/>
    <x v="5"/>
    <s v="Tablet"/>
    <s v="Tablet"/>
    <x v="0"/>
    <n v="3"/>
    <n v="101.34"/>
    <s v="Store A"/>
    <s v="Wholesale"/>
    <n v="0"/>
    <x v="3"/>
    <n v="304.02"/>
    <s v="Debit Card"/>
    <m/>
    <n v="0"/>
    <s v="REG101363"/>
    <s v="Cust 8051"/>
    <n v="23.15"/>
    <d v="2023-11-19T00:00:00"/>
    <d v="2023-11-21T00:00:00"/>
    <s v="Cameron"/>
    <n v="304.02"/>
    <n v="304.02"/>
    <n v="0"/>
    <x v="0"/>
    <x v="15"/>
  </r>
  <r>
    <d v="2024-04-11T00:00:00"/>
    <x v="1"/>
    <x v="1"/>
    <s v="Phone"/>
    <s v="Phone"/>
    <x v="0"/>
    <n v="17"/>
    <n v="311.61"/>
    <s v="Store A"/>
    <s v="Retail"/>
    <n v="0.05"/>
    <x v="0"/>
    <n v="5032.5014999999994"/>
    <s v="Online"/>
    <m/>
    <n v="1"/>
    <s v="REG101364"/>
    <s v="Cust 9371"/>
    <n v="29.9"/>
    <d v="2024-04-11T00:00:00"/>
    <d v="2024-04-17T00:00:00"/>
    <s v="Sophie"/>
    <n v="4780.8764249999995"/>
    <n v="5297.37"/>
    <n v="516.49357500000042"/>
    <x v="1"/>
    <x v="9"/>
  </r>
  <r>
    <d v="2024-03-30T00:00:00"/>
    <x v="1"/>
    <x v="4"/>
    <s v="Monitor"/>
    <s v="Monitor"/>
    <x v="0"/>
    <n v="2"/>
    <n v="441.18"/>
    <s v="Store B"/>
    <s v="Retail"/>
    <n v="0.15"/>
    <x v="5"/>
    <n v="750.00599999999997"/>
    <s v="Cash"/>
    <m/>
    <n v="1"/>
    <s v="REG101365"/>
    <s v="Cust 9881"/>
    <n v="23.07"/>
    <d v="2024-03-30T00:00:00"/>
    <d v="2024-04-06T00:00:00"/>
    <s v="Sophie"/>
    <n v="637.50509999999997"/>
    <n v="882.36"/>
    <n v="244.85490000000004"/>
    <x v="2"/>
    <x v="25"/>
  </r>
  <r>
    <d v="2024-11-25T00:00:00"/>
    <x v="2"/>
    <x v="3"/>
    <s v="Chair"/>
    <s v="Chair"/>
    <x v="1"/>
    <n v="20"/>
    <n v="286.66000000000003"/>
    <s v="Store D"/>
    <s v="Retail"/>
    <n v="0.1"/>
    <x v="3"/>
    <n v="5159.880000000001"/>
    <s v="Debit Card"/>
    <s v="WINTER15"/>
    <n v="0"/>
    <s v="REG101366"/>
    <s v="Cust 2153"/>
    <n v="15.54"/>
    <d v="2024-11-25T00:00:00"/>
    <d v="2024-11-29T00:00:00"/>
    <s v="Ryan"/>
    <n v="4643.8920000000007"/>
    <n v="5733.2000000000007"/>
    <n v="1089.308"/>
    <x v="1"/>
    <x v="20"/>
  </r>
  <r>
    <d v="2025-01-06T00:00:00"/>
    <x v="2"/>
    <x v="6"/>
    <s v="Printer"/>
    <s v="Printer"/>
    <x v="2"/>
    <n v="13"/>
    <n v="483.63"/>
    <s v="Store A"/>
    <s v="Retail"/>
    <n v="0.05"/>
    <x v="3"/>
    <n v="5972.8304999999991"/>
    <s v="Cash"/>
    <s v="FREESHIP"/>
    <n v="0"/>
    <s v="REG101367"/>
    <s v="Cust 9189"/>
    <n v="18.22"/>
    <d v="2025-01-06T00:00:00"/>
    <d v="2025-01-15T00:00:00"/>
    <s v="Ryan"/>
    <n v="5674.1889749999991"/>
    <n v="6287.19"/>
    <n v="613.00102500000048"/>
    <x v="1"/>
    <x v="12"/>
  </r>
  <r>
    <d v="2023-04-15T00:00:00"/>
    <x v="4"/>
    <x v="5"/>
    <s v="Tablet"/>
    <s v="Tablet"/>
    <x v="0"/>
    <n v="8"/>
    <n v="304.14999999999998"/>
    <s v="Store B"/>
    <s v="Wholesale"/>
    <n v="0.05"/>
    <x v="3"/>
    <n v="2311.54"/>
    <s v="Debit Card"/>
    <m/>
    <n v="0"/>
    <s v="REG101368"/>
    <s v="Cust 8802"/>
    <n v="41.73"/>
    <d v="2023-04-15T00:00:00"/>
    <d v="2023-04-18T00:00:00"/>
    <s v="Wendy"/>
    <n v="2195.9629999999997"/>
    <n v="2433.1999999999998"/>
    <n v="237.23700000000008"/>
    <x v="1"/>
    <x v="21"/>
  </r>
  <r>
    <d v="2024-02-07T00:00:00"/>
    <x v="0"/>
    <x v="6"/>
    <s v="Printer"/>
    <s v="Printer"/>
    <x v="2"/>
    <n v="10"/>
    <n v="452.21"/>
    <s v="Store A"/>
    <s v="Retail"/>
    <n v="0.1"/>
    <x v="0"/>
    <n v="4069.889999999999"/>
    <s v="Cash"/>
    <s v="WINTER15"/>
    <n v="0"/>
    <s v="REG101369"/>
    <s v="Cust 8707"/>
    <n v="15.87"/>
    <d v="2024-02-07T00:00:00"/>
    <d v="2024-02-17T00:00:00"/>
    <s v="Eric"/>
    <n v="3662.9009999999989"/>
    <n v="4522.0999999999995"/>
    <n v="859.19900000000052"/>
    <x v="1"/>
    <x v="5"/>
  </r>
  <r>
    <d v="2023-06-02T00:00:00"/>
    <x v="0"/>
    <x v="6"/>
    <s v="Printer"/>
    <s v="Printer"/>
    <x v="2"/>
    <n v="4"/>
    <n v="248.16"/>
    <s v="Store B"/>
    <s v="Retail"/>
    <n v="0.1"/>
    <x v="4"/>
    <n v="893.37599999999998"/>
    <s v="Credit Card"/>
    <m/>
    <n v="1"/>
    <s v="REG101370"/>
    <s v="Cust 5638"/>
    <n v="45.11"/>
    <d v="2023-06-02T00:00:00"/>
    <d v="2023-06-05T00:00:00"/>
    <s v="Eric"/>
    <n v="804.03840000000002"/>
    <n v="992.64"/>
    <n v="188.60159999999996"/>
    <x v="1"/>
    <x v="4"/>
  </r>
  <r>
    <d v="2023-08-24T00:00:00"/>
    <x v="0"/>
    <x v="0"/>
    <s v="Laptop"/>
    <s v="Laptop"/>
    <x v="0"/>
    <n v="4"/>
    <n v="520"/>
    <s v="Store A"/>
    <s v="Retail"/>
    <n v="0"/>
    <x v="0"/>
    <n v="2080"/>
    <s v="Credit Card"/>
    <s v="WINTER15"/>
    <n v="0"/>
    <s v="REG101371"/>
    <s v="Cust 6036"/>
    <n v="18.25"/>
    <d v="2023-08-24T00:00:00"/>
    <d v="2023-09-02T00:00:00"/>
    <s v="Eric"/>
    <n v="2080"/>
    <n v="2080"/>
    <n v="0"/>
    <x v="0"/>
    <x v="18"/>
  </r>
  <r>
    <d v="2024-12-06T00:00:00"/>
    <x v="1"/>
    <x v="3"/>
    <s v="Chair"/>
    <s v="Chair"/>
    <x v="1"/>
    <n v="11"/>
    <n v="571.07000000000005"/>
    <s v="Store A"/>
    <s v="Retail"/>
    <n v="0"/>
    <x v="2"/>
    <n v="6281.77"/>
    <s v="Gift Card"/>
    <s v="SAVE10"/>
    <n v="0"/>
    <s v="REG101372"/>
    <s v="Cust 5504"/>
    <n v="12.6"/>
    <d v="2024-12-06T00:00:00"/>
    <d v="2024-12-11T00:00:00"/>
    <s v="Sophie"/>
    <n v="6281.77"/>
    <n v="6281.77"/>
    <n v="0"/>
    <x v="0"/>
    <x v="1"/>
  </r>
  <r>
    <d v="2023-12-08T00:00:00"/>
    <x v="0"/>
    <x v="5"/>
    <s v="Tablet"/>
    <s v="Tablet"/>
    <x v="0"/>
    <n v="11"/>
    <n v="65.569999999999993"/>
    <s v="Store D"/>
    <s v="Retail"/>
    <n v="0.1"/>
    <x v="4"/>
    <n v="649.14300000000003"/>
    <s v="Debit Card"/>
    <s v="SAVE10"/>
    <n v="1"/>
    <s v="REG101373"/>
    <s v="Cust 1161"/>
    <n v="30.43"/>
    <d v="2023-12-08T00:00:00"/>
    <d v="2023-12-14T00:00:00"/>
    <s v="Eric"/>
    <n v="584.2287"/>
    <n v="721.27"/>
    <n v="137.04129999999998"/>
    <x v="1"/>
    <x v="27"/>
  </r>
  <r>
    <d v="2023-05-12T00:00:00"/>
    <x v="1"/>
    <x v="5"/>
    <s v="Tablet"/>
    <s v="Tablet"/>
    <x v="0"/>
    <n v="4"/>
    <n v="397.02"/>
    <s v="Store A"/>
    <s v="Wholesale"/>
    <n v="0"/>
    <x v="2"/>
    <n v="1588.08"/>
    <s v="Cash"/>
    <s v="FREESHIP"/>
    <n v="0"/>
    <s v="REG101374"/>
    <s v="Cust 5420"/>
    <n v="23.25"/>
    <d v="2023-05-12T00:00:00"/>
    <d v="2023-05-20T00:00:00"/>
    <s v="Sophie"/>
    <n v="1588.08"/>
    <n v="1588.08"/>
    <n v="0"/>
    <x v="0"/>
    <x v="2"/>
  </r>
  <r>
    <d v="2025-04-24T00:00:00"/>
    <x v="4"/>
    <x v="0"/>
    <s v="Laptop"/>
    <s v="Laptop"/>
    <x v="0"/>
    <n v="10"/>
    <n v="169.35"/>
    <s v="Store B"/>
    <s v="Retail"/>
    <n v="0.05"/>
    <x v="1"/>
    <n v="1608.825"/>
    <s v="Credit Card"/>
    <s v="WINTER15"/>
    <n v="0"/>
    <s v="REG101375"/>
    <s v="Cust 7745"/>
    <n v="44.91"/>
    <d v="2025-04-24T00:00:00"/>
    <d v="2025-04-27T00:00:00"/>
    <s v="Wendy"/>
    <n v="1528.38375"/>
    <n v="1693.5"/>
    <n v="165.11625000000004"/>
    <x v="1"/>
    <x v="28"/>
  </r>
  <r>
    <d v="2023-04-23T00:00:00"/>
    <x v="3"/>
    <x v="5"/>
    <s v="Tablet"/>
    <s v="Tablet"/>
    <x v="0"/>
    <n v="9"/>
    <n v="340.44"/>
    <s v="Store D"/>
    <s v="Retail"/>
    <n v="0.05"/>
    <x v="3"/>
    <n v="2910.7620000000002"/>
    <s v="Debit Card"/>
    <s v="FREESHIP"/>
    <n v="1"/>
    <s v="REG101376"/>
    <s v="Cust 4365"/>
    <n v="36.68"/>
    <d v="2023-04-23T00:00:00"/>
    <d v="2023-05-03T00:00:00"/>
    <s v="Cameron"/>
    <n v="2765.2239"/>
    <n v="3063.96"/>
    <n v="298.73610000000008"/>
    <x v="1"/>
    <x v="21"/>
  </r>
  <r>
    <d v="2023-01-18T00:00:00"/>
    <x v="2"/>
    <x v="4"/>
    <s v="Monitor"/>
    <s v="Monitor"/>
    <x v="0"/>
    <n v="1"/>
    <n v="120.2"/>
    <s v="Store D"/>
    <s v="Retail"/>
    <n v="0.05"/>
    <x v="3"/>
    <n v="114.19"/>
    <s v="Online"/>
    <s v="WINTER15"/>
    <n v="0"/>
    <s v="REG101377"/>
    <s v="Cust 3291"/>
    <n v="44.99"/>
    <d v="2023-01-18T00:00:00"/>
    <d v="2023-01-21T00:00:00"/>
    <s v="Ryan"/>
    <n v="108.48049999999999"/>
    <n v="120.2"/>
    <n v="11.719500000000011"/>
    <x v="1"/>
    <x v="6"/>
  </r>
  <r>
    <d v="2025-05-11T00:00:00"/>
    <x v="2"/>
    <x v="1"/>
    <s v="Phone"/>
    <s v="Phone"/>
    <x v="0"/>
    <n v="13"/>
    <n v="169.39"/>
    <s v="Store B"/>
    <s v="Wholesale"/>
    <n v="0.15"/>
    <x v="4"/>
    <n v="1871.7594999999999"/>
    <s v="Credit Card"/>
    <m/>
    <n v="0"/>
    <s v="REG101378"/>
    <s v="Cust 9020"/>
    <n v="6.81"/>
    <d v="2025-05-11T00:00:00"/>
    <d v="2025-05-21T00:00:00"/>
    <s v="Ryan"/>
    <n v="1590.9955749999999"/>
    <n v="2202.0699999999997"/>
    <n v="611.07442499999979"/>
    <x v="2"/>
    <x v="13"/>
  </r>
  <r>
    <d v="2024-12-23T00:00:00"/>
    <x v="4"/>
    <x v="5"/>
    <s v="Tablet"/>
    <s v="Tablet"/>
    <x v="0"/>
    <n v="10"/>
    <n v="170.72"/>
    <s v="Store A"/>
    <s v="Wholesale"/>
    <n v="0.05"/>
    <x v="2"/>
    <n v="1621.84"/>
    <s v="Online"/>
    <s v="FREESHIP"/>
    <n v="0"/>
    <s v="REG101379"/>
    <s v="Cust 2667"/>
    <n v="29.18"/>
    <d v="2024-12-23T00:00:00"/>
    <d v="2025-01-02T00:00:00"/>
    <s v="Wendy"/>
    <n v="1540.7479999999998"/>
    <n v="1707.2"/>
    <n v="166.45200000000023"/>
    <x v="1"/>
    <x v="1"/>
  </r>
  <r>
    <d v="2023-08-20T00:00:00"/>
    <x v="4"/>
    <x v="2"/>
    <s v="Desk"/>
    <s v="Desk"/>
    <x v="1"/>
    <n v="9"/>
    <n v="323.77"/>
    <s v="Store A"/>
    <s v="Wholesale"/>
    <n v="0.15"/>
    <x v="3"/>
    <n v="2476.8404999999998"/>
    <s v="Debit Card"/>
    <m/>
    <n v="0"/>
    <s v="REG101380"/>
    <s v="Cust 6158"/>
    <n v="6.36"/>
    <d v="2023-08-20T00:00:00"/>
    <d v="2023-08-28T00:00:00"/>
    <s v="Wendy"/>
    <n v="2105.3144249999996"/>
    <n v="2913.93"/>
    <n v="808.61557500000026"/>
    <x v="2"/>
    <x v="18"/>
  </r>
  <r>
    <d v="2025-03-18T00:00:00"/>
    <x v="3"/>
    <x v="3"/>
    <s v="Chair"/>
    <s v="Chair"/>
    <x v="1"/>
    <n v="4"/>
    <n v="481.86"/>
    <s v="Store B"/>
    <s v="Wholesale"/>
    <n v="0"/>
    <x v="5"/>
    <n v="1927.44"/>
    <s v="Online"/>
    <s v="FREESHIP"/>
    <n v="0"/>
    <s v="REG101381"/>
    <s v="Cust 7404"/>
    <n v="21.92"/>
    <d v="2025-03-18T00:00:00"/>
    <d v="2025-03-23T00:00:00"/>
    <s v="Cameron"/>
    <n v="1927.44"/>
    <n v="1927.44"/>
    <n v="0"/>
    <x v="0"/>
    <x v="8"/>
  </r>
  <r>
    <d v="2024-01-16T00:00:00"/>
    <x v="3"/>
    <x v="1"/>
    <s v="Phone"/>
    <s v="Phone"/>
    <x v="0"/>
    <n v="4"/>
    <n v="78.05"/>
    <s v="Store A"/>
    <s v="Retail"/>
    <n v="0"/>
    <x v="3"/>
    <n v="312.2"/>
    <s v="Credit Card"/>
    <m/>
    <n v="0"/>
    <s v="REG101382"/>
    <s v="Cust 8572"/>
    <n v="14.03"/>
    <d v="2024-01-16T00:00:00"/>
    <d v="2024-01-24T00:00:00"/>
    <s v="Cameron"/>
    <n v="312.2"/>
    <n v="312.2"/>
    <n v="0"/>
    <x v="0"/>
    <x v="24"/>
  </r>
  <r>
    <d v="2024-05-29T00:00:00"/>
    <x v="0"/>
    <x v="5"/>
    <s v="Tablet"/>
    <s v="Tablet"/>
    <x v="0"/>
    <n v="6"/>
    <n v="57.4"/>
    <s v="Store C"/>
    <s v="Wholesale"/>
    <n v="0.1"/>
    <x v="0"/>
    <n v="309.95999999999998"/>
    <s v="Debit Card"/>
    <s v="FREESHIP"/>
    <n v="0"/>
    <s v="REG101383"/>
    <s v="Cust 1043"/>
    <n v="26.42"/>
    <d v="2024-05-29T00:00:00"/>
    <d v="2024-06-08T00:00:00"/>
    <s v="Eric"/>
    <n v="278.964"/>
    <n v="344.4"/>
    <n v="65.435999999999979"/>
    <x v="1"/>
    <x v="14"/>
  </r>
  <r>
    <d v="2025-03-25T00:00:00"/>
    <x v="1"/>
    <x v="0"/>
    <s v="Laptop"/>
    <s v="Laptop"/>
    <x v="0"/>
    <n v="9"/>
    <n v="454.98"/>
    <s v="Store B"/>
    <s v="Wholesale"/>
    <n v="0.15"/>
    <x v="0"/>
    <n v="3480.5970000000002"/>
    <s v="Credit Card"/>
    <m/>
    <n v="0"/>
    <s v="REG101384"/>
    <s v="Cust 1766"/>
    <n v="40.76"/>
    <d v="2025-03-25T00:00:00"/>
    <d v="2025-03-27T00:00:00"/>
    <s v="Sophie"/>
    <n v="2958.5074500000001"/>
    <n v="4094.82"/>
    <n v="1136.3125500000001"/>
    <x v="2"/>
    <x v="8"/>
  </r>
  <r>
    <d v="2025-03-22T00:00:00"/>
    <x v="3"/>
    <x v="2"/>
    <s v="Desk"/>
    <s v="Desk"/>
    <x v="1"/>
    <n v="11"/>
    <n v="365.75"/>
    <s v="Store D"/>
    <s v="Wholesale"/>
    <n v="0.05"/>
    <x v="5"/>
    <n v="3822.0875000000001"/>
    <s v="Debit Card"/>
    <s v="FREESHIP"/>
    <n v="1"/>
    <s v="REG101385"/>
    <s v="Cust 4461"/>
    <n v="8.3699999999999992"/>
    <d v="2025-03-22T00:00:00"/>
    <d v="2025-03-27T00:00:00"/>
    <s v="Cameron"/>
    <n v="3630.9831249999997"/>
    <n v="4023.25"/>
    <n v="392.26687500000025"/>
    <x v="1"/>
    <x v="8"/>
  </r>
  <r>
    <d v="2024-08-17T00:00:00"/>
    <x v="0"/>
    <x v="1"/>
    <s v="Phone"/>
    <s v="Phone"/>
    <x v="0"/>
    <n v="7"/>
    <n v="106.88"/>
    <s v="Store C"/>
    <s v="Retail"/>
    <n v="0.05"/>
    <x v="4"/>
    <n v="710.75199999999995"/>
    <s v="Cash"/>
    <s v="WINTER15"/>
    <n v="1"/>
    <s v="REG101386"/>
    <s v="Cust 4390"/>
    <n v="26.12"/>
    <d v="2024-08-17T00:00:00"/>
    <d v="2024-08-24T00:00:00"/>
    <s v="Eric"/>
    <n v="675.21439999999996"/>
    <n v="748.16"/>
    <n v="72.945600000000013"/>
    <x v="1"/>
    <x v="29"/>
  </r>
  <r>
    <d v="2024-06-02T00:00:00"/>
    <x v="1"/>
    <x v="6"/>
    <s v="Printer"/>
    <s v="Printer"/>
    <x v="2"/>
    <n v="2"/>
    <n v="250.98"/>
    <s v="Store B"/>
    <s v="Wholesale"/>
    <n v="0.1"/>
    <x v="0"/>
    <n v="451.76400000000001"/>
    <s v="Online"/>
    <s v="WINTER15"/>
    <n v="0"/>
    <s v="REG101387"/>
    <s v="Cust 9451"/>
    <n v="18.8"/>
    <d v="2024-06-02T00:00:00"/>
    <d v="2024-06-12T00:00:00"/>
    <s v="Sophie"/>
    <n v="406.58760000000001"/>
    <n v="501.96"/>
    <n v="95.372399999999971"/>
    <x v="1"/>
    <x v="23"/>
  </r>
  <r>
    <d v="2023-03-31T00:00:00"/>
    <x v="1"/>
    <x v="4"/>
    <s v="Monitor"/>
    <s v="Monitor"/>
    <x v="0"/>
    <n v="8"/>
    <n v="591.29"/>
    <s v="Store C"/>
    <s v="Retail"/>
    <n v="0.1"/>
    <x v="4"/>
    <n v="4257.2879999999996"/>
    <s v="Credit Card"/>
    <m/>
    <n v="1"/>
    <s v="REG101388"/>
    <s v="Cust 5335"/>
    <n v="45.14"/>
    <d v="2023-03-31T00:00:00"/>
    <d v="2023-04-10T00:00:00"/>
    <s v="Sophie"/>
    <n v="3831.5591999999997"/>
    <n v="4730.32"/>
    <n v="898.76080000000002"/>
    <x v="1"/>
    <x v="17"/>
  </r>
  <r>
    <d v="2024-05-19T00:00:00"/>
    <x v="4"/>
    <x v="4"/>
    <s v="Monitor"/>
    <s v="Monitor"/>
    <x v="0"/>
    <n v="18"/>
    <n v="369.79"/>
    <s v="Store A"/>
    <s v="Wholesale"/>
    <n v="0.05"/>
    <x v="0"/>
    <n v="6323.4089999999997"/>
    <s v="Cash"/>
    <s v="FREESHIP"/>
    <n v="1"/>
    <s v="REG101389"/>
    <s v="Cust 3487"/>
    <n v="16.399999999999999"/>
    <d v="2024-05-19T00:00:00"/>
    <d v="2024-05-23T00:00:00"/>
    <s v="Wendy"/>
    <n v="6007.2385499999991"/>
    <n v="6656.22"/>
    <n v="648.98145000000113"/>
    <x v="1"/>
    <x v="14"/>
  </r>
  <r>
    <d v="2023-03-02T00:00:00"/>
    <x v="4"/>
    <x v="2"/>
    <s v="Desk"/>
    <s v="Desk"/>
    <x v="1"/>
    <n v="15"/>
    <n v="166.24"/>
    <s v="Store D"/>
    <s v="Wholesale"/>
    <n v="0.1"/>
    <x v="4"/>
    <n v="2244.2399999999998"/>
    <s v="Debit Card"/>
    <s v="SAVE10"/>
    <n v="0"/>
    <s v="REG101390"/>
    <s v="Cust 7613"/>
    <n v="9.86"/>
    <d v="2023-03-02T00:00:00"/>
    <d v="2023-03-05T00:00:00"/>
    <s v="Wendy"/>
    <n v="2019.8159999999998"/>
    <n v="2493.6000000000004"/>
    <n v="473.78400000000056"/>
    <x v="1"/>
    <x v="17"/>
  </r>
  <r>
    <d v="2023-03-13T00:00:00"/>
    <x v="2"/>
    <x v="6"/>
    <s v="Printer"/>
    <s v="Printer"/>
    <x v="2"/>
    <n v="12"/>
    <n v="260.76"/>
    <s v="Store C"/>
    <s v="Wholesale"/>
    <n v="0.15"/>
    <x v="3"/>
    <n v="2659.752"/>
    <s v="Online"/>
    <m/>
    <n v="0"/>
    <s v="REG101391"/>
    <s v="Cust 9436"/>
    <n v="20.92"/>
    <d v="2023-03-13T00:00:00"/>
    <d v="2023-03-22T00:00:00"/>
    <s v="Ryan"/>
    <n v="2260.7891999999997"/>
    <n v="3129.12"/>
    <n v="868.33080000000018"/>
    <x v="2"/>
    <x v="17"/>
  </r>
  <r>
    <d v="2025-04-16T00:00:00"/>
    <x v="4"/>
    <x v="0"/>
    <s v="Laptop"/>
    <s v="Laptop"/>
    <x v="0"/>
    <n v="10"/>
    <n v="348.63"/>
    <s v="Store D"/>
    <s v="Wholesale"/>
    <n v="0.05"/>
    <x v="4"/>
    <n v="3311.9850000000001"/>
    <s v="Credit Card"/>
    <m/>
    <n v="1"/>
    <s v="REG101392"/>
    <s v="Cust 2197"/>
    <n v="42.79"/>
    <d v="2025-04-16T00:00:00"/>
    <d v="2025-04-18T00:00:00"/>
    <s v="Wendy"/>
    <n v="3146.3857499999999"/>
    <n v="3486.3"/>
    <n v="339.91425000000027"/>
    <x v="1"/>
    <x v="28"/>
  </r>
  <r>
    <d v="2024-06-05T00:00:00"/>
    <x v="2"/>
    <x v="3"/>
    <s v="Chair"/>
    <s v="Chair"/>
    <x v="1"/>
    <n v="5"/>
    <n v="473.28"/>
    <s v="Store A"/>
    <s v="Retail"/>
    <n v="0"/>
    <x v="4"/>
    <n v="2366.4"/>
    <s v="Credit Card"/>
    <s v="SAVE10"/>
    <n v="1"/>
    <s v="REG101393"/>
    <s v="Cust 5620"/>
    <n v="30.69"/>
    <d v="2024-06-05T00:00:00"/>
    <d v="2024-06-15T00:00:00"/>
    <s v="Ryan"/>
    <n v="2366.4"/>
    <n v="2366.3999999999996"/>
    <n v="0"/>
    <x v="0"/>
    <x v="23"/>
  </r>
  <r>
    <d v="2024-09-01T00:00:00"/>
    <x v="2"/>
    <x v="3"/>
    <s v="Chair"/>
    <s v="Chair"/>
    <x v="1"/>
    <n v="16"/>
    <n v="401.83"/>
    <s v="Store B"/>
    <s v="Retail"/>
    <n v="0"/>
    <x v="0"/>
    <n v="6429.28"/>
    <s v="Cash"/>
    <s v="FREESHIP"/>
    <n v="0"/>
    <s v="REG101394"/>
    <s v="Cust 4101"/>
    <n v="21.54"/>
    <d v="2024-09-01T00:00:00"/>
    <d v="2024-09-05T00:00:00"/>
    <s v="Ryan"/>
    <n v="6429.28"/>
    <n v="6429.28"/>
    <n v="0"/>
    <x v="0"/>
    <x v="26"/>
  </r>
  <r>
    <d v="2024-09-21T00:00:00"/>
    <x v="2"/>
    <x v="1"/>
    <s v="Phone"/>
    <s v="Phone"/>
    <x v="0"/>
    <n v="10"/>
    <n v="269.29000000000002"/>
    <s v="Store C"/>
    <s v="Retail"/>
    <n v="0"/>
    <x v="0"/>
    <n v="2692.9"/>
    <s v="Debit Card"/>
    <s v="SAVE10"/>
    <n v="0"/>
    <s v="REG101395"/>
    <s v="Cust 8828"/>
    <n v="14.09"/>
    <d v="2024-09-21T00:00:00"/>
    <d v="2024-09-30T00:00:00"/>
    <s v="Ryan"/>
    <n v="2692.9"/>
    <n v="2692.9"/>
    <n v="0"/>
    <x v="0"/>
    <x v="26"/>
  </r>
  <r>
    <d v="2025-01-11T00:00:00"/>
    <x v="2"/>
    <x v="2"/>
    <s v="Desk"/>
    <s v="Desk"/>
    <x v="1"/>
    <n v="4"/>
    <n v="323.02"/>
    <s v="Store C"/>
    <s v="Retail"/>
    <n v="0.05"/>
    <x v="4"/>
    <n v="1227.4760000000001"/>
    <s v="Cash"/>
    <m/>
    <n v="0"/>
    <s v="REG101396"/>
    <s v="Cust 3187"/>
    <n v="19.53"/>
    <d v="2025-01-11T00:00:00"/>
    <d v="2025-01-16T00:00:00"/>
    <s v="Ryan"/>
    <n v="1166.1022"/>
    <n v="1292.08"/>
    <n v="125.97779999999989"/>
    <x v="1"/>
    <x v="12"/>
  </r>
  <r>
    <d v="2023-01-04T00:00:00"/>
    <x v="4"/>
    <x v="4"/>
    <s v="Monitor"/>
    <s v="Monitor"/>
    <x v="0"/>
    <n v="15"/>
    <n v="439.89"/>
    <s v="Store D"/>
    <s v="Retail"/>
    <n v="0.15"/>
    <x v="4"/>
    <n v="5608.5974999999989"/>
    <s v="Online"/>
    <s v="FREESHIP"/>
    <n v="0"/>
    <s v="REG101397"/>
    <s v="Cust 1081"/>
    <n v="49.71"/>
    <d v="2023-01-04T00:00:00"/>
    <d v="2023-01-08T00:00:00"/>
    <s v="Wendy"/>
    <n v="4767.3078749999986"/>
    <n v="6598.3499999999995"/>
    <n v="1831.0421250000009"/>
    <x v="2"/>
    <x v="6"/>
  </r>
  <r>
    <d v="2023-05-02T00:00:00"/>
    <x v="4"/>
    <x v="4"/>
    <s v="Monitor"/>
    <s v="Monitor"/>
    <x v="0"/>
    <n v="16"/>
    <n v="483.09"/>
    <s v="Store C"/>
    <s v="Wholesale"/>
    <n v="0.05"/>
    <x v="1"/>
    <n v="7342.9679999999989"/>
    <s v="Debit Card"/>
    <m/>
    <n v="1"/>
    <s v="REG101398"/>
    <s v="Cust 5049"/>
    <n v="37.659999999999997"/>
    <d v="2023-05-02T00:00:00"/>
    <d v="2023-05-05T00:00:00"/>
    <s v="Wendy"/>
    <n v="6975.8195999999989"/>
    <n v="7729.44"/>
    <n v="753.6204000000007"/>
    <x v="1"/>
    <x v="2"/>
  </r>
  <r>
    <d v="2023-07-09T00:00:00"/>
    <x v="0"/>
    <x v="1"/>
    <s v="Phone"/>
    <s v="Phone"/>
    <x v="0"/>
    <n v="13"/>
    <n v="27.39"/>
    <s v="Store B"/>
    <s v="Retail"/>
    <n v="0.15"/>
    <x v="2"/>
    <n v="302.65949999999998"/>
    <s v="Cash"/>
    <m/>
    <n v="0"/>
    <s v="REG101399"/>
    <s v="Cust 5409"/>
    <n v="22.95"/>
    <d v="2023-07-09T00:00:00"/>
    <d v="2023-07-14T00:00:00"/>
    <s v="Eric"/>
    <n v="257.26057499999996"/>
    <n v="356.07"/>
    <n v="98.809425000000033"/>
    <x v="2"/>
    <x v="11"/>
  </r>
  <r>
    <d v="2025-02-27T00:00:00"/>
    <x v="0"/>
    <x v="4"/>
    <s v="Monitor"/>
    <s v="Monitor"/>
    <x v="0"/>
    <n v="18"/>
    <n v="432.52"/>
    <s v="Store D"/>
    <s v="Retail"/>
    <n v="0.05"/>
    <x v="5"/>
    <n v="7396.0919999999996"/>
    <s v="Credit Card"/>
    <s v="SAVE10"/>
    <n v="1"/>
    <s v="REG101400"/>
    <s v="Cust 2372"/>
    <n v="34.19"/>
    <d v="2025-02-27T00:00:00"/>
    <d v="2025-03-04T00:00:00"/>
    <s v="Eric"/>
    <n v="7026.2873999999993"/>
    <n v="7785.36"/>
    <n v="759.07260000000042"/>
    <x v="1"/>
    <x v="3"/>
  </r>
  <r>
    <d v="2024-09-23T00:00:00"/>
    <x v="4"/>
    <x v="6"/>
    <s v="Printer"/>
    <s v="Printer"/>
    <x v="2"/>
    <n v="3"/>
    <n v="360.93"/>
    <s v="Store B"/>
    <s v="Wholesale"/>
    <n v="0.15"/>
    <x v="4"/>
    <n v="920.37149999999997"/>
    <s v="Debit Card"/>
    <s v="WINTER15"/>
    <n v="0"/>
    <s v="REG101401"/>
    <s v="Cust 2741"/>
    <n v="35.61"/>
    <d v="2024-09-23T00:00:00"/>
    <d v="2024-09-29T00:00:00"/>
    <s v="Wendy"/>
    <n v="782.31577499999992"/>
    <n v="1082.79"/>
    <n v="300.47422500000005"/>
    <x v="2"/>
    <x v="26"/>
  </r>
  <r>
    <d v="2025-06-22T00:00:00"/>
    <x v="0"/>
    <x v="5"/>
    <s v="Tablet"/>
    <s v="Tablet"/>
    <x v="0"/>
    <n v="5"/>
    <n v="414.58"/>
    <s v="Store B"/>
    <s v="Retail"/>
    <n v="0.1"/>
    <x v="4"/>
    <n v="1865.61"/>
    <s v="Gift Card"/>
    <m/>
    <n v="0"/>
    <s v="REG101402"/>
    <s v="Cust 2571"/>
    <n v="14.98"/>
    <d v="2025-06-22T00:00:00"/>
    <d v="2025-07-01T00:00:00"/>
    <s v="Eric"/>
    <n v="1679.049"/>
    <n v="2072.9"/>
    <n v="393.85100000000011"/>
    <x v="1"/>
    <x v="16"/>
  </r>
  <r>
    <d v="2025-01-19T00:00:00"/>
    <x v="3"/>
    <x v="5"/>
    <s v="Tablet"/>
    <s v="Tablet"/>
    <x v="0"/>
    <n v="4"/>
    <n v="68.040000000000006"/>
    <s v="Store C"/>
    <s v="Wholesale"/>
    <n v="0"/>
    <x v="5"/>
    <n v="272.16000000000003"/>
    <s v="Online"/>
    <s v="FREESHIP"/>
    <n v="0"/>
    <s v="REG101403"/>
    <s v="Cust 6301"/>
    <n v="18.72"/>
    <d v="2025-01-19T00:00:00"/>
    <d v="2025-01-28T00:00:00"/>
    <s v="Cameron"/>
    <n v="272.16000000000003"/>
    <n v="272.16000000000003"/>
    <n v="0"/>
    <x v="0"/>
    <x v="12"/>
  </r>
  <r>
    <d v="2025-02-03T00:00:00"/>
    <x v="0"/>
    <x v="1"/>
    <s v="Phone"/>
    <s v="Phone"/>
    <x v="0"/>
    <n v="10"/>
    <n v="407.99"/>
    <s v="Store C"/>
    <s v="Retail"/>
    <n v="0.15"/>
    <x v="0"/>
    <n v="3467.915"/>
    <s v="Cash"/>
    <m/>
    <n v="0"/>
    <s v="REG101404"/>
    <s v="Cust 7918"/>
    <n v="49.59"/>
    <d v="2025-02-03T00:00:00"/>
    <d v="2025-02-08T00:00:00"/>
    <s v="Eric"/>
    <n v="2947.72775"/>
    <n v="4079.9"/>
    <n v="1132.1722500000001"/>
    <x v="2"/>
    <x v="3"/>
  </r>
  <r>
    <d v="2023-11-11T00:00:00"/>
    <x v="0"/>
    <x v="5"/>
    <s v="Tablet"/>
    <s v="Tablet"/>
    <x v="0"/>
    <n v="15"/>
    <n v="274.77"/>
    <s v="Store D"/>
    <s v="Retail"/>
    <n v="0"/>
    <x v="0"/>
    <n v="4121.5499999999993"/>
    <s v="Cash"/>
    <m/>
    <n v="1"/>
    <s v="REG101405"/>
    <s v="Cust 3456"/>
    <n v="19.37"/>
    <d v="2023-11-11T00:00:00"/>
    <d v="2023-11-17T00:00:00"/>
    <s v="Eric"/>
    <n v="4121.5499999999993"/>
    <n v="4121.5499999999993"/>
    <n v="0"/>
    <x v="0"/>
    <x v="15"/>
  </r>
  <r>
    <d v="2024-05-08T00:00:00"/>
    <x v="0"/>
    <x v="2"/>
    <s v="Desk"/>
    <s v="Desk"/>
    <x v="1"/>
    <n v="15"/>
    <n v="31.81"/>
    <s v="Store C"/>
    <s v="Wholesale"/>
    <n v="0.15"/>
    <x v="0"/>
    <n v="405.57749999999999"/>
    <s v="Cash"/>
    <s v="SAVE10"/>
    <n v="0"/>
    <s v="REG101406"/>
    <s v="Cust 8272"/>
    <n v="23.61"/>
    <d v="2024-05-08T00:00:00"/>
    <d v="2024-05-10T00:00:00"/>
    <s v="Eric"/>
    <n v="344.74087499999996"/>
    <n v="477.15"/>
    <n v="132.40912500000002"/>
    <x v="2"/>
    <x v="14"/>
  </r>
  <r>
    <d v="2023-09-18T00:00:00"/>
    <x v="1"/>
    <x v="6"/>
    <s v="Printer"/>
    <s v="Printer"/>
    <x v="2"/>
    <n v="14"/>
    <n v="268.32"/>
    <s v="Store D"/>
    <s v="Retail"/>
    <n v="0"/>
    <x v="2"/>
    <n v="3756.48"/>
    <s v="Online"/>
    <s v="WINTER15"/>
    <n v="0"/>
    <s v="REG101407"/>
    <s v="Cust 7302"/>
    <n v="43.14"/>
    <d v="2023-09-18T00:00:00"/>
    <d v="2023-09-27T00:00:00"/>
    <s v="Sophie"/>
    <n v="3756.48"/>
    <n v="3756.48"/>
    <n v="0"/>
    <x v="0"/>
    <x v="22"/>
  </r>
  <r>
    <d v="2025-04-05T00:00:00"/>
    <x v="3"/>
    <x v="5"/>
    <s v="Tablet"/>
    <s v="Tablet"/>
    <x v="0"/>
    <n v="19"/>
    <n v="350.12"/>
    <s v="Store D"/>
    <s v="Retail"/>
    <n v="0.05"/>
    <x v="1"/>
    <n v="6319.6659999999993"/>
    <s v="Credit Card"/>
    <s v="FREESHIP"/>
    <n v="0"/>
    <s v="REG101408"/>
    <s v="Cust 6716"/>
    <n v="48.98"/>
    <d v="2025-04-05T00:00:00"/>
    <d v="2025-04-13T00:00:00"/>
    <s v="Cameron"/>
    <n v="6003.6826999999994"/>
    <n v="6652.28"/>
    <n v="648.59730000000036"/>
    <x v="1"/>
    <x v="28"/>
  </r>
  <r>
    <d v="2023-09-13T00:00:00"/>
    <x v="3"/>
    <x v="2"/>
    <s v="Desk"/>
    <s v="Desk"/>
    <x v="1"/>
    <n v="9"/>
    <n v="329.15"/>
    <s v="Store A"/>
    <s v="Retail"/>
    <n v="0.05"/>
    <x v="4"/>
    <n v="2814.2325000000001"/>
    <s v="Gift Card"/>
    <s v="FREESHIP"/>
    <n v="0"/>
    <s v="REG101409"/>
    <s v="Cust 5484"/>
    <n v="29.41"/>
    <d v="2023-09-13T00:00:00"/>
    <d v="2023-09-15T00:00:00"/>
    <s v="Cameron"/>
    <n v="2673.5208750000002"/>
    <n v="2962.35"/>
    <n v="288.82912499999975"/>
    <x v="1"/>
    <x v="22"/>
  </r>
  <r>
    <d v="2024-06-28T00:00:00"/>
    <x v="0"/>
    <x v="4"/>
    <s v="Monitor"/>
    <s v="Monitor"/>
    <x v="0"/>
    <n v="1"/>
    <n v="577.07000000000005"/>
    <s v="Store C"/>
    <s v="Wholesale"/>
    <n v="0.05"/>
    <x v="2"/>
    <n v="548.2165"/>
    <s v="Online"/>
    <s v="WINTER15"/>
    <n v="0"/>
    <s v="REG101410"/>
    <s v="Cust 4652"/>
    <n v="22.97"/>
    <d v="2024-06-28T00:00:00"/>
    <d v="2024-07-06T00:00:00"/>
    <s v="Eric"/>
    <n v="520.80567499999995"/>
    <n v="577.07000000000005"/>
    <n v="56.264325000000099"/>
    <x v="1"/>
    <x v="23"/>
  </r>
  <r>
    <d v="2023-04-06T00:00:00"/>
    <x v="3"/>
    <x v="3"/>
    <s v="Chair"/>
    <s v="Chair"/>
    <x v="1"/>
    <n v="6"/>
    <n v="544.33000000000004"/>
    <s v="Store B"/>
    <s v="Wholesale"/>
    <n v="0.1"/>
    <x v="3"/>
    <n v="2939.382000000001"/>
    <s v="Cash"/>
    <m/>
    <n v="0"/>
    <s v="REG101411"/>
    <s v="Cust 1222"/>
    <n v="11.52"/>
    <d v="2023-04-06T00:00:00"/>
    <d v="2023-04-08T00:00:00"/>
    <s v="Cameron"/>
    <n v="2645.4438000000009"/>
    <n v="3265.9800000000005"/>
    <n v="620.53619999999955"/>
    <x v="1"/>
    <x v="21"/>
  </r>
  <r>
    <d v="2023-05-13T00:00:00"/>
    <x v="1"/>
    <x v="0"/>
    <s v="Laptop"/>
    <s v="Laptop"/>
    <x v="0"/>
    <n v="18"/>
    <n v="331.45"/>
    <s v="Store D"/>
    <s v="Retail"/>
    <n v="0.15"/>
    <x v="1"/>
    <n v="5071.1849999999986"/>
    <s v="Cash"/>
    <s v="WINTER15"/>
    <n v="1"/>
    <s v="REG101412"/>
    <s v="Cust 3559"/>
    <n v="32.92"/>
    <d v="2023-05-13T00:00:00"/>
    <d v="2023-05-18T00:00:00"/>
    <s v="Sophie"/>
    <n v="4310.5072499999987"/>
    <n v="5966.0999999999995"/>
    <n v="1655.5927500000007"/>
    <x v="2"/>
    <x v="2"/>
  </r>
  <r>
    <d v="2025-05-07T00:00:00"/>
    <x v="0"/>
    <x v="0"/>
    <s v="Laptop"/>
    <s v="Laptop"/>
    <x v="0"/>
    <n v="1"/>
    <n v="421.26"/>
    <s v="Store D"/>
    <s v="Retail"/>
    <n v="0.1"/>
    <x v="0"/>
    <n v="379.13400000000001"/>
    <s v="Debit Card"/>
    <s v="FREESHIP"/>
    <n v="0"/>
    <s v="REG101413"/>
    <s v="Cust 1287"/>
    <n v="36.340000000000003"/>
    <d v="2025-05-07T00:00:00"/>
    <d v="2025-05-15T00:00:00"/>
    <s v="Eric"/>
    <n v="341.22060000000005"/>
    <n v="421.26"/>
    <n v="80.039399999999944"/>
    <x v="1"/>
    <x v="13"/>
  </r>
  <r>
    <d v="2025-03-22T00:00:00"/>
    <x v="2"/>
    <x v="5"/>
    <s v="Tablet"/>
    <s v="Tablet"/>
    <x v="0"/>
    <n v="4"/>
    <n v="555.02"/>
    <s v="Store B"/>
    <s v="Retail"/>
    <n v="0.1"/>
    <x v="4"/>
    <n v="1998.0719999999999"/>
    <s v="Cash"/>
    <s v="SAVE10"/>
    <n v="0"/>
    <s v="REG101414"/>
    <s v="Cust 5444"/>
    <n v="45.25"/>
    <d v="2025-03-22T00:00:00"/>
    <d v="2025-03-27T00:00:00"/>
    <s v="Ryan"/>
    <n v="1798.2647999999999"/>
    <n v="2220.08"/>
    <n v="421.8152"/>
    <x v="1"/>
    <x v="8"/>
  </r>
  <r>
    <d v="2024-06-24T00:00:00"/>
    <x v="1"/>
    <x v="0"/>
    <s v="Laptop"/>
    <s v="Laptop"/>
    <x v="0"/>
    <n v="19"/>
    <n v="254.03"/>
    <s v="Store C"/>
    <s v="Wholesale"/>
    <n v="0"/>
    <x v="2"/>
    <n v="4826.57"/>
    <s v="Online"/>
    <s v="SAVE10"/>
    <n v="1"/>
    <s v="REG101415"/>
    <s v="Cust 4018"/>
    <n v="11.21"/>
    <d v="2024-06-24T00:00:00"/>
    <d v="2024-07-02T00:00:00"/>
    <s v="Sophie"/>
    <n v="4826.57"/>
    <n v="4826.57"/>
    <n v="0"/>
    <x v="0"/>
    <x v="23"/>
  </r>
  <r>
    <d v="2025-06-29T00:00:00"/>
    <x v="4"/>
    <x v="5"/>
    <s v="Tablet"/>
    <s v="Tablet"/>
    <x v="0"/>
    <n v="9"/>
    <n v="533.92999999999995"/>
    <s v="Store D"/>
    <s v="Retail"/>
    <n v="0.15"/>
    <x v="2"/>
    <n v="4084.5645"/>
    <s v="Gift Card"/>
    <m/>
    <n v="0"/>
    <s v="REG101416"/>
    <s v="Cust 6355"/>
    <n v="34.76"/>
    <d v="2025-06-29T00:00:00"/>
    <d v="2025-07-03T00:00:00"/>
    <s v="Wendy"/>
    <n v="3471.879825"/>
    <n v="4805.37"/>
    <n v="1333.4901749999999"/>
    <x v="2"/>
    <x v="16"/>
  </r>
  <r>
    <d v="2024-04-01T00:00:00"/>
    <x v="4"/>
    <x v="2"/>
    <s v="Desk"/>
    <s v="Desk"/>
    <x v="1"/>
    <n v="7"/>
    <n v="241.35"/>
    <s v="Store B"/>
    <s v="Wholesale"/>
    <n v="0.1"/>
    <x v="4"/>
    <n v="1520.5050000000001"/>
    <s v="Credit Card"/>
    <s v="SAVE10"/>
    <n v="0"/>
    <s v="REG101417"/>
    <s v="Cust 6620"/>
    <n v="42.43"/>
    <d v="2024-04-01T00:00:00"/>
    <d v="2024-04-10T00:00:00"/>
    <s v="Wendy"/>
    <n v="1368.4545000000001"/>
    <n v="1689.45"/>
    <n v="320.99549999999999"/>
    <x v="1"/>
    <x v="9"/>
  </r>
  <r>
    <d v="2024-06-04T00:00:00"/>
    <x v="2"/>
    <x v="5"/>
    <s v="Tablet"/>
    <s v="Tablet"/>
    <x v="0"/>
    <n v="11"/>
    <n v="160.37"/>
    <s v="Store B"/>
    <s v="Wholesale"/>
    <n v="0.05"/>
    <x v="3"/>
    <n v="1675.8665000000001"/>
    <s v="Cash"/>
    <m/>
    <n v="0"/>
    <s v="REG101418"/>
    <s v="Cust 4092"/>
    <n v="36.049999999999997"/>
    <d v="2024-06-04T00:00:00"/>
    <d v="2024-06-14T00:00:00"/>
    <s v="Ryan"/>
    <n v="1592.073175"/>
    <n v="1764.0700000000002"/>
    <n v="171.99682500000017"/>
    <x v="1"/>
    <x v="23"/>
  </r>
  <r>
    <d v="2023-03-30T00:00:00"/>
    <x v="0"/>
    <x v="5"/>
    <s v="Tablet"/>
    <s v="Tablet"/>
    <x v="0"/>
    <n v="1"/>
    <n v="419.1"/>
    <s v="Store B"/>
    <s v="Wholesale"/>
    <n v="0.1"/>
    <x v="3"/>
    <n v="377.19000000000011"/>
    <s v="Gift Card"/>
    <s v="SAVE10"/>
    <n v="1"/>
    <s v="REG101419"/>
    <s v="Cust 4812"/>
    <n v="38.81"/>
    <d v="2023-03-30T00:00:00"/>
    <d v="2023-04-06T00:00:00"/>
    <s v="Eric"/>
    <n v="339.47100000000012"/>
    <n v="419.1"/>
    <n v="79.628999999999905"/>
    <x v="1"/>
    <x v="17"/>
  </r>
  <r>
    <d v="2025-03-26T00:00:00"/>
    <x v="0"/>
    <x v="0"/>
    <s v="Laptop"/>
    <s v="Laptop"/>
    <x v="0"/>
    <n v="13"/>
    <n v="138.72"/>
    <s v="Store D"/>
    <s v="Wholesale"/>
    <n v="0.15"/>
    <x v="3"/>
    <n v="1532.856"/>
    <s v="Cash"/>
    <s v="WINTER15"/>
    <n v="1"/>
    <s v="REG101420"/>
    <s v="Cust 8389"/>
    <n v="17.89"/>
    <d v="2025-03-26T00:00:00"/>
    <d v="2025-03-28T00:00:00"/>
    <s v="Eric"/>
    <n v="1302.9276"/>
    <n v="1803.36"/>
    <n v="500.43239999999992"/>
    <x v="2"/>
    <x v="8"/>
  </r>
  <r>
    <d v="2023-08-22T00:00:00"/>
    <x v="4"/>
    <x v="4"/>
    <s v="Monitor"/>
    <s v="Monitor"/>
    <x v="0"/>
    <n v="8"/>
    <n v="461.04"/>
    <s v="Store B"/>
    <s v="Retail"/>
    <n v="0"/>
    <x v="1"/>
    <n v="3688.32"/>
    <s v="Online"/>
    <s v="FREESHIP"/>
    <n v="0"/>
    <s v="REG101421"/>
    <s v="Cust 4529"/>
    <n v="13.62"/>
    <d v="2023-08-22T00:00:00"/>
    <d v="2023-08-24T00:00:00"/>
    <s v="Wendy"/>
    <n v="3688.32"/>
    <n v="3688.32"/>
    <n v="0"/>
    <x v="0"/>
    <x v="18"/>
  </r>
  <r>
    <d v="2024-04-16T00:00:00"/>
    <x v="1"/>
    <x v="1"/>
    <s v="Phone"/>
    <s v="Phone"/>
    <x v="0"/>
    <n v="6"/>
    <n v="524.19000000000005"/>
    <s v="Store D"/>
    <s v="Retail"/>
    <n v="0.15"/>
    <x v="2"/>
    <n v="2673.3690000000001"/>
    <s v="Cash"/>
    <s v="WINTER15"/>
    <n v="0"/>
    <s v="REG101422"/>
    <s v="Cust 2365"/>
    <n v="31.04"/>
    <d v="2024-04-16T00:00:00"/>
    <d v="2024-04-20T00:00:00"/>
    <s v="Sophie"/>
    <n v="2272.3636500000002"/>
    <n v="3145.1400000000003"/>
    <n v="872.77635000000009"/>
    <x v="2"/>
    <x v="9"/>
  </r>
  <r>
    <d v="2025-05-11T00:00:00"/>
    <x v="3"/>
    <x v="3"/>
    <s v="Chair"/>
    <s v="Chair"/>
    <x v="1"/>
    <n v="16"/>
    <n v="305.20999999999998"/>
    <s v="Store A"/>
    <s v="Wholesale"/>
    <n v="0.1"/>
    <x v="1"/>
    <n v="4395.0239999999994"/>
    <s v="Debit Card"/>
    <s v="SAVE10"/>
    <n v="0"/>
    <s v="REG101423"/>
    <s v="Cust 6361"/>
    <n v="33.369999999999997"/>
    <d v="2025-05-11T00:00:00"/>
    <d v="2025-05-19T00:00:00"/>
    <s v="Cameron"/>
    <n v="3955.5215999999996"/>
    <n v="4883.3599999999997"/>
    <n v="927.83840000000009"/>
    <x v="1"/>
    <x v="13"/>
  </r>
  <r>
    <d v="2023-12-11T00:00:00"/>
    <x v="2"/>
    <x v="6"/>
    <s v="Printer"/>
    <s v="Printer"/>
    <x v="2"/>
    <n v="16"/>
    <n v="438.71"/>
    <s v="Store C"/>
    <s v="Retail"/>
    <n v="0"/>
    <x v="1"/>
    <n v="7019.36"/>
    <s v="Online"/>
    <m/>
    <n v="0"/>
    <s v="REG101424"/>
    <s v="Cust 4228"/>
    <n v="6.53"/>
    <d v="2023-12-11T00:00:00"/>
    <d v="2023-12-21T00:00:00"/>
    <s v="Ryan"/>
    <n v="7019.36"/>
    <n v="7019.36"/>
    <n v="0"/>
    <x v="0"/>
    <x v="27"/>
  </r>
  <r>
    <d v="2023-01-16T00:00:00"/>
    <x v="2"/>
    <x v="6"/>
    <s v="Printer"/>
    <s v="Printer"/>
    <x v="2"/>
    <n v="10"/>
    <n v="193.96"/>
    <s v="Store D"/>
    <s v="Wholesale"/>
    <n v="0.1"/>
    <x v="1"/>
    <n v="1745.64"/>
    <s v="Gift Card"/>
    <m/>
    <n v="0"/>
    <s v="REG101425"/>
    <s v="Cust 3940"/>
    <n v="41.3"/>
    <d v="2023-01-16T00:00:00"/>
    <d v="2023-01-21T00:00:00"/>
    <s v="Ryan"/>
    <n v="1571.076"/>
    <n v="1939.6000000000001"/>
    <n v="368.52400000000011"/>
    <x v="1"/>
    <x v="6"/>
  </r>
  <r>
    <d v="2023-05-10T00:00:00"/>
    <x v="0"/>
    <x v="1"/>
    <s v="Phone"/>
    <s v="Phone"/>
    <x v="0"/>
    <n v="18"/>
    <n v="580.41999999999996"/>
    <s v="Store A"/>
    <s v="Wholesale"/>
    <n v="0.05"/>
    <x v="5"/>
    <n v="9925.1819999999989"/>
    <s v="Online"/>
    <s v="SAVE10"/>
    <n v="0"/>
    <s v="REG101426"/>
    <s v="Cust 4392"/>
    <n v="37.81"/>
    <d v="2023-05-10T00:00:00"/>
    <d v="2023-05-17T00:00:00"/>
    <s v="Eric"/>
    <n v="9428.9228999999978"/>
    <n v="10447.56"/>
    <n v="1018.6371000000017"/>
    <x v="1"/>
    <x v="2"/>
  </r>
  <r>
    <d v="2024-06-22T00:00:00"/>
    <x v="3"/>
    <x v="4"/>
    <s v="Monitor"/>
    <s v="Monitor"/>
    <x v="0"/>
    <n v="18"/>
    <n v="91.55"/>
    <s v="Store C"/>
    <s v="Retail"/>
    <n v="0.1"/>
    <x v="1"/>
    <n v="1483.11"/>
    <s v="Debit Card"/>
    <s v="FREESHIP"/>
    <n v="0"/>
    <s v="REG101427"/>
    <s v="Cust 4404"/>
    <n v="32.54"/>
    <d v="2024-06-22T00:00:00"/>
    <d v="2024-06-29T00:00:00"/>
    <s v="Cameron"/>
    <n v="1334.799"/>
    <n v="1647.8999999999999"/>
    <n v="313.10099999999989"/>
    <x v="1"/>
    <x v="23"/>
  </r>
  <r>
    <d v="2025-03-29T00:00:00"/>
    <x v="4"/>
    <x v="5"/>
    <s v="Tablet"/>
    <s v="Tablet"/>
    <x v="0"/>
    <n v="13"/>
    <n v="113.78"/>
    <s v="Store C"/>
    <s v="Wholesale"/>
    <n v="0.1"/>
    <x v="0"/>
    <n v="1331.2260000000001"/>
    <s v="Online"/>
    <s v="FREESHIP"/>
    <n v="0"/>
    <s v="REG101428"/>
    <s v="Cust 2981"/>
    <n v="28.07"/>
    <d v="2025-03-29T00:00:00"/>
    <d v="2025-04-07T00:00:00"/>
    <s v="Wendy"/>
    <n v="1198.1034000000002"/>
    <n v="1479.14"/>
    <n v="281.03659999999991"/>
    <x v="1"/>
    <x v="8"/>
  </r>
  <r>
    <d v="2023-04-18T00:00:00"/>
    <x v="2"/>
    <x v="5"/>
    <s v="Tablet"/>
    <s v="Tablet"/>
    <x v="0"/>
    <n v="16"/>
    <n v="477.91"/>
    <s v="Store A"/>
    <s v="Wholesale"/>
    <n v="0"/>
    <x v="3"/>
    <n v="7646.56"/>
    <s v="Credit Card"/>
    <s v="WINTER15"/>
    <n v="0"/>
    <s v="REG101429"/>
    <s v="Cust 3571"/>
    <n v="21.89"/>
    <d v="2023-04-18T00:00:00"/>
    <d v="2023-04-23T00:00:00"/>
    <s v="Ryan"/>
    <n v="7646.56"/>
    <n v="7646.56"/>
    <n v="0"/>
    <x v="0"/>
    <x v="21"/>
  </r>
  <r>
    <d v="2023-02-07T00:00:00"/>
    <x v="3"/>
    <x v="0"/>
    <s v="Laptop"/>
    <s v="Laptop"/>
    <x v="0"/>
    <n v="14"/>
    <n v="306.39"/>
    <s v="Store A"/>
    <s v="Retail"/>
    <n v="0.1"/>
    <x v="0"/>
    <n v="3860.5140000000001"/>
    <s v="Cash"/>
    <s v="WINTER15"/>
    <n v="0"/>
    <s v="REG101430"/>
    <s v="Cust 2592"/>
    <n v="38.729999999999997"/>
    <d v="2023-02-07T00:00:00"/>
    <d v="2023-02-09T00:00:00"/>
    <s v="Cameron"/>
    <n v="3474.4626000000003"/>
    <n v="4289.46"/>
    <n v="814.99739999999974"/>
    <x v="1"/>
    <x v="0"/>
  </r>
  <r>
    <d v="2025-01-22T00:00:00"/>
    <x v="0"/>
    <x v="5"/>
    <s v="Tablet"/>
    <s v="Tablet"/>
    <x v="0"/>
    <n v="17"/>
    <n v="8.33"/>
    <s v="Store A"/>
    <s v="Retail"/>
    <n v="0.05"/>
    <x v="0"/>
    <n v="134.52950000000001"/>
    <s v="Cash"/>
    <m/>
    <n v="0"/>
    <s v="REG101431"/>
    <s v="Cust 6209"/>
    <n v="43.29"/>
    <d v="2025-01-22T00:00:00"/>
    <d v="2025-01-25T00:00:00"/>
    <s v="Eric"/>
    <n v="127.80302500000001"/>
    <n v="141.61000000000001"/>
    <n v="13.806975000000008"/>
    <x v="1"/>
    <x v="12"/>
  </r>
  <r>
    <d v="2023-07-04T00:00:00"/>
    <x v="0"/>
    <x v="1"/>
    <s v="Phone"/>
    <s v="Phone"/>
    <x v="0"/>
    <n v="6"/>
    <n v="346.86"/>
    <s v="Store C"/>
    <s v="Retail"/>
    <n v="0.05"/>
    <x v="0"/>
    <n v="1977.1020000000001"/>
    <s v="Gift Card"/>
    <s v="FREESHIP"/>
    <n v="0"/>
    <s v="REG101432"/>
    <s v="Cust 6600"/>
    <n v="29.18"/>
    <d v="2023-07-04T00:00:00"/>
    <d v="2023-07-12T00:00:00"/>
    <s v="Eric"/>
    <n v="1878.2469000000001"/>
    <n v="2081.16"/>
    <n v="202.91309999999976"/>
    <x v="1"/>
    <x v="11"/>
  </r>
  <r>
    <d v="2023-07-31T00:00:00"/>
    <x v="3"/>
    <x v="2"/>
    <s v="Desk"/>
    <s v="Desk"/>
    <x v="1"/>
    <n v="14"/>
    <n v="223.26"/>
    <s v="Store B"/>
    <s v="Wholesale"/>
    <n v="0.1"/>
    <x v="1"/>
    <n v="2813.076"/>
    <s v="Credit Card"/>
    <s v="WINTER15"/>
    <n v="0"/>
    <s v="REG101433"/>
    <s v="Cust 6899"/>
    <n v="12.88"/>
    <d v="2023-07-31T00:00:00"/>
    <d v="2023-08-03T00:00:00"/>
    <s v="Cameron"/>
    <n v="2531.7683999999999"/>
    <n v="3125.64"/>
    <n v="593.87159999999994"/>
    <x v="1"/>
    <x v="11"/>
  </r>
  <r>
    <d v="2023-04-20T00:00:00"/>
    <x v="2"/>
    <x v="2"/>
    <s v="Desk"/>
    <s v="Desk"/>
    <x v="1"/>
    <n v="6"/>
    <n v="529.1"/>
    <s v="Store D"/>
    <s v="Wholesale"/>
    <n v="0"/>
    <x v="0"/>
    <n v="3174.6"/>
    <s v="Debit Card"/>
    <s v="WINTER15"/>
    <n v="0"/>
    <s v="REG101434"/>
    <s v="Cust 1563"/>
    <n v="5.13"/>
    <d v="2023-04-20T00:00:00"/>
    <d v="2023-04-27T00:00:00"/>
    <s v="Ryan"/>
    <n v="3174.6"/>
    <n v="3174.6000000000004"/>
    <n v="0"/>
    <x v="0"/>
    <x v="21"/>
  </r>
  <r>
    <d v="2024-10-08T00:00:00"/>
    <x v="3"/>
    <x v="5"/>
    <s v="Tablet"/>
    <s v="Tablet"/>
    <x v="0"/>
    <n v="11"/>
    <n v="97.34"/>
    <s v="Store D"/>
    <s v="Wholesale"/>
    <n v="0.1"/>
    <x v="3"/>
    <n v="963.66600000000005"/>
    <s v="Debit Card"/>
    <s v="SAVE10"/>
    <n v="0"/>
    <s v="REG101435"/>
    <s v="Cust 6733"/>
    <n v="10.61"/>
    <d v="2024-10-08T00:00:00"/>
    <d v="2024-10-11T00:00:00"/>
    <s v="Cameron"/>
    <n v="867.29940000000011"/>
    <n v="1070.74"/>
    <n v="203.4405999999999"/>
    <x v="1"/>
    <x v="7"/>
  </r>
  <r>
    <d v="2024-01-25T00:00:00"/>
    <x v="0"/>
    <x v="3"/>
    <s v="Chair"/>
    <s v="Chair"/>
    <x v="1"/>
    <n v="11"/>
    <n v="422.89"/>
    <s v="Store B"/>
    <s v="Retail"/>
    <n v="0.1"/>
    <x v="2"/>
    <n v="4186.6109999999999"/>
    <s v="Credit Card"/>
    <s v="SAVE10"/>
    <n v="0"/>
    <s v="REG101436"/>
    <s v="Cust 7635"/>
    <n v="45.89"/>
    <d v="2024-01-25T00:00:00"/>
    <d v="2024-01-27T00:00:00"/>
    <s v="Eric"/>
    <n v="3767.9499000000001"/>
    <n v="4651.79"/>
    <n v="883.84009999999989"/>
    <x v="1"/>
    <x v="24"/>
  </r>
  <r>
    <d v="2024-12-16T00:00:00"/>
    <x v="1"/>
    <x v="4"/>
    <s v="Monitor"/>
    <s v="Monitor"/>
    <x v="0"/>
    <n v="4"/>
    <n v="557.16999999999996"/>
    <s v="Store C"/>
    <s v="Wholesale"/>
    <n v="0.05"/>
    <x v="2"/>
    <n v="2117.2460000000001"/>
    <s v="Credit Card"/>
    <m/>
    <n v="0"/>
    <s v="REG101437"/>
    <s v="Cust 4354"/>
    <n v="32.159999999999997"/>
    <d v="2024-12-16T00:00:00"/>
    <d v="2024-12-25T00:00:00"/>
    <s v="Sophie"/>
    <n v="2011.3837000000001"/>
    <n v="2228.6799999999998"/>
    <n v="217.29629999999975"/>
    <x v="1"/>
    <x v="1"/>
  </r>
  <r>
    <d v="2024-10-24T00:00:00"/>
    <x v="3"/>
    <x v="6"/>
    <s v="Printer"/>
    <s v="Printer"/>
    <x v="2"/>
    <n v="9"/>
    <n v="459.65"/>
    <s v="Store B"/>
    <s v="Retail"/>
    <n v="0.1"/>
    <x v="5"/>
    <n v="3723.165"/>
    <s v="Gift Card"/>
    <s v="WINTER15"/>
    <n v="1"/>
    <s v="REG101438"/>
    <s v="Cust 1462"/>
    <n v="22.24"/>
    <d v="2024-10-24T00:00:00"/>
    <d v="2024-11-01T00:00:00"/>
    <s v="Cameron"/>
    <n v="3350.8485000000001"/>
    <n v="4136.8499999999995"/>
    <n v="786.0014999999994"/>
    <x v="1"/>
    <x v="7"/>
  </r>
  <r>
    <d v="2023-11-16T00:00:00"/>
    <x v="4"/>
    <x v="4"/>
    <s v="Monitor"/>
    <s v="Monitor"/>
    <x v="0"/>
    <n v="8"/>
    <n v="493.35"/>
    <s v="Store A"/>
    <s v="Retail"/>
    <n v="0.1"/>
    <x v="1"/>
    <n v="3552.12"/>
    <s v="Cash"/>
    <s v="FREESHIP"/>
    <n v="1"/>
    <s v="REG101439"/>
    <s v="Cust 1376"/>
    <n v="12.86"/>
    <d v="2023-11-16T00:00:00"/>
    <d v="2023-11-20T00:00:00"/>
    <s v="Wendy"/>
    <n v="3196.9079999999999"/>
    <n v="3946.8"/>
    <n v="749.89200000000028"/>
    <x v="1"/>
    <x v="15"/>
  </r>
  <r>
    <d v="2024-03-31T00:00:00"/>
    <x v="1"/>
    <x v="0"/>
    <s v="Laptop"/>
    <s v="Laptop"/>
    <x v="0"/>
    <n v="13"/>
    <n v="428.59"/>
    <s v="Store D"/>
    <s v="Retail"/>
    <n v="0"/>
    <x v="5"/>
    <n v="5571.67"/>
    <s v="Cash"/>
    <s v="FREESHIP"/>
    <n v="0"/>
    <s v="REG101440"/>
    <s v="Cust 6542"/>
    <n v="23.89"/>
    <d v="2024-03-31T00:00:00"/>
    <d v="2024-04-08T00:00:00"/>
    <s v="Sophie"/>
    <n v="5571.67"/>
    <n v="5571.67"/>
    <n v="0"/>
    <x v="0"/>
    <x v="25"/>
  </r>
  <r>
    <d v="2023-02-13T00:00:00"/>
    <x v="0"/>
    <x v="0"/>
    <s v="Laptop"/>
    <s v="Laptop"/>
    <x v="0"/>
    <n v="7"/>
    <n v="242.11"/>
    <s v="Store C"/>
    <s v="Wholesale"/>
    <n v="0.05"/>
    <x v="0"/>
    <n v="1610.0315000000001"/>
    <s v="Debit Card"/>
    <s v="WINTER15"/>
    <n v="0"/>
    <s v="REG101441"/>
    <s v="Cust 1186"/>
    <n v="47.19"/>
    <d v="2023-02-13T00:00:00"/>
    <d v="2023-02-18T00:00:00"/>
    <s v="Eric"/>
    <n v="1529.529925"/>
    <n v="1694.77"/>
    <n v="165.24007499999993"/>
    <x v="1"/>
    <x v="0"/>
  </r>
  <r>
    <d v="2023-09-20T00:00:00"/>
    <x v="1"/>
    <x v="5"/>
    <s v="Tablet"/>
    <s v="Tablet"/>
    <x v="0"/>
    <n v="17"/>
    <n v="477.38"/>
    <s v="Store C"/>
    <s v="Retail"/>
    <n v="0.05"/>
    <x v="1"/>
    <n v="7709.6869999999999"/>
    <s v="Gift Card"/>
    <s v="FREESHIP"/>
    <n v="0"/>
    <s v="REG101442"/>
    <s v="Cust 4386"/>
    <n v="35.28"/>
    <d v="2023-09-20T00:00:00"/>
    <d v="2023-09-27T00:00:00"/>
    <s v="Sophie"/>
    <n v="7324.2026499999993"/>
    <n v="8115.46"/>
    <n v="791.25735000000077"/>
    <x v="1"/>
    <x v="22"/>
  </r>
  <r>
    <d v="2023-06-27T00:00:00"/>
    <x v="1"/>
    <x v="3"/>
    <s v="Chair"/>
    <s v="Chair"/>
    <x v="1"/>
    <n v="3"/>
    <n v="261.60000000000002"/>
    <s v="Store D"/>
    <s v="Retail"/>
    <n v="0.05"/>
    <x v="4"/>
    <n v="745.56000000000006"/>
    <s v="Cash"/>
    <s v="WINTER15"/>
    <n v="0"/>
    <s v="REG101443"/>
    <s v="Cust 6708"/>
    <n v="42.11"/>
    <d v="2023-06-27T00:00:00"/>
    <d v="2023-07-07T00:00:00"/>
    <s v="Sophie"/>
    <n v="708.28200000000004"/>
    <n v="784.80000000000007"/>
    <n v="76.518000000000029"/>
    <x v="1"/>
    <x v="4"/>
  </r>
  <r>
    <d v="2025-04-02T00:00:00"/>
    <x v="3"/>
    <x v="0"/>
    <s v="Laptop"/>
    <s v="Laptop"/>
    <x v="0"/>
    <n v="6"/>
    <n v="416.2"/>
    <s v="Store A"/>
    <s v="Wholesale"/>
    <n v="0.05"/>
    <x v="1"/>
    <n v="2372.34"/>
    <s v="Cash"/>
    <s v="WINTER15"/>
    <n v="1"/>
    <s v="REG101444"/>
    <s v="Cust 6354"/>
    <n v="44.14"/>
    <d v="2025-04-02T00:00:00"/>
    <d v="2025-04-06T00:00:00"/>
    <s v="Cameron"/>
    <n v="2253.723"/>
    <n v="2497.1999999999998"/>
    <n v="243.47699999999986"/>
    <x v="1"/>
    <x v="28"/>
  </r>
  <r>
    <d v="2025-04-16T00:00:00"/>
    <x v="2"/>
    <x v="6"/>
    <s v="Printer"/>
    <s v="Printer"/>
    <x v="2"/>
    <n v="15"/>
    <n v="99.66"/>
    <s v="Store A"/>
    <s v="Wholesale"/>
    <n v="0"/>
    <x v="0"/>
    <n v="1494.9"/>
    <s v="Cash"/>
    <s v="FREESHIP"/>
    <n v="0"/>
    <s v="REG101445"/>
    <s v="Cust 3477"/>
    <n v="27.55"/>
    <d v="2025-04-16T00:00:00"/>
    <d v="2025-04-26T00:00:00"/>
    <s v="Ryan"/>
    <n v="1494.9"/>
    <n v="1494.8999999999999"/>
    <n v="0"/>
    <x v="0"/>
    <x v="28"/>
  </r>
  <r>
    <d v="2024-07-09T00:00:00"/>
    <x v="3"/>
    <x v="0"/>
    <s v="Laptop"/>
    <s v="Laptop"/>
    <x v="0"/>
    <n v="16"/>
    <n v="55.56"/>
    <s v="Store D"/>
    <s v="Wholesale"/>
    <n v="0.15"/>
    <x v="2"/>
    <n v="755.61599999999999"/>
    <s v="Cash"/>
    <m/>
    <n v="1"/>
    <s v="REG101446"/>
    <s v="Cust 6646"/>
    <n v="17.809999999999999"/>
    <d v="2024-07-09T00:00:00"/>
    <d v="2024-07-17T00:00:00"/>
    <s v="Cameron"/>
    <n v="642.27359999999999"/>
    <n v="888.96"/>
    <n v="246.68640000000005"/>
    <x v="2"/>
    <x v="10"/>
  </r>
  <r>
    <d v="2025-06-23T00:00:00"/>
    <x v="0"/>
    <x v="1"/>
    <s v="Phone"/>
    <s v="Phone"/>
    <x v="0"/>
    <n v="20"/>
    <n v="243.47"/>
    <s v="Store A"/>
    <s v="Wholesale"/>
    <n v="0.05"/>
    <x v="1"/>
    <n v="4625.9299999999994"/>
    <s v="Gift Card"/>
    <s v="FREESHIP"/>
    <n v="1"/>
    <s v="REG101447"/>
    <s v="Cust 4250"/>
    <n v="32.28"/>
    <d v="2025-06-23T00:00:00"/>
    <d v="2025-07-03T00:00:00"/>
    <s v="Eric"/>
    <n v="4394.633499999999"/>
    <n v="4869.3999999999996"/>
    <n v="474.76650000000063"/>
    <x v="1"/>
    <x v="16"/>
  </r>
  <r>
    <d v="2024-06-09T00:00:00"/>
    <x v="0"/>
    <x v="5"/>
    <s v="Tablet"/>
    <s v="Tablet"/>
    <x v="0"/>
    <n v="11"/>
    <n v="185.59"/>
    <s v="Store B"/>
    <s v="Retail"/>
    <n v="0.1"/>
    <x v="3"/>
    <n v="1837.3409999999999"/>
    <s v="Gift Card"/>
    <m/>
    <n v="0"/>
    <s v="REG101448"/>
    <s v="Cust 5351"/>
    <n v="45.19"/>
    <d v="2024-06-09T00:00:00"/>
    <d v="2024-06-18T00:00:00"/>
    <s v="Eric"/>
    <n v="1653.6069"/>
    <n v="2041.49"/>
    <n v="387.88310000000001"/>
    <x v="1"/>
    <x v="23"/>
  </r>
  <r>
    <d v="2023-12-01T00:00:00"/>
    <x v="3"/>
    <x v="2"/>
    <s v="Desk"/>
    <s v="Desk"/>
    <x v="1"/>
    <n v="11"/>
    <n v="347.38"/>
    <s v="Store C"/>
    <s v="Wholesale"/>
    <n v="0.05"/>
    <x v="0"/>
    <n v="3630.1210000000001"/>
    <s v="Credit Card"/>
    <s v="FREESHIP"/>
    <n v="0"/>
    <s v="REG101449"/>
    <s v="Cust 6284"/>
    <n v="24.8"/>
    <d v="2023-12-01T00:00:00"/>
    <d v="2023-12-03T00:00:00"/>
    <s v="Cameron"/>
    <n v="3448.6149500000001"/>
    <n v="3821.18"/>
    <n v="372.5650499999997"/>
    <x v="1"/>
    <x v="27"/>
  </r>
  <r>
    <d v="2024-07-24T00:00:00"/>
    <x v="4"/>
    <x v="5"/>
    <s v="Tablet"/>
    <s v="Tablet"/>
    <x v="0"/>
    <n v="15"/>
    <n v="318.02999999999997"/>
    <s v="Store D"/>
    <s v="Retail"/>
    <n v="0.05"/>
    <x v="4"/>
    <n v="4531.9274999999998"/>
    <s v="Gift Card"/>
    <s v="WINTER15"/>
    <n v="1"/>
    <s v="REG101450"/>
    <s v="Cust 9099"/>
    <n v="24.38"/>
    <d v="2024-07-24T00:00:00"/>
    <d v="2024-07-30T00:00:00"/>
    <s v="Wendy"/>
    <n v="4305.3311249999997"/>
    <n v="4770.45"/>
    <n v="465.11887500000012"/>
    <x v="1"/>
    <x v="10"/>
  </r>
  <r>
    <d v="2023-04-12T00:00:00"/>
    <x v="4"/>
    <x v="3"/>
    <s v="Chair"/>
    <s v="Chair"/>
    <x v="1"/>
    <n v="15"/>
    <n v="242.35"/>
    <s v="Store D"/>
    <s v="Wholesale"/>
    <n v="0.15"/>
    <x v="4"/>
    <n v="3089.9625000000001"/>
    <s v="Cash"/>
    <s v="WINTER15"/>
    <n v="1"/>
    <s v="REG101451"/>
    <s v="Cust 3944"/>
    <n v="14.92"/>
    <d v="2023-04-12T00:00:00"/>
    <d v="2023-04-19T00:00:00"/>
    <s v="Wendy"/>
    <n v="2626.4681249999999"/>
    <n v="3635.25"/>
    <n v="1008.7818750000001"/>
    <x v="2"/>
    <x v="21"/>
  </r>
  <r>
    <d v="2024-12-17T00:00:00"/>
    <x v="2"/>
    <x v="2"/>
    <s v="Desk"/>
    <s v="Desk"/>
    <x v="1"/>
    <n v="3"/>
    <n v="82.09"/>
    <s v="Store B"/>
    <s v="Retail"/>
    <n v="0.15"/>
    <x v="0"/>
    <n v="209.3295"/>
    <s v="Gift Card"/>
    <s v="WINTER15"/>
    <n v="1"/>
    <s v="REG101452"/>
    <s v="Cust 6124"/>
    <n v="12.63"/>
    <d v="2024-12-17T00:00:00"/>
    <d v="2024-12-26T00:00:00"/>
    <s v="Ryan"/>
    <n v="177.93007499999999"/>
    <n v="246.27"/>
    <n v="68.339925000000022"/>
    <x v="2"/>
    <x v="1"/>
  </r>
  <r>
    <d v="2024-08-08T00:00:00"/>
    <x v="1"/>
    <x v="4"/>
    <s v="Monitor"/>
    <s v="Monitor"/>
    <x v="0"/>
    <n v="10"/>
    <n v="285.73"/>
    <s v="Store D"/>
    <s v="Wholesale"/>
    <n v="0.15"/>
    <x v="0"/>
    <n v="2428.7049999999999"/>
    <s v="Cash"/>
    <s v="WINTER15"/>
    <n v="1"/>
    <s v="REG101453"/>
    <s v="Cust 8533"/>
    <n v="26.68"/>
    <d v="2024-08-08T00:00:00"/>
    <d v="2024-08-14T00:00:00"/>
    <s v="Sophie"/>
    <n v="2064.3992499999999"/>
    <n v="2857.3"/>
    <n v="792.90075000000024"/>
    <x v="2"/>
    <x v="29"/>
  </r>
  <r>
    <d v="2024-09-15T00:00:00"/>
    <x v="0"/>
    <x v="0"/>
    <s v="Laptop"/>
    <s v="Laptop"/>
    <x v="0"/>
    <n v="17"/>
    <n v="341.52"/>
    <s v="Store C"/>
    <s v="Wholesale"/>
    <n v="0.1"/>
    <x v="0"/>
    <n v="5225.2560000000003"/>
    <s v="Credit Card"/>
    <s v="FREESHIP"/>
    <n v="0"/>
    <s v="REG101454"/>
    <s v="Cust 1135"/>
    <n v="16.670000000000002"/>
    <d v="2024-09-15T00:00:00"/>
    <d v="2024-09-22T00:00:00"/>
    <s v="Eric"/>
    <n v="4702.7304000000004"/>
    <n v="5805.84"/>
    <n v="1103.1095999999998"/>
    <x v="1"/>
    <x v="26"/>
  </r>
  <r>
    <d v="2023-10-08T00:00:00"/>
    <x v="1"/>
    <x v="5"/>
    <s v="Tablet"/>
    <s v="Tablet"/>
    <x v="0"/>
    <n v="14"/>
    <n v="216.4"/>
    <s v="Store D"/>
    <s v="Wholesale"/>
    <n v="0.1"/>
    <x v="4"/>
    <n v="2726.64"/>
    <s v="Debit Card"/>
    <s v="WINTER15"/>
    <n v="0"/>
    <s v="REG101455"/>
    <s v="Cust 5638"/>
    <n v="40.74"/>
    <d v="2023-10-08T00:00:00"/>
    <d v="2023-10-10T00:00:00"/>
    <s v="Sophie"/>
    <n v="2453.9760000000001"/>
    <n v="3029.6"/>
    <n v="575.6239999999998"/>
    <x v="1"/>
    <x v="19"/>
  </r>
  <r>
    <d v="2025-05-23T00:00:00"/>
    <x v="1"/>
    <x v="1"/>
    <s v="Phone"/>
    <s v="Phone"/>
    <x v="0"/>
    <n v="16"/>
    <n v="231.76"/>
    <s v="Store B"/>
    <s v="Retail"/>
    <n v="0.15"/>
    <x v="5"/>
    <n v="3151.9360000000001"/>
    <s v="Online"/>
    <s v="WINTER15"/>
    <n v="1"/>
    <s v="REG101456"/>
    <s v="Cust 1333"/>
    <n v="9.42"/>
    <d v="2025-05-23T00:00:00"/>
    <d v="2025-05-27T00:00:00"/>
    <s v="Sophie"/>
    <n v="2679.1455999999998"/>
    <n v="3708.16"/>
    <n v="1029.0144"/>
    <x v="2"/>
    <x v="13"/>
  </r>
  <r>
    <d v="2023-01-02T00:00:00"/>
    <x v="1"/>
    <x v="0"/>
    <s v="Laptop"/>
    <s v="Laptop"/>
    <x v="0"/>
    <n v="7"/>
    <n v="61.47"/>
    <s v="Store C"/>
    <s v="Retail"/>
    <n v="0.15"/>
    <x v="0"/>
    <n v="365.74650000000003"/>
    <s v="Online"/>
    <s v="FREESHIP"/>
    <n v="0"/>
    <s v="REG101457"/>
    <s v="Cust 2394"/>
    <n v="14.44"/>
    <d v="2023-01-02T00:00:00"/>
    <d v="2023-01-12T00:00:00"/>
    <s v="Sophie"/>
    <n v="310.884525"/>
    <n v="430.28999999999996"/>
    <n v="119.40547499999997"/>
    <x v="2"/>
    <x v="6"/>
  </r>
  <r>
    <d v="2023-10-19T00:00:00"/>
    <x v="2"/>
    <x v="2"/>
    <s v="Desk"/>
    <s v="Desk"/>
    <x v="1"/>
    <n v="15"/>
    <n v="434.44"/>
    <s v="Store B"/>
    <s v="Wholesale"/>
    <n v="0"/>
    <x v="5"/>
    <n v="6516.6"/>
    <s v="Debit Card"/>
    <m/>
    <n v="1"/>
    <s v="REG101458"/>
    <s v="Cust 8495"/>
    <n v="33.86"/>
    <d v="2023-10-19T00:00:00"/>
    <d v="2023-10-28T00:00:00"/>
    <s v="Ryan"/>
    <n v="6516.6"/>
    <n v="6516.6"/>
    <n v="0"/>
    <x v="0"/>
    <x v="19"/>
  </r>
  <r>
    <d v="2025-04-25T00:00:00"/>
    <x v="4"/>
    <x v="3"/>
    <s v="Chair"/>
    <s v="Chair"/>
    <x v="1"/>
    <n v="16"/>
    <n v="484.01"/>
    <s v="Store A"/>
    <s v="Wholesale"/>
    <n v="0"/>
    <x v="1"/>
    <n v="7744.16"/>
    <s v="Online"/>
    <s v="SAVE10"/>
    <n v="1"/>
    <s v="REG101459"/>
    <s v="Cust 3988"/>
    <n v="9.65"/>
    <d v="2025-04-25T00:00:00"/>
    <d v="2025-05-01T00:00:00"/>
    <s v="Wendy"/>
    <n v="7744.16"/>
    <n v="7744.16"/>
    <n v="0"/>
    <x v="0"/>
    <x v="28"/>
  </r>
  <r>
    <d v="2024-03-31T00:00:00"/>
    <x v="3"/>
    <x v="2"/>
    <s v="Desk"/>
    <s v="Desk"/>
    <x v="1"/>
    <n v="2"/>
    <n v="55.08"/>
    <s v="Store C"/>
    <s v="Wholesale"/>
    <n v="0"/>
    <x v="2"/>
    <n v="110.16"/>
    <s v="Credit Card"/>
    <s v="FREESHIP"/>
    <n v="0"/>
    <s v="REG101460"/>
    <s v="Cust 4664"/>
    <n v="9.85"/>
    <d v="2024-03-31T00:00:00"/>
    <d v="2024-04-04T00:00:00"/>
    <s v="Cameron"/>
    <n v="110.16"/>
    <n v="110.16"/>
    <n v="0"/>
    <x v="0"/>
    <x v="25"/>
  </r>
  <r>
    <d v="2025-01-31T00:00:00"/>
    <x v="2"/>
    <x v="6"/>
    <s v="Printer"/>
    <s v="Printer"/>
    <x v="2"/>
    <n v="13"/>
    <n v="223.44"/>
    <s v="Store B"/>
    <s v="Retail"/>
    <n v="0.15"/>
    <x v="3"/>
    <n v="2469.0120000000002"/>
    <s v="Credit Card"/>
    <m/>
    <n v="1"/>
    <s v="REG101461"/>
    <s v="Cust 5086"/>
    <n v="38.46"/>
    <d v="2025-01-31T00:00:00"/>
    <d v="2025-02-07T00:00:00"/>
    <s v="Ryan"/>
    <n v="2098.6602000000003"/>
    <n v="2904.72"/>
    <n v="806.05979999999954"/>
    <x v="2"/>
    <x v="12"/>
  </r>
  <r>
    <d v="2025-03-27T00:00:00"/>
    <x v="0"/>
    <x v="1"/>
    <s v="Phone"/>
    <s v="Phone"/>
    <x v="0"/>
    <n v="11"/>
    <n v="548.08000000000004"/>
    <s v="Store D"/>
    <s v="Wholesale"/>
    <n v="0.05"/>
    <x v="0"/>
    <n v="5727.4359999999997"/>
    <s v="Cash"/>
    <m/>
    <n v="0"/>
    <s v="REG101462"/>
    <s v="Cust 8858"/>
    <n v="25.82"/>
    <d v="2025-03-27T00:00:00"/>
    <d v="2025-04-06T00:00:00"/>
    <s v="Eric"/>
    <n v="5441.0641999999998"/>
    <n v="6028.88"/>
    <n v="587.81580000000031"/>
    <x v="1"/>
    <x v="8"/>
  </r>
  <r>
    <d v="2025-01-19T00:00:00"/>
    <x v="3"/>
    <x v="2"/>
    <s v="Desk"/>
    <s v="Desk"/>
    <x v="1"/>
    <n v="11"/>
    <n v="133.63999999999999"/>
    <s v="Store D"/>
    <s v="Wholesale"/>
    <n v="0"/>
    <x v="4"/>
    <n v="1470.04"/>
    <s v="Debit Card"/>
    <m/>
    <n v="1"/>
    <s v="REG101463"/>
    <s v="Cust 8796"/>
    <n v="30.18"/>
    <d v="2025-01-19T00:00:00"/>
    <d v="2025-01-24T00:00:00"/>
    <s v="Cameron"/>
    <n v="1470.04"/>
    <n v="1470.04"/>
    <n v="0"/>
    <x v="0"/>
    <x v="12"/>
  </r>
  <r>
    <d v="2024-05-16T00:00:00"/>
    <x v="2"/>
    <x v="3"/>
    <s v="Chair"/>
    <s v="Chair"/>
    <x v="1"/>
    <n v="19"/>
    <n v="368.85"/>
    <s v="Store C"/>
    <s v="Retail"/>
    <n v="0.1"/>
    <x v="5"/>
    <n v="6307.3350000000009"/>
    <s v="Gift Card"/>
    <s v="FREESHIP"/>
    <n v="0"/>
    <s v="REG101464"/>
    <s v="Cust 2496"/>
    <n v="35.369999999999997"/>
    <d v="2024-05-16T00:00:00"/>
    <d v="2024-05-21T00:00:00"/>
    <s v="Ryan"/>
    <n v="5676.6015000000007"/>
    <n v="7008.1500000000005"/>
    <n v="1331.5484999999999"/>
    <x v="1"/>
    <x v="14"/>
  </r>
  <r>
    <d v="2023-09-04T00:00:00"/>
    <x v="3"/>
    <x v="3"/>
    <s v="Chair"/>
    <s v="Chair"/>
    <x v="1"/>
    <n v="14"/>
    <n v="115.98"/>
    <s v="Store A"/>
    <s v="Wholesale"/>
    <n v="0"/>
    <x v="5"/>
    <n v="1623.72"/>
    <s v="Debit Card"/>
    <m/>
    <n v="0"/>
    <s v="REG101465"/>
    <s v="Cust 5465"/>
    <n v="31.85"/>
    <d v="2023-09-04T00:00:00"/>
    <d v="2023-09-06T00:00:00"/>
    <s v="Cameron"/>
    <n v="1623.72"/>
    <n v="1623.72"/>
    <n v="0"/>
    <x v="0"/>
    <x v="22"/>
  </r>
  <r>
    <d v="2023-12-17T00:00:00"/>
    <x v="1"/>
    <x v="4"/>
    <s v="Monitor"/>
    <s v="Monitor"/>
    <x v="0"/>
    <n v="9"/>
    <n v="55.04"/>
    <s v="Store B"/>
    <s v="Retail"/>
    <n v="0.15"/>
    <x v="1"/>
    <n v="421.05599999999998"/>
    <s v="Online"/>
    <m/>
    <n v="0"/>
    <s v="REG101466"/>
    <s v="Cust 2311"/>
    <n v="31.09"/>
    <d v="2023-12-17T00:00:00"/>
    <d v="2023-12-23T00:00:00"/>
    <s v="Sophie"/>
    <n v="357.89759999999995"/>
    <n v="495.36"/>
    <n v="137.46240000000006"/>
    <x v="2"/>
    <x v="27"/>
  </r>
  <r>
    <d v="2024-01-15T00:00:00"/>
    <x v="3"/>
    <x v="4"/>
    <s v="Monitor"/>
    <s v="Monitor"/>
    <x v="0"/>
    <n v="4"/>
    <n v="159.54"/>
    <s v="Store A"/>
    <s v="Wholesale"/>
    <n v="0.05"/>
    <x v="1"/>
    <n v="606.25199999999995"/>
    <s v="Credit Card"/>
    <s v="FREESHIP"/>
    <n v="0"/>
    <s v="REG101467"/>
    <s v="Cust 4575"/>
    <n v="32.36"/>
    <d v="2024-01-15T00:00:00"/>
    <d v="2024-01-21T00:00:00"/>
    <s v="Cameron"/>
    <n v="575.93939999999998"/>
    <n v="638.16"/>
    <n v="62.22059999999999"/>
    <x v="1"/>
    <x v="24"/>
  </r>
  <r>
    <d v="2024-12-19T00:00:00"/>
    <x v="3"/>
    <x v="0"/>
    <s v="Laptop"/>
    <s v="Laptop"/>
    <x v="0"/>
    <n v="15"/>
    <n v="150.15"/>
    <s v="Store C"/>
    <s v="Retail"/>
    <n v="0"/>
    <x v="2"/>
    <n v="2252.25"/>
    <s v="Online"/>
    <s v="WINTER15"/>
    <n v="0"/>
    <s v="REG101468"/>
    <s v="Cust 8054"/>
    <n v="35.94"/>
    <d v="2024-12-19T00:00:00"/>
    <d v="2024-12-29T00:00:00"/>
    <s v="Cameron"/>
    <n v="2252.25"/>
    <n v="2252.25"/>
    <n v="0"/>
    <x v="0"/>
    <x v="1"/>
  </r>
  <r>
    <d v="2023-12-16T00:00:00"/>
    <x v="2"/>
    <x v="3"/>
    <s v="Chair"/>
    <s v="Chair"/>
    <x v="1"/>
    <n v="9"/>
    <n v="57.93"/>
    <s v="Store C"/>
    <s v="Wholesale"/>
    <n v="0"/>
    <x v="5"/>
    <n v="521.37"/>
    <s v="Gift Card"/>
    <s v="FREESHIP"/>
    <n v="1"/>
    <s v="REG101469"/>
    <s v="Cust 2553"/>
    <n v="28.73"/>
    <d v="2023-12-16T00:00:00"/>
    <d v="2023-12-18T00:00:00"/>
    <s v="Ryan"/>
    <n v="521.37"/>
    <n v="521.37"/>
    <n v="0"/>
    <x v="0"/>
    <x v="27"/>
  </r>
  <r>
    <d v="2025-05-14T00:00:00"/>
    <x v="3"/>
    <x v="0"/>
    <s v="Laptop"/>
    <s v="Laptop"/>
    <x v="0"/>
    <n v="4"/>
    <n v="438.58"/>
    <s v="Store D"/>
    <s v="Retail"/>
    <n v="0.05"/>
    <x v="1"/>
    <n v="1666.604"/>
    <s v="Online"/>
    <s v="WINTER15"/>
    <n v="0"/>
    <s v="REG101470"/>
    <s v="Cust 7547"/>
    <n v="5.0999999999999996"/>
    <d v="2025-05-14T00:00:00"/>
    <d v="2025-05-18T00:00:00"/>
    <s v="Cameron"/>
    <n v="1583.2737999999999"/>
    <n v="1754.32"/>
    <n v="171.0462"/>
    <x v="1"/>
    <x v="13"/>
  </r>
  <r>
    <d v="2023-06-30T00:00:00"/>
    <x v="1"/>
    <x v="4"/>
    <s v="Monitor"/>
    <s v="Monitor"/>
    <x v="0"/>
    <n v="6"/>
    <n v="536.24"/>
    <s v="Store D"/>
    <s v="Retail"/>
    <n v="0"/>
    <x v="4"/>
    <n v="3217.44"/>
    <s v="Cash"/>
    <s v="WINTER15"/>
    <n v="0"/>
    <s v="REG101471"/>
    <s v="Cust 8150"/>
    <n v="35.32"/>
    <d v="2023-06-30T00:00:00"/>
    <d v="2023-07-02T00:00:00"/>
    <s v="Sophie"/>
    <n v="3217.44"/>
    <n v="3217.44"/>
    <n v="0"/>
    <x v="0"/>
    <x v="4"/>
  </r>
  <r>
    <d v="2025-06-30T00:00:00"/>
    <x v="1"/>
    <x v="1"/>
    <s v="Phone"/>
    <s v="Phone"/>
    <x v="0"/>
    <n v="20"/>
    <n v="444.77"/>
    <s v="Store B"/>
    <s v="Wholesale"/>
    <n v="0.1"/>
    <x v="4"/>
    <n v="8005.86"/>
    <s v="Online"/>
    <m/>
    <n v="1"/>
    <s v="REG101472"/>
    <s v="Cust 5635"/>
    <n v="20.05"/>
    <d v="2025-06-30T00:00:00"/>
    <d v="2025-07-07T00:00:00"/>
    <s v="Sophie"/>
    <n v="7205.2739999999994"/>
    <n v="8895.4"/>
    <n v="1690.1260000000002"/>
    <x v="1"/>
    <x v="16"/>
  </r>
  <r>
    <d v="2025-03-14T00:00:00"/>
    <x v="3"/>
    <x v="6"/>
    <s v="Printer"/>
    <s v="Printer"/>
    <x v="2"/>
    <n v="10"/>
    <n v="212.1"/>
    <s v="Store B"/>
    <s v="Retail"/>
    <n v="0.15"/>
    <x v="0"/>
    <n v="1802.85"/>
    <s v="Gift Card"/>
    <s v="WINTER15"/>
    <n v="0"/>
    <s v="REG101473"/>
    <s v="Cust 4360"/>
    <n v="47.93"/>
    <d v="2025-03-14T00:00:00"/>
    <d v="2025-03-22T00:00:00"/>
    <s v="Cameron"/>
    <n v="1532.4224999999999"/>
    <n v="2121"/>
    <n v="588.5775000000001"/>
    <x v="2"/>
    <x v="8"/>
  </r>
  <r>
    <d v="2023-04-18T00:00:00"/>
    <x v="1"/>
    <x v="1"/>
    <s v="Phone"/>
    <s v="Phone"/>
    <x v="0"/>
    <n v="9"/>
    <n v="509.44"/>
    <s v="Store B"/>
    <s v="Retail"/>
    <n v="0.15"/>
    <x v="0"/>
    <n v="3897.2159999999999"/>
    <s v="Credit Card"/>
    <s v="SAVE10"/>
    <n v="0"/>
    <s v="REG101474"/>
    <s v="Cust 1624"/>
    <n v="13"/>
    <d v="2023-04-18T00:00:00"/>
    <d v="2023-04-27T00:00:00"/>
    <s v="Sophie"/>
    <n v="3312.6335999999997"/>
    <n v="4584.96"/>
    <n v="1272.3264000000004"/>
    <x v="2"/>
    <x v="21"/>
  </r>
  <r>
    <d v="2024-09-11T00:00:00"/>
    <x v="4"/>
    <x v="4"/>
    <s v="Monitor"/>
    <s v="Monitor"/>
    <x v="0"/>
    <n v="8"/>
    <n v="236.17"/>
    <s v="Store C"/>
    <s v="Wholesale"/>
    <n v="0.15"/>
    <x v="2"/>
    <n v="1605.9559999999999"/>
    <s v="Cash"/>
    <s v="WINTER15"/>
    <n v="0"/>
    <s v="REG101475"/>
    <s v="Cust 6593"/>
    <n v="22.88"/>
    <d v="2024-09-11T00:00:00"/>
    <d v="2024-09-19T00:00:00"/>
    <s v="Wendy"/>
    <n v="1365.0626"/>
    <n v="1889.36"/>
    <n v="524.29739999999993"/>
    <x v="2"/>
    <x v="26"/>
  </r>
  <r>
    <d v="2023-11-21T00:00:00"/>
    <x v="3"/>
    <x v="6"/>
    <s v="Printer"/>
    <s v="Printer"/>
    <x v="2"/>
    <n v="1"/>
    <n v="147.4"/>
    <s v="Store D"/>
    <s v="Retail"/>
    <n v="0"/>
    <x v="3"/>
    <n v="147.4"/>
    <s v="Cash"/>
    <s v="SAVE10"/>
    <n v="1"/>
    <s v="REG101476"/>
    <s v="Cust 9072"/>
    <n v="40.47"/>
    <d v="2023-11-21T00:00:00"/>
    <d v="2023-11-28T00:00:00"/>
    <s v="Cameron"/>
    <n v="147.4"/>
    <n v="147.4"/>
    <n v="0"/>
    <x v="0"/>
    <x v="15"/>
  </r>
  <r>
    <d v="2024-02-29T00:00:00"/>
    <x v="4"/>
    <x v="5"/>
    <s v="Tablet"/>
    <s v="Tablet"/>
    <x v="0"/>
    <n v="8"/>
    <n v="279.74"/>
    <s v="Store B"/>
    <s v="Retail"/>
    <n v="0.05"/>
    <x v="1"/>
    <n v="2126.0239999999999"/>
    <s v="Gift Card"/>
    <s v="FREESHIP"/>
    <n v="0"/>
    <s v="REG101477"/>
    <s v="Cust 1116"/>
    <n v="33.1"/>
    <d v="2024-02-29T00:00:00"/>
    <d v="2024-03-07T00:00:00"/>
    <s v="Wendy"/>
    <n v="2019.7227999999998"/>
    <n v="2237.92"/>
    <n v="218.19720000000029"/>
    <x v="1"/>
    <x v="5"/>
  </r>
  <r>
    <d v="2023-05-11T00:00:00"/>
    <x v="4"/>
    <x v="0"/>
    <s v="Laptop"/>
    <s v="Laptop"/>
    <x v="0"/>
    <n v="3"/>
    <n v="304.61"/>
    <s v="Store B"/>
    <s v="Wholesale"/>
    <n v="0.05"/>
    <x v="5"/>
    <n v="868.13850000000002"/>
    <s v="Cash"/>
    <s v="SAVE10"/>
    <n v="0"/>
    <s v="REG101478"/>
    <s v="Cust 8458"/>
    <n v="47.14"/>
    <d v="2023-05-11T00:00:00"/>
    <d v="2023-05-15T00:00:00"/>
    <s v="Wendy"/>
    <n v="824.73157500000002"/>
    <n v="913.83"/>
    <n v="89.09842500000002"/>
    <x v="1"/>
    <x v="2"/>
  </r>
  <r>
    <d v="2024-09-11T00:00:00"/>
    <x v="1"/>
    <x v="5"/>
    <s v="Tablet"/>
    <s v="Tablet"/>
    <x v="0"/>
    <n v="9"/>
    <n v="238.32"/>
    <s v="Store C"/>
    <s v="Retail"/>
    <n v="0"/>
    <x v="4"/>
    <n v="2144.88"/>
    <s v="Cash"/>
    <s v="WINTER15"/>
    <n v="1"/>
    <s v="REG101479"/>
    <s v="Cust 5409"/>
    <n v="8.5"/>
    <d v="2024-09-11T00:00:00"/>
    <d v="2024-09-20T00:00:00"/>
    <s v="Sophie"/>
    <n v="2144.88"/>
    <n v="2144.88"/>
    <n v="0"/>
    <x v="0"/>
    <x v="26"/>
  </r>
  <r>
    <d v="2024-08-16T00:00:00"/>
    <x v="4"/>
    <x v="6"/>
    <s v="Printer"/>
    <s v="Printer"/>
    <x v="2"/>
    <n v="16"/>
    <n v="483.37"/>
    <s v="Store B"/>
    <s v="Retail"/>
    <n v="0.1"/>
    <x v="1"/>
    <n v="6960.5280000000002"/>
    <s v="Debit Card"/>
    <m/>
    <n v="0"/>
    <s v="REG101480"/>
    <s v="Cust 8847"/>
    <n v="42.52"/>
    <d v="2024-08-16T00:00:00"/>
    <d v="2024-08-22T00:00:00"/>
    <s v="Wendy"/>
    <n v="6264.4752000000008"/>
    <n v="7733.92"/>
    <n v="1469.4447999999993"/>
    <x v="1"/>
    <x v="29"/>
  </r>
  <r>
    <d v="2025-05-30T00:00:00"/>
    <x v="2"/>
    <x v="4"/>
    <s v="Monitor"/>
    <s v="Monitor"/>
    <x v="0"/>
    <n v="6"/>
    <n v="159.53"/>
    <s v="Store A"/>
    <s v="Retail"/>
    <n v="0.05"/>
    <x v="5"/>
    <n v="909.32100000000003"/>
    <s v="Gift Card"/>
    <m/>
    <n v="0"/>
    <s v="REG101481"/>
    <s v="Cust 7857"/>
    <n v="48.6"/>
    <d v="2025-05-30T00:00:00"/>
    <d v="2025-06-07T00:00:00"/>
    <s v="Ryan"/>
    <n v="863.85495000000003"/>
    <n v="957.18000000000006"/>
    <n v="93.325050000000033"/>
    <x v="1"/>
    <x v="13"/>
  </r>
  <r>
    <d v="2023-08-22T00:00:00"/>
    <x v="0"/>
    <x v="2"/>
    <s v="Desk"/>
    <s v="Desk"/>
    <x v="1"/>
    <n v="19"/>
    <n v="280.60000000000002"/>
    <s v="Store A"/>
    <s v="Wholesale"/>
    <n v="0.1"/>
    <x v="2"/>
    <n v="4798.26"/>
    <s v="Gift Card"/>
    <s v="FREESHIP"/>
    <n v="0"/>
    <s v="REG101482"/>
    <s v="Cust 7810"/>
    <n v="35.94"/>
    <d v="2023-08-22T00:00:00"/>
    <d v="2023-08-28T00:00:00"/>
    <s v="Eric"/>
    <n v="4318.4340000000002"/>
    <n v="5331.4000000000005"/>
    <n v="1012.9660000000003"/>
    <x v="1"/>
    <x v="18"/>
  </r>
  <r>
    <d v="2024-01-23T00:00:00"/>
    <x v="0"/>
    <x v="5"/>
    <s v="Tablet"/>
    <s v="Tablet"/>
    <x v="0"/>
    <n v="2"/>
    <n v="389.98"/>
    <s v="Store D"/>
    <s v="Wholesale"/>
    <n v="0.05"/>
    <x v="3"/>
    <n v="740.96199999999999"/>
    <s v="Debit Card"/>
    <s v="SAVE10"/>
    <n v="1"/>
    <s v="REG101483"/>
    <s v="Cust 5665"/>
    <n v="24.55"/>
    <d v="2024-01-23T00:00:00"/>
    <d v="2024-01-25T00:00:00"/>
    <s v="Eric"/>
    <n v="703.91390000000001"/>
    <n v="779.96"/>
    <n v="76.046100000000024"/>
    <x v="1"/>
    <x v="24"/>
  </r>
  <r>
    <d v="2023-03-16T00:00:00"/>
    <x v="2"/>
    <x v="4"/>
    <s v="Monitor"/>
    <s v="Monitor"/>
    <x v="0"/>
    <n v="17"/>
    <n v="485.3"/>
    <s v="Store D"/>
    <s v="Retail"/>
    <n v="0.15"/>
    <x v="4"/>
    <n v="7012.585"/>
    <s v="Cash"/>
    <s v="WINTER15"/>
    <n v="0"/>
    <s v="REG101484"/>
    <s v="Cust 8015"/>
    <n v="37.94"/>
    <d v="2023-03-16T00:00:00"/>
    <d v="2023-03-23T00:00:00"/>
    <s v="Ryan"/>
    <n v="5960.6972500000002"/>
    <n v="8250.1"/>
    <n v="2289.4027500000002"/>
    <x v="2"/>
    <x v="17"/>
  </r>
  <r>
    <d v="2025-05-16T00:00:00"/>
    <x v="1"/>
    <x v="0"/>
    <s v="Laptop"/>
    <s v="Laptop"/>
    <x v="0"/>
    <n v="4"/>
    <n v="472.24"/>
    <s v="Store D"/>
    <s v="Retail"/>
    <n v="0"/>
    <x v="1"/>
    <n v="1888.96"/>
    <s v="Gift Card"/>
    <s v="FREESHIP"/>
    <n v="1"/>
    <s v="REG101485"/>
    <s v="Cust 7211"/>
    <n v="6.78"/>
    <d v="2025-05-16T00:00:00"/>
    <d v="2025-05-21T00:00:00"/>
    <s v="Sophie"/>
    <n v="1888.96"/>
    <n v="1888.96"/>
    <n v="0"/>
    <x v="0"/>
    <x v="13"/>
  </r>
  <r>
    <d v="2023-05-23T00:00:00"/>
    <x v="0"/>
    <x v="4"/>
    <s v="Monitor"/>
    <s v="Monitor"/>
    <x v="0"/>
    <n v="8"/>
    <n v="143.53"/>
    <s v="Store D"/>
    <s v="Wholesale"/>
    <n v="0"/>
    <x v="1"/>
    <n v="1148.24"/>
    <s v="Cash"/>
    <s v="WINTER15"/>
    <n v="0"/>
    <s v="REG101486"/>
    <s v="Cust 8705"/>
    <n v="9.1"/>
    <d v="2023-05-23T00:00:00"/>
    <d v="2023-05-29T00:00:00"/>
    <s v="Eric"/>
    <n v="1148.24"/>
    <n v="1148.24"/>
    <n v="0"/>
    <x v="0"/>
    <x v="2"/>
  </r>
  <r>
    <d v="2024-06-16T00:00:00"/>
    <x v="2"/>
    <x v="3"/>
    <s v="Chair"/>
    <s v="Chair"/>
    <x v="1"/>
    <n v="5"/>
    <n v="159.91999999999999"/>
    <s v="Store B"/>
    <s v="Wholesale"/>
    <n v="0"/>
    <x v="3"/>
    <n v="799.59999999999991"/>
    <s v="Cash"/>
    <s v="SAVE10"/>
    <n v="0"/>
    <s v="REG101487"/>
    <s v="Cust 2905"/>
    <n v="10.86"/>
    <d v="2024-06-16T00:00:00"/>
    <d v="2024-06-23T00:00:00"/>
    <s v="Ryan"/>
    <n v="799.59999999999991"/>
    <n v="799.59999999999991"/>
    <n v="0"/>
    <x v="0"/>
    <x v="23"/>
  </r>
  <r>
    <d v="2025-01-28T00:00:00"/>
    <x v="3"/>
    <x v="4"/>
    <s v="Monitor"/>
    <s v="Monitor"/>
    <x v="0"/>
    <n v="13"/>
    <n v="447.34"/>
    <s v="Store A"/>
    <s v="Wholesale"/>
    <n v="0.05"/>
    <x v="2"/>
    <n v="5524.6489999999994"/>
    <s v="Cash"/>
    <s v="SAVE10"/>
    <n v="0"/>
    <s v="REG101488"/>
    <s v="Cust 5777"/>
    <n v="38.93"/>
    <d v="2025-01-28T00:00:00"/>
    <d v="2025-02-04T00:00:00"/>
    <s v="Cameron"/>
    <n v="5248.416549999999"/>
    <n v="5815.42"/>
    <n v="567.00345000000107"/>
    <x v="1"/>
    <x v="12"/>
  </r>
  <r>
    <d v="2024-11-27T00:00:00"/>
    <x v="1"/>
    <x v="1"/>
    <s v="Phone"/>
    <s v="Phone"/>
    <x v="0"/>
    <n v="13"/>
    <n v="196.8"/>
    <s v="Store B"/>
    <s v="Retail"/>
    <n v="0.1"/>
    <x v="4"/>
    <n v="2302.56"/>
    <s v="Cash"/>
    <m/>
    <n v="0"/>
    <s v="REG101489"/>
    <s v="Cust 6695"/>
    <n v="10.119999999999999"/>
    <d v="2024-11-27T00:00:00"/>
    <d v="2024-12-07T00:00:00"/>
    <s v="Sophie"/>
    <n v="2072.3040000000001"/>
    <n v="2558.4"/>
    <n v="486.096"/>
    <x v="1"/>
    <x v="20"/>
  </r>
  <r>
    <d v="2023-10-09T00:00:00"/>
    <x v="3"/>
    <x v="3"/>
    <s v="Chair"/>
    <s v="Chair"/>
    <x v="1"/>
    <n v="3"/>
    <n v="485.81"/>
    <s v="Store A"/>
    <s v="Wholesale"/>
    <n v="0.1"/>
    <x v="0"/>
    <n v="1311.6869999999999"/>
    <s v="Debit Card"/>
    <s v="SAVE10"/>
    <n v="0"/>
    <s v="REG101490"/>
    <s v="Cust 1977"/>
    <n v="19.46"/>
    <d v="2023-10-09T00:00:00"/>
    <d v="2023-10-11T00:00:00"/>
    <s v="Cameron"/>
    <n v="1180.5183"/>
    <n v="1457.43"/>
    <n v="276.91170000000011"/>
    <x v="1"/>
    <x v="19"/>
  </r>
  <r>
    <d v="2024-07-21T00:00:00"/>
    <x v="4"/>
    <x v="1"/>
    <s v="Phone"/>
    <s v="Phone"/>
    <x v="0"/>
    <n v="16"/>
    <n v="183.62"/>
    <s v="Store A"/>
    <s v="Wholesale"/>
    <n v="0.05"/>
    <x v="5"/>
    <n v="2791.0239999999999"/>
    <s v="Gift Card"/>
    <s v="WINTER15"/>
    <n v="0"/>
    <s v="REG101491"/>
    <s v="Cust 7979"/>
    <n v="6.56"/>
    <d v="2024-07-21T00:00:00"/>
    <d v="2024-07-31T00:00:00"/>
    <s v="Wendy"/>
    <n v="2651.4727999999996"/>
    <n v="2937.92"/>
    <n v="286.44720000000052"/>
    <x v="1"/>
    <x v="10"/>
  </r>
  <r>
    <d v="2024-07-03T00:00:00"/>
    <x v="0"/>
    <x v="4"/>
    <s v="Monitor"/>
    <s v="Monitor"/>
    <x v="0"/>
    <n v="2"/>
    <n v="373.07"/>
    <s v="Store A"/>
    <s v="Retail"/>
    <n v="0.05"/>
    <x v="4"/>
    <n v="708.83299999999997"/>
    <s v="Credit Card"/>
    <s v="FREESHIP"/>
    <n v="0"/>
    <s v="REG101492"/>
    <s v="Cust 2437"/>
    <n v="26.9"/>
    <d v="2024-07-03T00:00:00"/>
    <d v="2024-07-07T00:00:00"/>
    <s v="Eric"/>
    <n v="673.39134999999999"/>
    <n v="746.14"/>
    <n v="72.748649999999998"/>
    <x v="1"/>
    <x v="10"/>
  </r>
  <r>
    <d v="2024-09-24T00:00:00"/>
    <x v="4"/>
    <x v="4"/>
    <s v="Monitor"/>
    <s v="Monitor"/>
    <x v="0"/>
    <n v="17"/>
    <n v="527.67999999999995"/>
    <s v="Store B"/>
    <s v="Wholesale"/>
    <n v="0"/>
    <x v="4"/>
    <n v="8970.56"/>
    <s v="Gift Card"/>
    <s v="FREESHIP"/>
    <n v="0"/>
    <s v="REG101493"/>
    <s v="Cust 2516"/>
    <n v="29.19"/>
    <d v="2024-09-24T00:00:00"/>
    <d v="2024-10-02T00:00:00"/>
    <s v="Wendy"/>
    <n v="8970.56"/>
    <n v="8970.56"/>
    <n v="0"/>
    <x v="0"/>
    <x v="26"/>
  </r>
  <r>
    <d v="2025-01-14T00:00:00"/>
    <x v="0"/>
    <x v="5"/>
    <s v="Tablet"/>
    <s v="Tablet"/>
    <x v="0"/>
    <n v="5"/>
    <n v="201.29"/>
    <s v="Store D"/>
    <s v="Wholesale"/>
    <n v="0"/>
    <x v="3"/>
    <n v="1006.45"/>
    <s v="Online"/>
    <s v="FREESHIP"/>
    <n v="0"/>
    <s v="REG101494"/>
    <s v="Cust 6791"/>
    <n v="49.13"/>
    <d v="2025-01-14T00:00:00"/>
    <d v="2025-01-21T00:00:00"/>
    <s v="Eric"/>
    <n v="1006.45"/>
    <n v="1006.4499999999999"/>
    <n v="0"/>
    <x v="0"/>
    <x v="12"/>
  </r>
  <r>
    <d v="2025-02-17T00:00:00"/>
    <x v="4"/>
    <x v="2"/>
    <s v="Desk"/>
    <s v="Desk"/>
    <x v="1"/>
    <n v="13"/>
    <n v="134.56"/>
    <s v="Store D"/>
    <s v="Retail"/>
    <n v="0.05"/>
    <x v="3"/>
    <n v="1661.816"/>
    <s v="Credit Card"/>
    <s v="WINTER15"/>
    <n v="0"/>
    <s v="REG101495"/>
    <s v="Cust 5227"/>
    <n v="35.630000000000003"/>
    <d v="2025-02-17T00:00:00"/>
    <d v="2025-02-22T00:00:00"/>
    <s v="Wendy"/>
    <n v="1578.7251999999999"/>
    <n v="1749.28"/>
    <n v="170.55480000000011"/>
    <x v="1"/>
    <x v="3"/>
  </r>
  <r>
    <d v="2024-01-11T00:00:00"/>
    <x v="1"/>
    <x v="3"/>
    <s v="Chair"/>
    <s v="Chair"/>
    <x v="1"/>
    <n v="18"/>
    <n v="209.75"/>
    <s v="Store C"/>
    <s v="Wholesale"/>
    <n v="0.15"/>
    <x v="2"/>
    <n v="3209.1750000000002"/>
    <s v="Debit Card"/>
    <s v="FREESHIP"/>
    <n v="0"/>
    <s v="REG101496"/>
    <s v="Cust 5559"/>
    <n v="45.93"/>
    <d v="2024-01-11T00:00:00"/>
    <d v="2024-01-17T00:00:00"/>
    <s v="Sophie"/>
    <n v="2727.7987499999999"/>
    <n v="3775.5"/>
    <n v="1047.7012500000001"/>
    <x v="2"/>
    <x v="24"/>
  </r>
  <r>
    <d v="2024-07-27T00:00:00"/>
    <x v="0"/>
    <x v="2"/>
    <s v="Desk"/>
    <s v="Desk"/>
    <x v="1"/>
    <n v="1"/>
    <n v="272.5"/>
    <s v="Store A"/>
    <s v="Wholesale"/>
    <n v="0"/>
    <x v="0"/>
    <n v="272.5"/>
    <s v="Gift Card"/>
    <s v="WINTER15"/>
    <n v="0"/>
    <s v="REG101497"/>
    <s v="Cust 8981"/>
    <n v="35.56"/>
    <d v="2024-07-27T00:00:00"/>
    <d v="2024-08-03T00:00:00"/>
    <s v="Eric"/>
    <n v="272.5"/>
    <n v="272.5"/>
    <n v="0"/>
    <x v="0"/>
    <x v="10"/>
  </r>
  <r>
    <d v="2024-12-03T00:00:00"/>
    <x v="3"/>
    <x v="4"/>
    <s v="Monitor"/>
    <s v="Monitor"/>
    <x v="0"/>
    <n v="14"/>
    <n v="262.67"/>
    <s v="Store A"/>
    <s v="Retail"/>
    <n v="0.05"/>
    <x v="3"/>
    <n v="3493.511"/>
    <s v="Gift Card"/>
    <s v="SAVE10"/>
    <n v="0"/>
    <s v="REG101498"/>
    <s v="Cust 1824"/>
    <n v="24.53"/>
    <d v="2024-12-03T00:00:00"/>
    <d v="2024-12-10T00:00:00"/>
    <s v="Cameron"/>
    <n v="3318.83545"/>
    <n v="3677.38"/>
    <n v="358.54455000000007"/>
    <x v="1"/>
    <x v="1"/>
  </r>
  <r>
    <d v="2025-05-09T00:00:00"/>
    <x v="4"/>
    <x v="3"/>
    <s v="Chair"/>
    <s v="Chair"/>
    <x v="1"/>
    <n v="13"/>
    <n v="221.39"/>
    <s v="Store D"/>
    <s v="Wholesale"/>
    <n v="0"/>
    <x v="2"/>
    <n v="2878.07"/>
    <s v="Debit Card"/>
    <s v="FREESHIP"/>
    <n v="1"/>
    <s v="REG101499"/>
    <s v="Cust 1935"/>
    <n v="21.05"/>
    <d v="2025-05-09T00:00:00"/>
    <d v="2025-05-13T00:00:00"/>
    <s v="Wendy"/>
    <n v="2878.07"/>
    <n v="2878.0699999999997"/>
    <n v="0"/>
    <x v="0"/>
    <x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F59608-DC2C-48F8-9A08-5E7E64BA14EA}" name="PivotTable4"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F12:G16" firstHeaderRow="1" firstDataRow="1" firstDataCol="1"/>
  <pivotFields count="30">
    <pivotField compact="0" numFmtId="14" outline="0" showAll="0"/>
    <pivotField compact="0" outline="0" showAll="0">
      <items count="6">
        <item x="3"/>
        <item x="0"/>
        <item x="2"/>
        <item x="1"/>
        <item x="4"/>
        <item t="default"/>
      </items>
    </pivotField>
    <pivotField compact="0" outline="0" showAll="0"/>
    <pivotField compact="0" outline="0" showAll="0"/>
    <pivotField compact="0" outline="0" showAll="0"/>
    <pivotField axis="axisRow"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5"/>
  </rowFields>
  <rowItems count="4">
    <i>
      <x/>
    </i>
    <i>
      <x v="1"/>
    </i>
    <i>
      <x v="2"/>
    </i>
    <i t="grand">
      <x/>
    </i>
  </rowItems>
  <colItems count="1">
    <i/>
  </colItems>
  <dataFields count="1">
    <dataField name="Sum of Net Sales" fld="22" baseField="5" baseItem="0" numFmtId="1"/>
  </dataFields>
  <chartFormats count="4">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5" count="1" selected="0">
            <x v="2"/>
          </reference>
        </references>
      </pivotArea>
    </chartFormat>
    <chartFormat chart="6" format="5">
      <pivotArea type="data" outline="0" fieldPosition="0">
        <references count="2">
          <reference field="4294967294" count="1" selected="0">
            <x v="0"/>
          </reference>
          <reference field="5" count="1" selected="0">
            <x v="0"/>
          </reference>
        </references>
      </pivotArea>
    </chartFormat>
    <chartFormat chart="6"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C72516-45C6-4E79-977C-84772A67CFB8}" name="PivotTable7"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6">
  <location ref="J9:K16" firstHeaderRow="1" firstDataRow="1" firstDataCol="1"/>
  <pivotFields count="30">
    <pivotField compact="0" numFmtId="1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axis="axisRow" compact="0" outline="0" showAll="0" sortType="ascending">
      <items count="7">
        <item x="1"/>
        <item x="5"/>
        <item x="3"/>
        <item x="4"/>
        <item x="0"/>
        <item x="2"/>
        <item t="default"/>
      </items>
      <autoSortScope>
        <pivotArea dataOnly="0" outline="0" fieldPosition="0">
          <references count="1">
            <reference field="4294967294" count="1" selected="0">
              <x v="0"/>
            </reference>
          </references>
        </pivotArea>
      </autoSortScope>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1"/>
  </rowFields>
  <rowItems count="7">
    <i>
      <x v="3"/>
    </i>
    <i>
      <x v="4"/>
    </i>
    <i>
      <x v="2"/>
    </i>
    <i>
      <x v="5"/>
    </i>
    <i>
      <x/>
    </i>
    <i>
      <x v="1"/>
    </i>
    <i t="grand">
      <x/>
    </i>
  </rowItems>
  <colItems count="1">
    <i/>
  </colItems>
  <dataFields count="1">
    <dataField name="Sum of Net Sales" fld="22" baseField="11" baseItem="0" numFmtId="1"/>
  </dataFields>
  <chartFormats count="6">
    <chartFormat chart="6"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3" format="1"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7238E-1D3B-47A0-AE93-1A4F32FF4C1B}" name="PivotTable5"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9">
  <location ref="F20:G28" firstHeaderRow="1" firstDataRow="1" firstDataCol="1"/>
  <pivotFields count="30">
    <pivotField compact="0" numFmtId="14" outline="0" showAll="0"/>
    <pivotField compact="0" outline="0" showAll="0">
      <items count="6">
        <item x="3"/>
        <item x="0"/>
        <item x="2"/>
        <item x="1"/>
        <item x="4"/>
        <item t="default"/>
      </items>
    </pivotField>
    <pivotField axis="axisRow" compact="0" outline="0" showAll="0" sortType="ascending">
      <items count="8">
        <item x="3"/>
        <item x="2"/>
        <item x="0"/>
        <item x="4"/>
        <item x="1"/>
        <item x="6"/>
        <item x="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compact="0" outline="0" showAll="0"/>
    <pivotField compact="0" outline="0" showAll="0"/>
    <pivotField dataField="1" compact="0" outline="0" showAll="0"/>
    <pivotField compact="0" outline="0" showAll="0"/>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
  </rowFields>
  <rowItems count="8">
    <i>
      <x v="4"/>
    </i>
    <i>
      <x/>
    </i>
    <i>
      <x v="1"/>
    </i>
    <i>
      <x v="6"/>
    </i>
    <i>
      <x v="3"/>
    </i>
    <i>
      <x v="2"/>
    </i>
    <i>
      <x v="5"/>
    </i>
    <i t="grand">
      <x/>
    </i>
  </rowItems>
  <colItems count="1">
    <i/>
  </colItems>
  <dataFields count="1">
    <dataField name="Sum of Profit" fld="24" baseField="2" baseItem="2" numFmtId="1"/>
  </dataFields>
  <chartFormats count="18">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7" format="24" series="1">
      <pivotArea type="data" outline="0" fieldPosition="0">
        <references count="1">
          <reference field="4294967294" count="1" selected="0">
            <x v="0"/>
          </reference>
        </references>
      </pivotArea>
    </chartFormat>
    <chartFormat chart="17" format="25">
      <pivotArea type="data" outline="0" fieldPosition="0">
        <references count="2">
          <reference field="4294967294" count="1" selected="0">
            <x v="0"/>
          </reference>
          <reference field="2" count="1" selected="0">
            <x v="0"/>
          </reference>
        </references>
      </pivotArea>
    </chartFormat>
    <chartFormat chart="17" format="26">
      <pivotArea type="data" outline="0" fieldPosition="0">
        <references count="2">
          <reference field="4294967294" count="1" selected="0">
            <x v="0"/>
          </reference>
          <reference field="2" count="1" selected="0">
            <x v="1"/>
          </reference>
        </references>
      </pivotArea>
    </chartFormat>
    <chartFormat chart="17" format="27">
      <pivotArea type="data" outline="0" fieldPosition="0">
        <references count="2">
          <reference field="4294967294" count="1" selected="0">
            <x v="0"/>
          </reference>
          <reference field="2" count="1" selected="0">
            <x v="2"/>
          </reference>
        </references>
      </pivotArea>
    </chartFormat>
    <chartFormat chart="17" format="28">
      <pivotArea type="data" outline="0" fieldPosition="0">
        <references count="2">
          <reference field="4294967294" count="1" selected="0">
            <x v="0"/>
          </reference>
          <reference field="2" count="1" selected="0">
            <x v="3"/>
          </reference>
        </references>
      </pivotArea>
    </chartFormat>
    <chartFormat chart="17" format="29">
      <pivotArea type="data" outline="0" fieldPosition="0">
        <references count="2">
          <reference field="4294967294" count="1" selected="0">
            <x v="0"/>
          </reference>
          <reference field="2" count="1" selected="0">
            <x v="4"/>
          </reference>
        </references>
      </pivotArea>
    </chartFormat>
    <chartFormat chart="17" format="30">
      <pivotArea type="data" outline="0" fieldPosition="0">
        <references count="2">
          <reference field="4294967294" count="1" selected="0">
            <x v="0"/>
          </reference>
          <reference field="2" count="1" selected="0">
            <x v="5"/>
          </reference>
        </references>
      </pivotArea>
    </chartFormat>
    <chartFormat chart="17" format="31">
      <pivotArea type="data" outline="0" fieldPosition="0">
        <references count="2">
          <reference field="4294967294" count="1" selected="0">
            <x v="0"/>
          </reference>
          <reference field="2" count="1" selected="0">
            <x v="6"/>
          </reference>
        </references>
      </pivotArea>
    </chartFormat>
    <chartFormat chart="19" format="16" series="1">
      <pivotArea type="data" outline="0" fieldPosition="0">
        <references count="1">
          <reference field="4294967294" count="1" selected="0">
            <x v="0"/>
          </reference>
        </references>
      </pivotArea>
    </chartFormat>
    <chartFormat chart="19" format="17">
      <pivotArea type="data" outline="0" fieldPosition="0">
        <references count="2">
          <reference field="4294967294" count="1" selected="0">
            <x v="0"/>
          </reference>
          <reference field="2" count="1" selected="0">
            <x v="0"/>
          </reference>
        </references>
      </pivotArea>
    </chartFormat>
    <chartFormat chart="19" format="18">
      <pivotArea type="data" outline="0" fieldPosition="0">
        <references count="2">
          <reference field="4294967294" count="1" selected="0">
            <x v="0"/>
          </reference>
          <reference field="2" count="1" selected="0">
            <x v="1"/>
          </reference>
        </references>
      </pivotArea>
    </chartFormat>
    <chartFormat chart="19" format="19">
      <pivotArea type="data" outline="0" fieldPosition="0">
        <references count="2">
          <reference field="4294967294" count="1" selected="0">
            <x v="0"/>
          </reference>
          <reference field="2" count="1" selected="0">
            <x v="2"/>
          </reference>
        </references>
      </pivotArea>
    </chartFormat>
    <chartFormat chart="19" format="20">
      <pivotArea type="data" outline="0" fieldPosition="0">
        <references count="2">
          <reference field="4294967294" count="1" selected="0">
            <x v="0"/>
          </reference>
          <reference field="2" count="1" selected="0">
            <x v="3"/>
          </reference>
        </references>
      </pivotArea>
    </chartFormat>
    <chartFormat chart="19" format="21">
      <pivotArea type="data" outline="0" fieldPosition="0">
        <references count="2">
          <reference field="4294967294" count="1" selected="0">
            <x v="0"/>
          </reference>
          <reference field="2" count="1" selected="0">
            <x v="4"/>
          </reference>
        </references>
      </pivotArea>
    </chartFormat>
    <chartFormat chart="19" format="22">
      <pivotArea type="data" outline="0" fieldPosition="0">
        <references count="2">
          <reference field="4294967294" count="1" selected="0">
            <x v="0"/>
          </reference>
          <reference field="2" count="1" selected="0">
            <x v="5"/>
          </reference>
        </references>
      </pivotArea>
    </chartFormat>
    <chartFormat chart="19" format="23">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72F901-4AA2-40B8-8842-A290E21592CA}"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4" firstHeaderRow="0" firstDataRow="1" firstDataCol="0"/>
  <pivotFields count="30">
    <pivotField compact="0" numFmtId="1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dataField="1" compact="0" outline="0" showAll="0"/>
    <pivotField compact="0" outline="0" showAll="0"/>
    <pivotField compact="0" numFmtId="2" outline="0" showAll="0"/>
    <pivotField compact="0" numFmtId="14" outline="0" showAll="0"/>
    <pivotField compact="0" numFmtId="14"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Items count="1">
    <i/>
  </rowItems>
  <colFields count="1">
    <field x="-2"/>
  </colFields>
  <colItems count="3">
    <i>
      <x/>
    </i>
    <i i="1">
      <x v="1"/>
    </i>
    <i i="2">
      <x v="2"/>
    </i>
  </colItems>
  <dataFields count="3">
    <dataField name="Total Sales" fld="22" baseField="0" baseItem="0" numFmtId="164"/>
    <dataField name="Total Profit" fld="24" baseField="0" baseItem="0" numFmtId="166"/>
    <dataField name="Total Orders" fld="16" subtotal="count" baseField="0" baseItem="0"/>
  </dataFields>
  <formats count="2">
    <format dxfId="6">
      <pivotArea outline="0" fieldPosition="0">
        <references count="1">
          <reference field="4294967294" count="1" selected="0">
            <x v="0"/>
          </reference>
        </references>
      </pivotArea>
    </format>
    <format dxfId="5">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625C18-C3B3-4AFE-AEFE-71C9D272BCAC}" name="PivotTable6"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8">
  <location ref="J3:K7" firstHeaderRow="1" firstDataRow="1" firstDataCol="1"/>
  <pivotFields count="30">
    <pivotField compact="0" numFmtId="1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compact="0" outline="0" showAll="0"/>
    <pivotField compact="0" outline="0" showAll="0"/>
    <pivotField dataField="1" compact="0" outline="0" showAll="0"/>
    <pivotField axis="axisRow" compact="0" outline="0" showAll="0">
      <items count="5">
        <item m="1" x="3"/>
        <item x="0"/>
        <item x="2"/>
        <item x="1"/>
        <item t="default"/>
      </items>
    </pivotField>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25"/>
  </rowFields>
  <rowItems count="4">
    <i>
      <x v="1"/>
    </i>
    <i>
      <x v="2"/>
    </i>
    <i>
      <x v="3"/>
    </i>
    <i t="grand">
      <x/>
    </i>
  </rowItems>
  <colItems count="1">
    <i/>
  </colItems>
  <dataFields count="1">
    <dataField name="Sum of Profit" fld="24" baseField="25" baseItem="2" numFmtId="1"/>
  </dataFields>
  <chartFormats count="1">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4145E6-5752-4A66-BCFF-7F00C8019139}" name="PivotTable3"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H9" firstHeaderRow="0" firstDataRow="1" firstDataCol="1"/>
  <pivotFields count="30">
    <pivotField compact="0" numFmtId="14" outline="0" showAll="0"/>
    <pivotField axis="axisRow" compact="0" outline="0" showAll="0">
      <items count="6">
        <item x="3"/>
        <item x="0"/>
        <item x="2"/>
        <item x="1"/>
        <item x="4"/>
        <item t="default"/>
      </items>
    </pivotField>
    <pivotField compact="0" outline="0" showAll="0"/>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dataField="1" compact="0" outline="0" showAll="0"/>
    <pivotField compact="0" outline="0" showAll="0"/>
    <pivotField dataField="1" compact="0" outline="0" showAll="0"/>
    <pivotField compact="0" outline="0" showAll="0"/>
    <pivotField compact="0" outline="0" showAll="0">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6">
    <i>
      <x/>
    </i>
    <i>
      <x v="1"/>
    </i>
    <i>
      <x v="2"/>
    </i>
    <i>
      <x v="3"/>
    </i>
    <i>
      <x v="4"/>
    </i>
    <i t="grand">
      <x/>
    </i>
  </rowItems>
  <colFields count="1">
    <field x="-2"/>
  </colFields>
  <colItems count="2">
    <i>
      <x/>
    </i>
    <i i="1">
      <x v="1"/>
    </i>
  </colItems>
  <dataFields count="2">
    <dataField name="Sum of Net Sales" fld="22" baseField="1" baseItem="0" numFmtId="1"/>
    <dataField name="Sum of Profit" fld="24" baseField="1"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EAE7F7B-052A-4790-A823-9700476C754C}" name="PivotTable2"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7">
  <location ref="A8:C42" firstHeaderRow="1" firstDataRow="1" firstDataCol="2"/>
  <pivotFields count="30">
    <pivotField compact="0" numFmtId="14" outline="0" showAll="0"/>
    <pivotField compact="0" outline="0" showAll="0">
      <items count="6">
        <item x="3"/>
        <item x="0"/>
        <item x="2"/>
        <item x="1"/>
        <item x="4"/>
        <item t="default"/>
      </items>
    </pivotField>
    <pivotField compact="0" outline="0" showAll="0"/>
    <pivotField compact="0" outline="0" showAll="0"/>
    <pivotField compact="0" outline="0" showAll="0"/>
    <pivotField compact="0" outline="0" showAll="0">
      <items count="4">
        <item x="1"/>
        <item x="2"/>
        <item x="0"/>
        <item t="default"/>
      </items>
    </pivotField>
    <pivotField compact="0" numFmtId="2" outline="0" showAll="0"/>
    <pivotField compact="0" outline="0" showAll="0"/>
    <pivotField compact="0" outline="0" showAll="0"/>
    <pivotField compact="0" outline="0" showAll="0"/>
    <pivotField compact="0" numFmtId="10" outline="0" showAll="0"/>
    <pivotField compact="0" outline="0" showAll="0">
      <items count="7">
        <item x="1"/>
        <item x="5"/>
        <item x="3"/>
        <item x="4"/>
        <item x="0"/>
        <item x="2"/>
        <item t="default"/>
      </items>
    </pivotField>
    <pivotField compact="0" numFmtId="2" outline="0" showAll="0"/>
    <pivotField compact="0" outline="0" showAll="0"/>
    <pivotField compact="0" outline="0" showAll="0"/>
    <pivotField compact="0" numFmtId="2" outline="0" showAll="0"/>
    <pivotField compact="0" outline="0" showAll="0"/>
    <pivotField compact="0" outline="0" showAll="0"/>
    <pivotField compact="0" numFmtId="2" outline="0" showAll="0"/>
    <pivotField compact="0" numFmtId="14" outline="0" showAll="0"/>
    <pivotField compact="0" numFmtId="14" outline="0" showAll="0"/>
    <pivotField compact="0" outline="0" showAll="0"/>
    <pivotField dataField="1" compact="0" outline="0" showAll="0"/>
    <pivotField compact="0" outline="0" showAll="0"/>
    <pivotField compact="0" outline="0" showAll="0"/>
    <pivotField compact="0" outline="0" showAll="0"/>
    <pivotField compact="0" outline="0" showAll="0" sortType="ascending">
      <items count="31">
        <item x="6"/>
        <item x="0"/>
        <item x="17"/>
        <item x="21"/>
        <item x="2"/>
        <item x="4"/>
        <item x="11"/>
        <item x="18"/>
        <item x="22"/>
        <item x="19"/>
        <item x="15"/>
        <item x="27"/>
        <item x="24"/>
        <item x="5"/>
        <item x="25"/>
        <item x="9"/>
        <item x="14"/>
        <item x="23"/>
        <item x="10"/>
        <item x="29"/>
        <item x="26"/>
        <item x="7"/>
        <item x="20"/>
        <item x="1"/>
        <item x="12"/>
        <item x="3"/>
        <item x="8"/>
        <item x="28"/>
        <item x="13"/>
        <item x="16"/>
        <item t="default"/>
      </items>
    </pivotField>
    <pivotField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axis="axisRow" compact="0" outline="0" showAll="0">
      <items count="6">
        <item sd="0" x="0"/>
        <item x="1"/>
        <item x="2"/>
        <item x="3"/>
        <item sd="0" x="4"/>
        <item t="default"/>
      </items>
    </pivotField>
  </pivotFields>
  <rowFields count="2">
    <field x="29"/>
    <field x="27"/>
  </rowFields>
  <rowItems count="34">
    <i>
      <x v="1"/>
      <x v="1"/>
    </i>
    <i r="1">
      <x v="2"/>
    </i>
    <i r="1">
      <x v="3"/>
    </i>
    <i r="1">
      <x v="4"/>
    </i>
    <i r="1">
      <x v="5"/>
    </i>
    <i r="1">
      <x v="6"/>
    </i>
    <i r="1">
      <x v="7"/>
    </i>
    <i r="1">
      <x v="8"/>
    </i>
    <i r="1">
      <x v="9"/>
    </i>
    <i r="1">
      <x v="10"/>
    </i>
    <i r="1">
      <x v="11"/>
    </i>
    <i r="1">
      <x v="12"/>
    </i>
    <i t="default">
      <x v="1"/>
    </i>
    <i>
      <x v="2"/>
      <x v="1"/>
    </i>
    <i r="1">
      <x v="2"/>
    </i>
    <i r="1">
      <x v="3"/>
    </i>
    <i r="1">
      <x v="4"/>
    </i>
    <i r="1">
      <x v="5"/>
    </i>
    <i r="1">
      <x v="6"/>
    </i>
    <i r="1">
      <x v="7"/>
    </i>
    <i r="1">
      <x v="8"/>
    </i>
    <i r="1">
      <x v="9"/>
    </i>
    <i r="1">
      <x v="10"/>
    </i>
    <i r="1">
      <x v="11"/>
    </i>
    <i r="1">
      <x v="12"/>
    </i>
    <i t="default">
      <x v="2"/>
    </i>
    <i>
      <x v="3"/>
      <x v="1"/>
    </i>
    <i r="1">
      <x v="2"/>
    </i>
    <i r="1">
      <x v="3"/>
    </i>
    <i r="1">
      <x v="4"/>
    </i>
    <i r="1">
      <x v="5"/>
    </i>
    <i r="1">
      <x v="6"/>
    </i>
    <i t="default">
      <x v="3"/>
    </i>
    <i t="grand">
      <x/>
    </i>
  </rowItems>
  <colItems count="1">
    <i/>
  </colItems>
  <dataFields count="1">
    <dataField name="Sum of Net Sales" fld="22" baseField="27" baseItem="3" numFmtId="1"/>
  </dataFields>
  <formats count="2">
    <format dxfId="8">
      <pivotArea dataOnly="0" labelOnly="1" grandRow="1" outline="0" fieldPosition="0"/>
    </format>
    <format dxfId="7">
      <pivotArea outline="0" fieldPosition="0">
        <references count="1">
          <reference field="4294967294" count="1">
            <x v="0"/>
          </reference>
        </references>
      </pivotArea>
    </format>
  </formats>
  <chartFormats count="2">
    <chartFormat chart="24" format="1"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B4BA8C5-70CF-4D79-B932-0454FAE983B2}" sourceName="Category">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857761367">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9D6208C1-83CD-4AE8-8D05-E26B7EE78677}" sourceName="Salesperso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857761367">
      <items count="6">
        <i x="1" s="1"/>
        <i x="5" s="1"/>
        <i x="3" s="1"/>
        <i x="4"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2F79BF0-B101-4CF2-B123-A2710022C3E8}" sourceName="Region">
  <pivotTables>
    <pivotTable tabId="3" name="PivotTable7"/>
    <pivotTable tabId="3" name="PivotTable1"/>
    <pivotTable tabId="3" name="PivotTable2"/>
    <pivotTable tabId="3" name="PivotTable3"/>
    <pivotTable tabId="3" name="PivotTable4"/>
    <pivotTable tabId="3" name="PivotTable5"/>
    <pivotTable tabId="3" name="PivotTable6"/>
  </pivotTables>
  <data>
    <tabular pivotCacheId="1857761367">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AFA13C3-3822-488A-8D7B-32F8AD248D21}" cache="Slicer_Category" caption="Category" rowHeight="228600"/>
  <slicer name="Salesperson 1" xr10:uid="{725DAC5D-8100-4270-A966-7DD88A9EF495}" cache="Slicer_Salesperson" caption="Salesperson" rowHeight="228600"/>
  <slicer name="Region 1" xr10:uid="{9BAE0FFA-F8EA-4BC3-99A0-7FA6066AF068}" cache="Slicer_Region" caption="Region"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53F7414-AAA9-4219-B738-87423A4B21DD}" cache="Slicer_Category" caption="Category" rowHeight="228600"/>
  <slicer name="Salesperson" xr10:uid="{983DA90A-30DF-4B5E-A7D5-C96315305A88}" cache="Slicer_Salesperson" caption="Salesperson"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D9A5D93-9EFA-4E64-95C2-FCC1CBD0D14B}" name="Table1" displayName="Table1" ref="A1:AA1501" totalsRowShown="0">
  <autoFilter ref="A1:AA1501" xr:uid="{3D9A5D93-9EFA-4E64-95C2-FCC1CBD0D14B}"/>
  <tableColumns count="27">
    <tableColumn id="1" xr3:uid="{CD094557-33C5-4D0A-B5C6-31E8FBA26FE2}" name="Date" dataDxfId="20"/>
    <tableColumn id="2" xr3:uid="{3DA60D9A-FB04-4DE9-8FF3-F635A2971167}" name="Region"/>
    <tableColumn id="3" xr3:uid="{4A0334F1-30F5-4CA6-A150-35376B9F2095}" name="Product"/>
    <tableColumn id="26" xr3:uid="{17A3DB0A-E054-4579-B13C-8D308A92C862}" name="Column1" dataDxfId="19">
      <calculatedColumnFormula>TRIM(Table1[[#This Row],[Product]])</calculatedColumnFormula>
    </tableColumn>
    <tableColumn id="27" xr3:uid="{19B8B28C-6473-425C-A0E8-C41EFCA05542}" name="Column2" dataDxfId="18">
      <calculatedColumnFormula>PROPER(Table1[[#This Row],[Column1]])</calculatedColumnFormula>
    </tableColumn>
    <tableColumn id="25" xr3:uid="{83E7E07D-2108-4DBE-B311-6230E05D41B4}" name="Category" dataDxfId="17">
      <calculatedColumnFormula>IF(OR(E2="Chair",E2="Desk"),"Furniture",IF(OR(E2="Laptop",E2="Monitor",E2="Phone",E2="Tablet"),"Technology",IF(E2="Printer","Office Supplies","Other")))</calculatedColumnFormula>
    </tableColumn>
    <tableColumn id="4" xr3:uid="{339C7ED7-55EF-4158-A1F3-BE35D3779640}" name="Quantity" dataDxfId="16"/>
    <tableColumn id="5" xr3:uid="{4EF72580-22D9-441D-9BA3-EB992785DDDE}" name="UnitPrice"/>
    <tableColumn id="6" xr3:uid="{75F92CEA-484A-4CE3-A697-6C27FAE5AB3B}" name="StoreLocation"/>
    <tableColumn id="7" xr3:uid="{193984DF-84BF-4D0E-B652-0A085CF83748}" name="CustomerType"/>
    <tableColumn id="8" xr3:uid="{0031377B-9D5E-4D6D-B9E9-2E5872740537}" name="Discount" dataDxfId="15"/>
    <tableColumn id="9" xr3:uid="{881AD68E-1033-4FE2-946B-FE0E7E0AB81C}" name="Salesperson"/>
    <tableColumn id="10" xr3:uid="{E84C9BCF-A47D-47A6-9092-2309993C188D}" name="TotalPrice" dataDxfId="14"/>
    <tableColumn id="11" xr3:uid="{44EEB082-018C-4377-8334-310F94F16E70}" name="PaymentMethod"/>
    <tableColumn id="12" xr3:uid="{A240D09B-72E6-4025-BC9F-042133E1A12C}" name="Promotion"/>
    <tableColumn id="13" xr3:uid="{694D3061-2162-4CB0-B157-38979D79285A}" name="Returned" dataDxfId="13"/>
    <tableColumn id="14" xr3:uid="{56A0BD94-B6AB-44CD-B3AE-7A52FB8CFB61}" name="OrderID"/>
    <tableColumn id="15" xr3:uid="{E08AF744-23FA-4C65-91D8-A01CF09F27F3}" name="CustomerName"/>
    <tableColumn id="16" xr3:uid="{7EEA0E69-EEF8-4E46-99B1-CCC8B59EE727}" name="ShippingCost" dataDxfId="12"/>
    <tableColumn id="17" xr3:uid="{E22272E8-6719-431C-8B44-C641053927DE}" name="OrderDate" dataDxfId="11"/>
    <tableColumn id="18" xr3:uid="{DF6F7EB2-58F8-4956-A80F-200BC3C8B70D}" name="DeliveryDate" dataDxfId="10"/>
    <tableColumn id="19" xr3:uid="{67B7621C-5357-4271-9302-18CC9FED1BC2}" name="RegionManager"/>
    <tableColumn id="20" xr3:uid="{6B8BB9C7-75A5-40CD-835B-28ACAAD79030}" name="Net Sales">
      <calculatedColumnFormula>M2*(1-K2)</calculatedColumnFormula>
    </tableColumn>
    <tableColumn id="21" xr3:uid="{597EF25E-588E-4569-B561-6A0E18A31F1C}" name="Sales">
      <calculatedColumnFormula>G2*H2</calculatedColumnFormula>
    </tableColumn>
    <tableColumn id="22" xr3:uid="{7CBFFD80-F8BA-4F0D-8FF8-F73D0D0B0174}" name="Profit">
      <calculatedColumnFormula>X2-W2</calculatedColumnFormula>
    </tableColumn>
    <tableColumn id="23" xr3:uid="{8D9F50C1-17F7-4B3F-A874-2B00EA463122}" name="Discount Category" dataDxfId="4">
      <calculatedColumnFormula>IF(K2=0,"No Discount",IF(K2&lt;5%,"Low",IF(K2&lt;15%,"Medium","High")))</calculatedColumnFormula>
    </tableColumn>
    <tableColumn id="24" xr3:uid="{7D32D4B2-53C8-4919-82D8-76E3655FFC35}" name="Year-Month" dataDxfId="9">
      <calculatedColumnFormula>DATE(YEAR(Table1[[#This Row],[OrderDate]]),MONTH(Table1[[#This Row],[OrderDate]]),1)</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A25D6-CD71-4633-9938-68525BF94D9E}">
  <dimension ref="A1:X41"/>
  <sheetViews>
    <sheetView tabSelected="1" zoomScale="80" zoomScaleNormal="80" workbookViewId="0">
      <selection activeCell="R19" sqref="R19"/>
    </sheetView>
  </sheetViews>
  <sheetFormatPr defaultRowHeight="14.4" x14ac:dyDescent="0.3"/>
  <cols>
    <col min="16" max="17" width="8.88671875" customWidth="1"/>
    <col min="18" max="18" width="25.5546875" customWidth="1"/>
    <col min="19" max="19" width="10.88671875" bestFit="1" customWidth="1"/>
    <col min="20" max="20" width="10.44140625" bestFit="1" customWidth="1"/>
  </cols>
  <sheetData>
    <row r="1" spans="1:24" x14ac:dyDescent="0.3">
      <c r="A1" s="11"/>
      <c r="B1" s="11"/>
      <c r="C1" s="11"/>
      <c r="D1" s="11"/>
      <c r="E1" s="11"/>
      <c r="F1" s="11"/>
      <c r="G1" s="11"/>
      <c r="H1" s="11"/>
      <c r="I1" s="11"/>
      <c r="J1" s="11"/>
      <c r="K1" s="11"/>
      <c r="L1" s="11"/>
      <c r="M1" s="11"/>
      <c r="N1" s="11"/>
      <c r="O1" s="11"/>
      <c r="P1" s="11"/>
      <c r="Q1" s="11"/>
      <c r="R1" s="11"/>
      <c r="S1" s="11"/>
      <c r="T1" s="11"/>
      <c r="U1" s="11"/>
      <c r="V1" s="11"/>
      <c r="W1" s="11"/>
      <c r="X1" s="11"/>
    </row>
    <row r="2" spans="1:24" x14ac:dyDescent="0.3">
      <c r="A2" s="11"/>
      <c r="B2" s="11"/>
      <c r="C2" s="11"/>
      <c r="D2" s="11"/>
      <c r="E2" s="11"/>
      <c r="F2" s="11"/>
      <c r="G2" s="11"/>
      <c r="H2" s="11"/>
      <c r="I2" s="11"/>
      <c r="J2" s="11"/>
      <c r="K2" s="11"/>
      <c r="L2" s="11"/>
      <c r="M2" s="11"/>
      <c r="N2" s="11"/>
      <c r="O2" s="11"/>
      <c r="P2" s="11"/>
      <c r="Q2" s="11"/>
      <c r="R2" s="11"/>
      <c r="S2" s="11"/>
      <c r="T2" s="11"/>
      <c r="U2" s="11"/>
      <c r="V2" s="11"/>
      <c r="W2" s="11"/>
      <c r="X2" s="11"/>
    </row>
    <row r="3" spans="1:24" x14ac:dyDescent="0.3">
      <c r="A3" s="11"/>
      <c r="B3" s="11"/>
      <c r="C3" s="11"/>
      <c r="D3" s="11"/>
      <c r="E3" s="11"/>
      <c r="F3" s="11"/>
      <c r="G3" s="11"/>
      <c r="H3" s="11"/>
      <c r="I3" s="11"/>
      <c r="J3" s="11"/>
      <c r="K3" s="11"/>
      <c r="L3" s="11"/>
      <c r="M3" s="11"/>
      <c r="N3" s="11"/>
      <c r="O3" s="11"/>
      <c r="P3" s="11"/>
      <c r="Q3" s="11"/>
      <c r="R3" s="11"/>
      <c r="S3" s="11"/>
      <c r="T3" s="11"/>
      <c r="U3" s="11"/>
      <c r="V3" s="11"/>
      <c r="W3" s="11"/>
      <c r="X3" s="11"/>
    </row>
    <row r="4" spans="1:24" x14ac:dyDescent="0.3">
      <c r="A4" s="11"/>
      <c r="B4" s="11"/>
      <c r="C4" s="11"/>
      <c r="D4" s="11"/>
      <c r="E4" s="11"/>
      <c r="F4" s="11"/>
      <c r="G4" s="11"/>
      <c r="H4" s="11"/>
      <c r="I4" s="11"/>
      <c r="J4" s="11"/>
      <c r="K4" s="11"/>
      <c r="L4" s="11"/>
      <c r="M4" s="11"/>
      <c r="N4" s="11"/>
      <c r="O4" s="11"/>
      <c r="P4" s="11"/>
      <c r="Q4" s="11"/>
      <c r="R4" s="11"/>
      <c r="S4" s="11"/>
      <c r="T4" s="11"/>
      <c r="U4" s="11"/>
      <c r="V4" s="11"/>
      <c r="W4" s="11"/>
      <c r="X4" s="11"/>
    </row>
    <row r="5" spans="1:24" x14ac:dyDescent="0.3">
      <c r="A5" s="11"/>
      <c r="B5" s="11"/>
      <c r="C5" s="11"/>
      <c r="D5" s="11"/>
      <c r="E5" s="11"/>
      <c r="F5" s="11"/>
      <c r="G5" s="11"/>
      <c r="H5" s="11"/>
      <c r="I5" s="11"/>
      <c r="J5" s="11"/>
      <c r="K5" s="11"/>
      <c r="L5" s="11"/>
      <c r="M5" s="11"/>
      <c r="N5" s="11"/>
      <c r="O5" s="11"/>
      <c r="P5" s="11"/>
      <c r="Q5" s="11"/>
      <c r="R5" s="11"/>
      <c r="S5" s="11"/>
      <c r="T5" s="11"/>
      <c r="U5" s="11"/>
      <c r="V5" s="11"/>
      <c r="W5" s="11"/>
      <c r="X5" s="11"/>
    </row>
    <row r="6" spans="1:24" x14ac:dyDescent="0.3">
      <c r="A6" s="11"/>
      <c r="B6" s="11"/>
      <c r="C6" s="11"/>
      <c r="D6" s="11"/>
      <c r="E6" s="11"/>
      <c r="F6" s="11"/>
      <c r="G6" s="11"/>
      <c r="H6" s="11"/>
      <c r="I6" s="11"/>
      <c r="J6" s="11"/>
      <c r="K6" s="11"/>
      <c r="L6" s="11"/>
      <c r="M6" s="11"/>
      <c r="N6" s="11"/>
      <c r="O6" s="11"/>
      <c r="P6" s="11"/>
      <c r="Q6" s="11"/>
      <c r="R6" s="11"/>
      <c r="S6" s="11"/>
      <c r="T6" s="11"/>
      <c r="U6" s="11"/>
      <c r="V6" s="11"/>
      <c r="W6" s="11"/>
      <c r="X6" s="11"/>
    </row>
    <row r="7" spans="1:24" x14ac:dyDescent="0.3">
      <c r="A7" s="11"/>
      <c r="B7" s="11"/>
      <c r="C7" s="11"/>
      <c r="D7" s="11"/>
      <c r="E7" s="11"/>
      <c r="F7" s="11"/>
      <c r="G7" s="11"/>
      <c r="H7" s="11"/>
      <c r="I7" s="11"/>
      <c r="J7" s="11"/>
      <c r="K7" s="11"/>
      <c r="L7" s="11"/>
      <c r="M7" s="11"/>
      <c r="N7" s="11"/>
      <c r="O7" s="11"/>
      <c r="P7" s="11"/>
      <c r="Q7" s="11"/>
      <c r="R7" s="11"/>
      <c r="S7" s="11"/>
      <c r="T7" s="11"/>
      <c r="U7" s="11"/>
      <c r="V7" s="11"/>
      <c r="W7" s="11"/>
      <c r="X7" s="11"/>
    </row>
    <row r="8" spans="1:24" x14ac:dyDescent="0.3">
      <c r="A8" s="11"/>
      <c r="B8" s="11"/>
      <c r="C8" s="11"/>
      <c r="D8" s="11"/>
      <c r="E8" s="11"/>
      <c r="F8" s="11"/>
      <c r="G8" s="11"/>
      <c r="H8" s="11"/>
      <c r="I8" s="11"/>
      <c r="J8" s="11"/>
      <c r="K8" s="11"/>
      <c r="L8" s="11"/>
      <c r="N8" s="11"/>
      <c r="O8" s="11"/>
      <c r="P8" s="11"/>
      <c r="Q8" s="11"/>
      <c r="R8" s="11"/>
      <c r="S8" s="11"/>
      <c r="T8" s="11"/>
      <c r="U8" s="11"/>
      <c r="V8" s="11"/>
      <c r="W8" s="11"/>
      <c r="X8" s="11"/>
    </row>
    <row r="9" spans="1:24" x14ac:dyDescent="0.3">
      <c r="A9" s="11"/>
      <c r="B9" s="11"/>
      <c r="C9" s="11"/>
      <c r="D9" s="11"/>
      <c r="E9" s="11"/>
      <c r="F9" s="11"/>
      <c r="G9" s="11"/>
      <c r="H9" s="11"/>
      <c r="I9" s="11"/>
      <c r="J9" s="11"/>
      <c r="K9" s="11"/>
      <c r="L9" s="11"/>
      <c r="M9" s="11"/>
      <c r="N9" s="11"/>
      <c r="O9" s="11"/>
      <c r="P9" s="11"/>
      <c r="Q9" s="11"/>
      <c r="R9" s="11"/>
      <c r="S9" s="11"/>
      <c r="T9" s="11"/>
      <c r="U9" s="11"/>
      <c r="V9" s="11"/>
      <c r="W9" s="11"/>
      <c r="X9" s="11"/>
    </row>
    <row r="10" spans="1:24"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row>
    <row r="11" spans="1:24"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row>
    <row r="12" spans="1:24"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row>
    <row r="13" spans="1:24"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row>
    <row r="14" spans="1:24"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row>
    <row r="15" spans="1:24"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row>
    <row r="16" spans="1:24"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row>
    <row r="17" spans="1:24"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row>
    <row r="18" spans="1:24"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row>
    <row r="19" spans="1:24"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row>
    <row r="20" spans="1:24"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row>
    <row r="21" spans="1:24"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row>
    <row r="22" spans="1:24"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row>
    <row r="23" spans="1:24"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row>
    <row r="24" spans="1:24" x14ac:dyDescent="0.3">
      <c r="A24" s="11"/>
      <c r="B24" s="11"/>
      <c r="C24" s="11"/>
      <c r="D24" s="11"/>
      <c r="E24" s="11"/>
      <c r="F24" s="11"/>
      <c r="G24" s="11"/>
      <c r="H24" s="11"/>
      <c r="I24" s="11"/>
      <c r="J24" s="11"/>
      <c r="K24" s="11"/>
      <c r="L24" s="11"/>
      <c r="M24" s="11"/>
      <c r="N24" s="11"/>
      <c r="O24" s="11"/>
      <c r="P24" s="11"/>
      <c r="Q24" s="11"/>
      <c r="R24" s="11"/>
      <c r="S24" s="11"/>
    </row>
    <row r="25" spans="1:24" x14ac:dyDescent="0.3">
      <c r="A25" s="11"/>
      <c r="B25" s="11"/>
      <c r="C25" s="11"/>
      <c r="D25" s="11"/>
      <c r="E25" s="11"/>
      <c r="F25" s="11"/>
      <c r="G25" s="11"/>
      <c r="H25" s="11"/>
      <c r="I25" s="11"/>
      <c r="J25" s="11"/>
      <c r="K25" s="11"/>
      <c r="L25" s="11"/>
      <c r="M25" s="11"/>
      <c r="N25" s="11"/>
      <c r="O25" s="11"/>
      <c r="P25" s="11"/>
      <c r="Q25" s="11"/>
      <c r="R25" s="11"/>
      <c r="S25" s="11"/>
    </row>
    <row r="26" spans="1:24" ht="15.6" x14ac:dyDescent="0.3">
      <c r="A26" s="11"/>
      <c r="B26" s="11"/>
      <c r="C26" s="11"/>
      <c r="D26" s="11"/>
      <c r="E26" s="11"/>
      <c r="F26" s="11"/>
      <c r="G26" s="11"/>
      <c r="H26" s="13">
        <f>GETPIVOTDATA("Total Sales",'Pivot Data'!$A$3)</f>
        <v>4072350.0831249971</v>
      </c>
      <c r="I26" s="13">
        <f>GETPIVOTDATA("Total Profit",'Pivot Data'!$A$3)</f>
        <v>655542.85687499982</v>
      </c>
      <c r="J26" s="14">
        <f>GETPIVOTDATA("Total Orders",'Pivot Data'!$A$3)</f>
        <v>1500</v>
      </c>
      <c r="K26" s="11"/>
      <c r="L26" s="11"/>
      <c r="M26" s="11"/>
      <c r="N26" s="11"/>
      <c r="O26" s="11"/>
      <c r="P26" s="11"/>
      <c r="Q26" s="11"/>
      <c r="R26" s="11"/>
      <c r="S26" s="11"/>
    </row>
    <row r="27" spans="1:24" x14ac:dyDescent="0.3">
      <c r="A27" s="11"/>
      <c r="B27" s="11"/>
      <c r="C27" s="11"/>
      <c r="D27" s="11"/>
      <c r="E27" s="11"/>
      <c r="F27" s="11"/>
      <c r="G27" s="11"/>
      <c r="H27" s="11"/>
      <c r="I27" s="11"/>
      <c r="J27" s="11"/>
      <c r="K27" s="11"/>
      <c r="L27" s="11"/>
      <c r="M27" s="11"/>
      <c r="N27" s="11"/>
      <c r="O27" s="11"/>
      <c r="P27" s="11"/>
      <c r="Q27" s="11"/>
      <c r="R27" s="11"/>
      <c r="S27" s="11"/>
    </row>
    <row r="28" spans="1:24" x14ac:dyDescent="0.3">
      <c r="A28" s="11"/>
      <c r="B28" s="11"/>
      <c r="C28" s="11"/>
      <c r="D28" s="11"/>
      <c r="E28" s="11"/>
      <c r="F28" s="11"/>
      <c r="G28" s="11"/>
      <c r="H28" s="11"/>
      <c r="I28" s="11"/>
      <c r="J28" s="11"/>
      <c r="K28" s="11"/>
      <c r="L28" s="11"/>
      <c r="M28" s="11"/>
      <c r="N28" s="11"/>
      <c r="O28" s="11"/>
      <c r="P28" s="11"/>
      <c r="Q28" s="11"/>
      <c r="R28" s="11"/>
      <c r="S28" s="11"/>
      <c r="T28" s="16">
        <f>ROUND(H26,0)</f>
        <v>4072350</v>
      </c>
    </row>
    <row r="29" spans="1:24" x14ac:dyDescent="0.3">
      <c r="A29" s="11"/>
      <c r="B29" s="11"/>
      <c r="C29" s="11"/>
      <c r="D29" s="11"/>
      <c r="E29" s="11"/>
      <c r="F29" s="11"/>
      <c r="G29" s="11"/>
      <c r="H29" s="11"/>
      <c r="I29" s="11"/>
      <c r="J29" s="11"/>
      <c r="K29" s="11"/>
      <c r="L29" s="11"/>
      <c r="M29" s="11"/>
      <c r="N29" s="11"/>
      <c r="O29" s="11"/>
      <c r="P29" s="11"/>
      <c r="Q29" s="11"/>
      <c r="R29" s="11"/>
      <c r="S29" s="11"/>
    </row>
    <row r="30" spans="1:24" x14ac:dyDescent="0.3">
      <c r="A30" s="11"/>
      <c r="B30" s="11"/>
      <c r="C30" s="11"/>
      <c r="D30" s="11"/>
      <c r="E30" s="11"/>
      <c r="F30" s="11"/>
      <c r="G30" s="11"/>
      <c r="H30" s="11"/>
      <c r="I30" s="11"/>
      <c r="J30" s="11"/>
      <c r="K30" s="11"/>
      <c r="L30" s="11"/>
      <c r="M30" s="11"/>
      <c r="N30" s="11"/>
      <c r="O30" s="11"/>
      <c r="P30" s="11"/>
      <c r="Q30" s="11"/>
      <c r="R30" s="11"/>
      <c r="S30" s="11"/>
    </row>
    <row r="31" spans="1:24" ht="15.6" x14ac:dyDescent="0.3">
      <c r="T31" s="23"/>
    </row>
    <row r="32" spans="1:24" x14ac:dyDescent="0.3">
      <c r="A32" s="11"/>
      <c r="B32" s="11"/>
      <c r="C32" s="11"/>
      <c r="D32" s="11"/>
      <c r="E32" s="11"/>
      <c r="F32" s="11"/>
      <c r="G32" s="11"/>
      <c r="H32" s="11"/>
      <c r="I32" s="11"/>
      <c r="J32" s="11"/>
      <c r="K32" s="11"/>
      <c r="L32" s="11"/>
      <c r="M32" s="11"/>
      <c r="N32" s="11"/>
      <c r="O32" s="11"/>
      <c r="P32" s="11"/>
      <c r="Q32" s="11"/>
      <c r="R32" s="11"/>
      <c r="S32" s="18"/>
    </row>
    <row r="33" spans="1:20" ht="21" x14ac:dyDescent="0.4">
      <c r="A33" s="11"/>
      <c r="B33" s="11"/>
      <c r="C33" s="11"/>
      <c r="D33" s="11"/>
      <c r="E33" s="11"/>
      <c r="F33" s="11"/>
      <c r="G33" s="11"/>
      <c r="H33" s="11"/>
      <c r="I33" s="11"/>
      <c r="J33" s="11"/>
      <c r="K33" s="11"/>
      <c r="L33" s="11"/>
      <c r="M33" s="11"/>
      <c r="N33" s="11"/>
      <c r="O33" s="11"/>
      <c r="P33" s="11"/>
      <c r="Q33" s="11"/>
      <c r="R33" s="11"/>
      <c r="S33" s="21">
        <f>GETPIVOTDATA("Total Sales",'Pivot Data'!$A$3)</f>
        <v>4072350.0831249971</v>
      </c>
      <c r="T33" s="22">
        <f>GETPIVOTDATA("Total Orders",'Pivot Data'!$A$3)</f>
        <v>1500</v>
      </c>
    </row>
    <row r="34" spans="1:20" ht="21" x14ac:dyDescent="0.4">
      <c r="A34" s="11"/>
      <c r="B34" s="11"/>
      <c r="C34" s="11"/>
      <c r="D34" s="11"/>
      <c r="E34" s="11"/>
      <c r="F34" s="11"/>
      <c r="G34" s="11"/>
      <c r="H34" s="11"/>
      <c r="I34" s="11"/>
      <c r="J34" s="11"/>
      <c r="K34" s="11"/>
      <c r="L34" s="11"/>
      <c r="M34" s="11"/>
      <c r="N34" s="11"/>
      <c r="O34" s="11"/>
      <c r="P34" s="11"/>
      <c r="Q34" s="11"/>
      <c r="R34" s="11"/>
      <c r="S34" s="20">
        <f>GETPIVOTDATA("Total Profit",'Pivot Data'!$A$3)</f>
        <v>655542.85687499982</v>
      </c>
    </row>
    <row r="35" spans="1:20" x14ac:dyDescent="0.3">
      <c r="A35" s="11"/>
      <c r="B35" s="11"/>
      <c r="C35" s="11"/>
      <c r="D35" s="11"/>
      <c r="E35" s="11"/>
      <c r="F35" s="11"/>
      <c r="G35" s="11"/>
      <c r="H35" s="11"/>
      <c r="I35" s="11"/>
      <c r="J35" s="11"/>
      <c r="K35" s="11"/>
      <c r="L35" s="11"/>
      <c r="M35" s="11"/>
      <c r="N35" s="11"/>
      <c r="O35" s="11"/>
      <c r="P35" s="11"/>
      <c r="Q35" s="11"/>
      <c r="R35" s="11"/>
    </row>
    <row r="36" spans="1:20" x14ac:dyDescent="0.3">
      <c r="A36" s="11"/>
      <c r="B36" s="11"/>
      <c r="C36" s="11"/>
      <c r="D36" s="11"/>
      <c r="E36" s="11"/>
      <c r="F36" s="11"/>
      <c r="G36" s="11"/>
      <c r="H36" s="11"/>
      <c r="I36" s="11"/>
      <c r="J36" s="11"/>
      <c r="K36" s="11"/>
      <c r="L36" s="11"/>
      <c r="M36" s="11"/>
      <c r="N36" s="11"/>
      <c r="O36" s="11"/>
      <c r="P36" s="11"/>
      <c r="Q36" s="11"/>
      <c r="R36" s="11"/>
    </row>
    <row r="37" spans="1:20" x14ac:dyDescent="0.3">
      <c r="B37" s="11"/>
      <c r="C37" s="11" t="e" vm="1">
        <v>#VALUE!</v>
      </c>
      <c r="D37" s="11"/>
      <c r="E37" s="11"/>
      <c r="F37" s="11"/>
      <c r="G37" s="11"/>
      <c r="H37" s="11"/>
      <c r="I37" s="11"/>
      <c r="J37" s="11"/>
      <c r="K37" s="11"/>
      <c r="L37" s="11"/>
      <c r="M37" s="11"/>
      <c r="N37" s="11"/>
      <c r="O37" s="11"/>
      <c r="P37" s="11"/>
      <c r="Q37" s="11"/>
    </row>
    <row r="38" spans="1:20" x14ac:dyDescent="0.3">
      <c r="B38" s="11"/>
      <c r="C38" s="11"/>
      <c r="D38" s="11"/>
      <c r="E38" s="11"/>
      <c r="F38" s="11"/>
      <c r="G38" s="11"/>
      <c r="H38" s="11"/>
      <c r="I38" s="11"/>
      <c r="J38" s="11"/>
      <c r="K38" s="11"/>
      <c r="L38" s="11"/>
      <c r="M38" s="11"/>
      <c r="N38" s="11"/>
      <c r="O38" s="11"/>
      <c r="P38" s="11"/>
      <c r="Q38" s="11"/>
    </row>
    <row r="39" spans="1:20" ht="21" x14ac:dyDescent="0.4">
      <c r="B39" s="11"/>
      <c r="C39" s="11"/>
      <c r="D39" s="11"/>
      <c r="E39" s="11"/>
      <c r="F39" s="11"/>
      <c r="G39" s="11"/>
      <c r="H39" s="11"/>
      <c r="I39" s="11"/>
      <c r="J39" s="11"/>
      <c r="K39" s="11"/>
      <c r="L39" s="11"/>
      <c r="M39" s="11"/>
      <c r="N39" s="11"/>
      <c r="O39" s="11"/>
      <c r="P39" s="11"/>
      <c r="Q39" s="11"/>
      <c r="S39" s="24">
        <f>'Pivot Data'!D4</f>
        <v>0.16097409198473336</v>
      </c>
    </row>
    <row r="40" spans="1:20" x14ac:dyDescent="0.3">
      <c r="B40" s="11"/>
      <c r="C40" s="11"/>
      <c r="D40" s="11"/>
      <c r="E40" s="11"/>
      <c r="F40" s="11"/>
      <c r="G40" s="11"/>
      <c r="H40" s="11"/>
      <c r="I40" s="11"/>
      <c r="J40" s="11"/>
      <c r="K40" s="11"/>
      <c r="L40" s="11"/>
      <c r="M40" s="11"/>
      <c r="N40" s="11"/>
      <c r="O40" s="11"/>
      <c r="P40" s="11"/>
      <c r="Q40" s="11"/>
    </row>
    <row r="41" spans="1:20" x14ac:dyDescent="0.3">
      <c r="B41" s="11"/>
      <c r="C41" s="11"/>
      <c r="D41" s="11"/>
      <c r="E41" s="11"/>
      <c r="F41" s="11"/>
      <c r="G41" s="11"/>
      <c r="H41" s="11"/>
      <c r="I41" s="11"/>
      <c r="J41" s="11"/>
      <c r="K41" s="11"/>
      <c r="L41" s="11"/>
      <c r="M41" s="11"/>
      <c r="N41" s="11"/>
      <c r="O41" s="11"/>
      <c r="P41" s="11"/>
      <c r="Q41"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532"/>
  <sheetViews>
    <sheetView topLeftCell="S1" workbookViewId="0">
      <selection activeCell="Z3" sqref="Z3"/>
    </sheetView>
  </sheetViews>
  <sheetFormatPr defaultRowHeight="14.4" x14ac:dyDescent="0.3"/>
  <cols>
    <col min="1" max="1" width="11.109375" style="3" bestFit="1" customWidth="1"/>
    <col min="2" max="2" width="9.33203125" bestFit="1" customWidth="1"/>
    <col min="3" max="6" width="17" customWidth="1"/>
    <col min="7" max="7" width="11" style="5" bestFit="1" customWidth="1"/>
    <col min="8" max="8" width="11.44140625" bestFit="1" customWidth="1"/>
    <col min="9" max="9" width="15.44140625" bestFit="1" customWidth="1"/>
    <col min="10" max="10" width="16" bestFit="1" customWidth="1"/>
    <col min="11" max="11" width="11" style="7" bestFit="1" customWidth="1"/>
    <col min="12" max="12" width="13.88671875" bestFit="1" customWidth="1"/>
    <col min="13" max="13" width="12.109375" style="5" bestFit="1" customWidth="1"/>
    <col min="14" max="14" width="18.33203125" bestFit="1" customWidth="1"/>
    <col min="15" max="15" width="12.6640625" bestFit="1" customWidth="1"/>
    <col min="16" max="16" width="11.44140625" style="5" bestFit="1" customWidth="1"/>
    <col min="17" max="17" width="11" bestFit="1" customWidth="1"/>
    <col min="18" max="18" width="17" bestFit="1" customWidth="1"/>
    <col min="19" max="19" width="14.6640625" style="5" bestFit="1" customWidth="1"/>
    <col min="20" max="20" width="12.5546875" style="3" bestFit="1" customWidth="1"/>
    <col min="21" max="21" width="14.6640625" style="3" bestFit="1" customWidth="1"/>
    <col min="22" max="22" width="17.33203125" bestFit="1" customWidth="1"/>
    <col min="23" max="23" width="12.44140625" bestFit="1" customWidth="1"/>
    <col min="26" max="26" width="19.44140625" bestFit="1" customWidth="1"/>
    <col min="27" max="27" width="13.88671875" style="12" bestFit="1" customWidth="1"/>
  </cols>
  <sheetData>
    <row r="1" spans="1:27" x14ac:dyDescent="0.3">
      <c r="A1" s="2" t="s">
        <v>36</v>
      </c>
      <c r="B1" s="1" t="s">
        <v>3</v>
      </c>
      <c r="C1" s="1" t="s">
        <v>28</v>
      </c>
      <c r="D1" s="1" t="s">
        <v>37</v>
      </c>
      <c r="E1" s="1" t="s">
        <v>38</v>
      </c>
      <c r="F1" s="10" t="s">
        <v>20</v>
      </c>
      <c r="G1" s="4" t="s">
        <v>39</v>
      </c>
      <c r="H1" s="1" t="s">
        <v>40</v>
      </c>
      <c r="I1" s="1" t="s">
        <v>41</v>
      </c>
      <c r="J1" s="1" t="s">
        <v>42</v>
      </c>
      <c r="K1" s="6" t="s">
        <v>43</v>
      </c>
      <c r="L1" s="1" t="s">
        <v>17</v>
      </c>
      <c r="M1" s="4" t="s">
        <v>44</v>
      </c>
      <c r="N1" s="1" t="s">
        <v>45</v>
      </c>
      <c r="O1" s="1" t="s">
        <v>46</v>
      </c>
      <c r="P1" s="4" t="s">
        <v>47</v>
      </c>
      <c r="Q1" s="1" t="s">
        <v>48</v>
      </c>
      <c r="R1" s="1" t="s">
        <v>49</v>
      </c>
      <c r="S1" s="4" t="s">
        <v>50</v>
      </c>
      <c r="T1" s="2" t="s">
        <v>51</v>
      </c>
      <c r="U1" s="2" t="s">
        <v>52</v>
      </c>
      <c r="V1" s="1" t="s">
        <v>53</v>
      </c>
      <c r="W1" t="s">
        <v>54</v>
      </c>
      <c r="X1" t="s">
        <v>55</v>
      </c>
      <c r="Y1" t="s">
        <v>56</v>
      </c>
      <c r="Z1" t="s">
        <v>6</v>
      </c>
      <c r="AA1" s="12" t="s">
        <v>15</v>
      </c>
    </row>
    <row r="2" spans="1:27" ht="20.25" customHeight="1" x14ac:dyDescent="0.3">
      <c r="A2" s="3">
        <v>44980</v>
      </c>
      <c r="B2" t="s">
        <v>9</v>
      </c>
      <c r="C2" t="s">
        <v>31</v>
      </c>
      <c r="D2" t="str">
        <f>TRIM(Table1[[#This Row],[Product]])</f>
        <v>Laptop</v>
      </c>
      <c r="E2" t="str">
        <f>PROPER(Table1[[#This Row],[Column1]])</f>
        <v>Laptop</v>
      </c>
      <c r="F2" s="8" t="str">
        <f>IF(OR(E2="Chair",E2="Desk"),"Furniture",IF(OR(E2="Laptop",E2="Monitor",E2="Phone",E2="Tablet"),"Technology",IF(E2="Printer","Office Supplies","Other")))</f>
        <v>Technology</v>
      </c>
      <c r="G2" s="5">
        <v>14</v>
      </c>
      <c r="H2">
        <v>163.6</v>
      </c>
      <c r="I2" t="s">
        <v>57</v>
      </c>
      <c r="J2" t="s">
        <v>58</v>
      </c>
      <c r="K2" s="7">
        <v>0</v>
      </c>
      <c r="L2" t="s">
        <v>25</v>
      </c>
      <c r="M2" s="5">
        <v>2290.4</v>
      </c>
      <c r="N2" t="s">
        <v>59</v>
      </c>
      <c r="O2" t="s">
        <v>60</v>
      </c>
      <c r="P2" s="5">
        <v>0</v>
      </c>
      <c r="Q2" t="s">
        <v>61</v>
      </c>
      <c r="R2" t="s">
        <v>62</v>
      </c>
      <c r="S2" s="5">
        <v>43.34</v>
      </c>
      <c r="T2" s="3">
        <v>44980</v>
      </c>
      <c r="U2" s="3">
        <v>44984</v>
      </c>
      <c r="V2" t="s">
        <v>63</v>
      </c>
      <c r="W2">
        <f>M2*(1-K2)</f>
        <v>2290.4</v>
      </c>
      <c r="X2">
        <f>G2*H2</f>
        <v>2290.4</v>
      </c>
      <c r="Y2">
        <f>X2-W2</f>
        <v>0</v>
      </c>
      <c r="Z2" s="8" t="str">
        <f t="shared" ref="Z2:Z65" si="0">IF(K2=0,"No Discount",IF(K2&lt;5%,"Low",IF(K2&lt;15%,"Medium","High")))</f>
        <v>No Discount</v>
      </c>
      <c r="AA2" s="12">
        <f>DATE(YEAR(Table1[[#This Row],[OrderDate]]),MONTH(Table1[[#This Row],[OrderDate]]),1)</f>
        <v>44958</v>
      </c>
    </row>
    <row r="3" spans="1:27" x14ac:dyDescent="0.3">
      <c r="A3" s="3">
        <v>45645</v>
      </c>
      <c r="B3" t="s">
        <v>13</v>
      </c>
      <c r="C3" t="s">
        <v>33</v>
      </c>
      <c r="D3" t="str">
        <f>TRIM(Table1[[#This Row],[Product]])</f>
        <v>Phone</v>
      </c>
      <c r="E3" t="str">
        <f>PROPER(Table1[[#This Row],[Column1]])</f>
        <v>Phone</v>
      </c>
      <c r="F3" s="8" t="str">
        <f t="shared" ref="F3:F65" si="1">IF(OR(E3="Chair",E3="Desk"),"Furniture",IF(OR(E3="Laptop",E3="Monitor",E3="Phone",E3="Tablet"),"Technology",IF(E3="Printer","Office Supplies","Other")))</f>
        <v>Technology</v>
      </c>
      <c r="G3" s="5">
        <v>1</v>
      </c>
      <c r="H3">
        <v>544.01</v>
      </c>
      <c r="I3" t="s">
        <v>64</v>
      </c>
      <c r="J3" t="s">
        <v>65</v>
      </c>
      <c r="K3" s="7">
        <v>0</v>
      </c>
      <c r="L3" t="s">
        <v>18</v>
      </c>
      <c r="M3" s="5">
        <v>544.01</v>
      </c>
      <c r="N3" t="s">
        <v>66</v>
      </c>
      <c r="O3" t="s">
        <v>67</v>
      </c>
      <c r="P3" s="5">
        <v>0</v>
      </c>
      <c r="Q3" t="s">
        <v>68</v>
      </c>
      <c r="R3" t="s">
        <v>69</v>
      </c>
      <c r="S3" s="5">
        <v>5.3</v>
      </c>
      <c r="T3" s="3">
        <v>45645</v>
      </c>
      <c r="U3" s="3">
        <v>45654</v>
      </c>
      <c r="V3" t="s">
        <v>70</v>
      </c>
      <c r="W3">
        <f t="shared" ref="W3:W66" si="2">M3*(1-K3)</f>
        <v>544.01</v>
      </c>
      <c r="X3">
        <f t="shared" ref="X3:X66" si="3">G3*H3</f>
        <v>544.01</v>
      </c>
      <c r="Y3">
        <f t="shared" ref="Y3:Y66" si="4">X3-W3</f>
        <v>0</v>
      </c>
      <c r="Z3" s="8"/>
      <c r="AA3" s="12">
        <f>DATE(YEAR(Table1[[#This Row],[OrderDate]]),MONTH(Table1[[#This Row],[OrderDate]]),1)</f>
        <v>45627</v>
      </c>
    </row>
    <row r="4" spans="1:27" x14ac:dyDescent="0.3">
      <c r="A4" s="3">
        <v>45056</v>
      </c>
      <c r="B4" t="s">
        <v>11</v>
      </c>
      <c r="C4" t="s">
        <v>30</v>
      </c>
      <c r="D4" t="str">
        <f>TRIM(Table1[[#This Row],[Product]])</f>
        <v>Desk</v>
      </c>
      <c r="E4" t="str">
        <f>PROPER(Table1[[#This Row],[Column1]])</f>
        <v>Desk</v>
      </c>
      <c r="F4" s="8" t="str">
        <f t="shared" si="1"/>
        <v>Furniture</v>
      </c>
      <c r="G4" s="5">
        <v>14</v>
      </c>
      <c r="H4">
        <v>346.18</v>
      </c>
      <c r="I4" t="s">
        <v>57</v>
      </c>
      <c r="J4" t="s">
        <v>58</v>
      </c>
      <c r="K4" s="7">
        <v>0.1</v>
      </c>
      <c r="L4" t="s">
        <v>18</v>
      </c>
      <c r="M4" s="5">
        <v>4361.8680000000004</v>
      </c>
      <c r="N4" t="s">
        <v>59</v>
      </c>
      <c r="O4" t="s">
        <v>71</v>
      </c>
      <c r="P4" s="5">
        <v>0</v>
      </c>
      <c r="Q4" t="s">
        <v>72</v>
      </c>
      <c r="R4" t="s">
        <v>73</v>
      </c>
      <c r="S4" s="5">
        <v>20.46</v>
      </c>
      <c r="T4" s="3">
        <v>45056</v>
      </c>
      <c r="U4" s="3">
        <v>45065</v>
      </c>
      <c r="V4" t="s">
        <v>74</v>
      </c>
      <c r="W4">
        <f t="shared" si="2"/>
        <v>3925.6812000000004</v>
      </c>
      <c r="X4">
        <f t="shared" si="3"/>
        <v>4846.5200000000004</v>
      </c>
      <c r="Y4">
        <f t="shared" si="4"/>
        <v>920.83879999999999</v>
      </c>
      <c r="Z4" s="8" t="str">
        <f t="shared" si="0"/>
        <v>Medium</v>
      </c>
      <c r="AA4" s="12">
        <f>DATE(YEAR(Table1[[#This Row],[OrderDate]]),MONTH(Table1[[#This Row],[OrderDate]]),1)</f>
        <v>45047</v>
      </c>
    </row>
    <row r="5" spans="1:27" x14ac:dyDescent="0.3">
      <c r="A5" s="3">
        <v>45714</v>
      </c>
      <c r="B5" t="s">
        <v>7</v>
      </c>
      <c r="C5" t="s">
        <v>29</v>
      </c>
      <c r="D5" t="str">
        <f>TRIM(Table1[[#This Row],[Product]])</f>
        <v>Chair</v>
      </c>
      <c r="E5" t="str">
        <f>PROPER(Table1[[#This Row],[Column1]])</f>
        <v>Chair</v>
      </c>
      <c r="F5" s="8" t="str">
        <f t="shared" si="1"/>
        <v>Furniture</v>
      </c>
      <c r="G5" s="5">
        <v>18</v>
      </c>
      <c r="H5">
        <v>384.82</v>
      </c>
      <c r="I5" t="s">
        <v>64</v>
      </c>
      <c r="J5" t="s">
        <v>58</v>
      </c>
      <c r="K5" s="7">
        <v>0.15</v>
      </c>
      <c r="L5" t="s">
        <v>27</v>
      </c>
      <c r="M5" s="5">
        <v>5887.7460000000001</v>
      </c>
      <c r="N5" t="s">
        <v>66</v>
      </c>
      <c r="O5" t="s">
        <v>60</v>
      </c>
      <c r="P5" s="5">
        <v>0</v>
      </c>
      <c r="Q5" t="s">
        <v>75</v>
      </c>
      <c r="R5" t="s">
        <v>76</v>
      </c>
      <c r="S5" s="5">
        <v>27.95</v>
      </c>
      <c r="T5" s="3">
        <v>45714</v>
      </c>
      <c r="U5" s="3">
        <v>45718</v>
      </c>
      <c r="V5" t="s">
        <v>77</v>
      </c>
      <c r="W5">
        <f t="shared" si="2"/>
        <v>5004.5841</v>
      </c>
      <c r="X5">
        <f t="shared" si="3"/>
        <v>6926.76</v>
      </c>
      <c r="Y5">
        <f t="shared" si="4"/>
        <v>1922.1759000000002</v>
      </c>
      <c r="Z5" s="8" t="str">
        <f t="shared" si="0"/>
        <v>High</v>
      </c>
      <c r="AA5" s="12">
        <f>DATE(YEAR(Table1[[#This Row],[OrderDate]]),MONTH(Table1[[#This Row],[OrderDate]]),1)</f>
        <v>45689</v>
      </c>
    </row>
    <row r="6" spans="1:27" x14ac:dyDescent="0.3">
      <c r="A6" s="3">
        <v>45101</v>
      </c>
      <c r="B6" t="s">
        <v>9</v>
      </c>
      <c r="C6" t="s">
        <v>30</v>
      </c>
      <c r="D6" t="str">
        <f>TRIM(Table1[[#This Row],[Product]])</f>
        <v>Desk</v>
      </c>
      <c r="E6" t="str">
        <f>PROPER(Table1[[#This Row],[Column1]])</f>
        <v>Desk</v>
      </c>
      <c r="F6" s="8" t="str">
        <f t="shared" si="1"/>
        <v>Furniture</v>
      </c>
      <c r="G6" s="5">
        <v>18</v>
      </c>
      <c r="H6">
        <v>237.76</v>
      </c>
      <c r="I6" t="s">
        <v>78</v>
      </c>
      <c r="J6" t="s">
        <v>65</v>
      </c>
      <c r="K6" s="7">
        <v>0</v>
      </c>
      <c r="L6" t="s">
        <v>21</v>
      </c>
      <c r="M6" s="5">
        <v>4279.68</v>
      </c>
      <c r="N6" t="s">
        <v>59</v>
      </c>
      <c r="O6" t="s">
        <v>67</v>
      </c>
      <c r="P6" s="5">
        <v>0</v>
      </c>
      <c r="Q6" t="s">
        <v>79</v>
      </c>
      <c r="R6" t="s">
        <v>80</v>
      </c>
      <c r="S6" s="5">
        <v>5.73</v>
      </c>
      <c r="T6" s="3">
        <v>45101</v>
      </c>
      <c r="U6" s="3">
        <v>45104</v>
      </c>
      <c r="V6" t="s">
        <v>63</v>
      </c>
      <c r="W6">
        <f t="shared" si="2"/>
        <v>4279.68</v>
      </c>
      <c r="X6">
        <f t="shared" si="3"/>
        <v>4279.68</v>
      </c>
      <c r="Y6">
        <f t="shared" si="4"/>
        <v>0</v>
      </c>
      <c r="Z6" s="8" t="str">
        <f t="shared" si="0"/>
        <v>No Discount</v>
      </c>
      <c r="AA6" s="12">
        <f>DATE(YEAR(Table1[[#This Row],[OrderDate]]),MONTH(Table1[[#This Row],[OrderDate]]),1)</f>
        <v>45078</v>
      </c>
    </row>
    <row r="7" spans="1:27" x14ac:dyDescent="0.3">
      <c r="A7" s="3">
        <v>45342</v>
      </c>
      <c r="B7" t="s">
        <v>7</v>
      </c>
      <c r="C7" t="s">
        <v>32</v>
      </c>
      <c r="D7" t="str">
        <f>TRIM(Table1[[#This Row],[Product]])</f>
        <v>Monitor</v>
      </c>
      <c r="E7" t="str">
        <f>PROPER(Table1[[#This Row],[Column1]])</f>
        <v>Monitor</v>
      </c>
      <c r="F7" s="8" t="str">
        <f t="shared" si="1"/>
        <v>Technology</v>
      </c>
      <c r="G7" s="5">
        <v>2</v>
      </c>
      <c r="H7">
        <v>385.09</v>
      </c>
      <c r="I7" t="s">
        <v>81</v>
      </c>
      <c r="J7" t="s">
        <v>58</v>
      </c>
      <c r="K7" s="7">
        <v>0.15</v>
      </c>
      <c r="L7" t="s">
        <v>23</v>
      </c>
      <c r="M7" s="5">
        <v>654.65299999999991</v>
      </c>
      <c r="N7" t="s">
        <v>82</v>
      </c>
      <c r="P7" s="5">
        <v>0</v>
      </c>
      <c r="Q7" t="s">
        <v>83</v>
      </c>
      <c r="R7" t="s">
        <v>84</v>
      </c>
      <c r="S7" s="5">
        <v>11.92</v>
      </c>
      <c r="T7" s="3">
        <v>45342</v>
      </c>
      <c r="U7" s="3">
        <v>45352</v>
      </c>
      <c r="V7" t="s">
        <v>77</v>
      </c>
      <c r="W7">
        <f t="shared" si="2"/>
        <v>556.45504999999991</v>
      </c>
      <c r="X7">
        <f t="shared" si="3"/>
        <v>770.18</v>
      </c>
      <c r="Y7">
        <f t="shared" si="4"/>
        <v>213.72495000000004</v>
      </c>
      <c r="Z7" s="8" t="str">
        <f t="shared" si="0"/>
        <v>High</v>
      </c>
      <c r="AA7" s="12">
        <f>DATE(YEAR(Table1[[#This Row],[OrderDate]]),MONTH(Table1[[#This Row],[OrderDate]]),1)</f>
        <v>45323</v>
      </c>
    </row>
    <row r="8" spans="1:27" x14ac:dyDescent="0.3">
      <c r="A8" s="3">
        <v>44937</v>
      </c>
      <c r="B8" t="s">
        <v>13</v>
      </c>
      <c r="C8" t="s">
        <v>29</v>
      </c>
      <c r="D8" t="str">
        <f>TRIM(Table1[[#This Row],[Product]])</f>
        <v>Chair</v>
      </c>
      <c r="E8" t="str">
        <f>PROPER(Table1[[#This Row],[Column1]])</f>
        <v>Chair</v>
      </c>
      <c r="F8" s="8" t="str">
        <f t="shared" si="1"/>
        <v>Furniture</v>
      </c>
      <c r="G8" s="5">
        <v>7</v>
      </c>
      <c r="H8">
        <v>17.5</v>
      </c>
      <c r="I8" t="s">
        <v>78</v>
      </c>
      <c r="J8" t="s">
        <v>65</v>
      </c>
      <c r="K8" s="7">
        <v>0.1</v>
      </c>
      <c r="L8" t="s">
        <v>18</v>
      </c>
      <c r="M8" s="5">
        <v>110.25</v>
      </c>
      <c r="N8" t="s">
        <v>85</v>
      </c>
      <c r="O8" t="s">
        <v>71</v>
      </c>
      <c r="P8" s="5">
        <v>0</v>
      </c>
      <c r="Q8" t="s">
        <v>86</v>
      </c>
      <c r="R8" t="s">
        <v>87</v>
      </c>
      <c r="S8" s="5">
        <v>5.0199999999999996</v>
      </c>
      <c r="T8" s="3">
        <v>44937</v>
      </c>
      <c r="U8" s="3">
        <v>44940</v>
      </c>
      <c r="V8" t="s">
        <v>70</v>
      </c>
      <c r="W8">
        <f t="shared" si="2"/>
        <v>99.225000000000009</v>
      </c>
      <c r="X8">
        <f t="shared" si="3"/>
        <v>122.5</v>
      </c>
      <c r="Y8">
        <f t="shared" si="4"/>
        <v>23.274999999999991</v>
      </c>
      <c r="Z8" s="8" t="str">
        <f t="shared" si="0"/>
        <v>Medium</v>
      </c>
      <c r="AA8" s="12">
        <f>DATE(YEAR(Table1[[#This Row],[OrderDate]]),MONTH(Table1[[#This Row],[OrderDate]]),1)</f>
        <v>44927</v>
      </c>
    </row>
    <row r="9" spans="1:27" x14ac:dyDescent="0.3">
      <c r="A9" s="3">
        <v>44935</v>
      </c>
      <c r="B9" t="s">
        <v>7</v>
      </c>
      <c r="C9" t="s">
        <v>29</v>
      </c>
      <c r="D9" t="str">
        <f>TRIM(Table1[[#This Row],[Product]])</f>
        <v>Chair</v>
      </c>
      <c r="E9" t="str">
        <f>PROPER(Table1[[#This Row],[Column1]])</f>
        <v>Chair</v>
      </c>
      <c r="F9" s="8" t="str">
        <f t="shared" si="1"/>
        <v>Furniture</v>
      </c>
      <c r="G9" s="5">
        <v>3</v>
      </c>
      <c r="H9">
        <v>330.22</v>
      </c>
      <c r="I9" t="s">
        <v>78</v>
      </c>
      <c r="J9" t="s">
        <v>58</v>
      </c>
      <c r="K9" s="7">
        <v>0.15</v>
      </c>
      <c r="L9" t="s">
        <v>21</v>
      </c>
      <c r="M9" s="5">
        <v>842.06100000000004</v>
      </c>
      <c r="N9" t="s">
        <v>88</v>
      </c>
      <c r="P9" s="5">
        <v>0</v>
      </c>
      <c r="Q9" t="s">
        <v>89</v>
      </c>
      <c r="R9" t="s">
        <v>90</v>
      </c>
      <c r="S9" s="5">
        <v>48.01</v>
      </c>
      <c r="T9" s="3">
        <v>44935</v>
      </c>
      <c r="U9" s="3">
        <v>44937</v>
      </c>
      <c r="V9" t="s">
        <v>77</v>
      </c>
      <c r="W9">
        <f t="shared" si="2"/>
        <v>715.75184999999999</v>
      </c>
      <c r="X9">
        <f t="shared" si="3"/>
        <v>990.66000000000008</v>
      </c>
      <c r="Y9">
        <f t="shared" si="4"/>
        <v>274.90815000000009</v>
      </c>
      <c r="Z9" s="8" t="str">
        <f t="shared" si="0"/>
        <v>High</v>
      </c>
      <c r="AA9" s="12">
        <f>DATE(YEAR(Table1[[#This Row],[OrderDate]]),MONTH(Table1[[#This Row],[OrderDate]]),1)</f>
        <v>44927</v>
      </c>
    </row>
    <row r="10" spans="1:27" x14ac:dyDescent="0.3">
      <c r="A10" s="3">
        <v>45581</v>
      </c>
      <c r="B10" t="s">
        <v>13</v>
      </c>
      <c r="C10" t="s">
        <v>29</v>
      </c>
      <c r="D10" t="str">
        <f>TRIM(Table1[[#This Row],[Product]])</f>
        <v>Chair</v>
      </c>
      <c r="E10" t="str">
        <f>PROPER(Table1[[#This Row],[Column1]])</f>
        <v>Chair</v>
      </c>
      <c r="F10" s="8" t="str">
        <f t="shared" si="1"/>
        <v>Furniture</v>
      </c>
      <c r="G10" s="5">
        <v>3</v>
      </c>
      <c r="H10">
        <v>432.04</v>
      </c>
      <c r="I10" t="s">
        <v>81</v>
      </c>
      <c r="J10" t="s">
        <v>58</v>
      </c>
      <c r="K10" s="7">
        <v>0.05</v>
      </c>
      <c r="L10" t="s">
        <v>19</v>
      </c>
      <c r="M10" s="5">
        <v>1231.3140000000001</v>
      </c>
      <c r="N10" t="s">
        <v>85</v>
      </c>
      <c r="O10" t="s">
        <v>60</v>
      </c>
      <c r="P10" s="5">
        <v>1</v>
      </c>
      <c r="Q10" t="s">
        <v>91</v>
      </c>
      <c r="R10" t="s">
        <v>92</v>
      </c>
      <c r="S10" s="5">
        <v>42.11</v>
      </c>
      <c r="T10" s="3">
        <v>45581</v>
      </c>
      <c r="U10" s="3">
        <v>45583</v>
      </c>
      <c r="V10" t="s">
        <v>70</v>
      </c>
      <c r="W10">
        <f t="shared" si="2"/>
        <v>1169.7483</v>
      </c>
      <c r="X10">
        <f t="shared" si="3"/>
        <v>1296.1200000000001</v>
      </c>
      <c r="Y10">
        <f t="shared" si="4"/>
        <v>126.37170000000015</v>
      </c>
      <c r="Z10" s="8" t="str">
        <f t="shared" si="0"/>
        <v>Medium</v>
      </c>
      <c r="AA10" s="12">
        <f>DATE(YEAR(Table1[[#This Row],[OrderDate]]),MONTH(Table1[[#This Row],[OrderDate]]),1)</f>
        <v>45566</v>
      </c>
    </row>
    <row r="11" spans="1:27" x14ac:dyDescent="0.3">
      <c r="A11" s="3">
        <v>45721</v>
      </c>
      <c r="B11" t="s">
        <v>16</v>
      </c>
      <c r="C11" t="s">
        <v>30</v>
      </c>
      <c r="D11" t="str">
        <f>TRIM(Table1[[#This Row],[Product]])</f>
        <v>Desk</v>
      </c>
      <c r="E11" t="str">
        <f>PROPER(Table1[[#This Row],[Column1]])</f>
        <v>Desk</v>
      </c>
      <c r="F11" s="8" t="str">
        <f t="shared" si="1"/>
        <v>Furniture</v>
      </c>
      <c r="G11" s="5">
        <v>5</v>
      </c>
      <c r="H11">
        <v>323.27999999999997</v>
      </c>
      <c r="I11" t="s">
        <v>81</v>
      </c>
      <c r="J11" t="s">
        <v>65</v>
      </c>
      <c r="K11" s="7">
        <v>0.1</v>
      </c>
      <c r="L11" t="s">
        <v>27</v>
      </c>
      <c r="M11" s="5">
        <v>1454.76</v>
      </c>
      <c r="N11" t="s">
        <v>66</v>
      </c>
      <c r="O11" t="s">
        <v>67</v>
      </c>
      <c r="P11" s="5">
        <v>0</v>
      </c>
      <c r="Q11" t="s">
        <v>93</v>
      </c>
      <c r="R11" t="s">
        <v>94</v>
      </c>
      <c r="S11" s="5">
        <v>41.1</v>
      </c>
      <c r="T11" s="3">
        <v>45721</v>
      </c>
      <c r="U11" s="3">
        <v>45729</v>
      </c>
      <c r="V11" t="s">
        <v>95</v>
      </c>
      <c r="W11">
        <f t="shared" si="2"/>
        <v>1309.2840000000001</v>
      </c>
      <c r="X11">
        <f t="shared" si="3"/>
        <v>1616.3999999999999</v>
      </c>
      <c r="Y11">
        <f t="shared" si="4"/>
        <v>307.11599999999976</v>
      </c>
      <c r="Z11" s="8" t="str">
        <f t="shared" si="0"/>
        <v>Medium</v>
      </c>
      <c r="AA11" s="12">
        <f>DATE(YEAR(Table1[[#This Row],[OrderDate]]),MONTH(Table1[[#This Row],[OrderDate]]),1)</f>
        <v>45717</v>
      </c>
    </row>
    <row r="12" spans="1:27" x14ac:dyDescent="0.3">
      <c r="A12" s="3">
        <v>45392</v>
      </c>
      <c r="B12" t="s">
        <v>11</v>
      </c>
      <c r="C12" t="s">
        <v>30</v>
      </c>
      <c r="D12" t="str">
        <f>TRIM(Table1[[#This Row],[Product]])</f>
        <v>Desk</v>
      </c>
      <c r="E12" t="str">
        <f>PROPER(Table1[[#This Row],[Column1]])</f>
        <v>Desk</v>
      </c>
      <c r="F12" s="8" t="str">
        <f t="shared" si="1"/>
        <v>Furniture</v>
      </c>
      <c r="G12" s="5">
        <v>15</v>
      </c>
      <c r="H12">
        <v>523.29</v>
      </c>
      <c r="I12" t="s">
        <v>57</v>
      </c>
      <c r="J12" t="s">
        <v>58</v>
      </c>
      <c r="K12" s="7">
        <v>0.15</v>
      </c>
      <c r="L12" t="s">
        <v>25</v>
      </c>
      <c r="M12" s="5">
        <v>6671.9474999999993</v>
      </c>
      <c r="N12" t="s">
        <v>85</v>
      </c>
      <c r="P12" s="5">
        <v>0</v>
      </c>
      <c r="Q12" t="s">
        <v>96</v>
      </c>
      <c r="R12" t="s">
        <v>97</v>
      </c>
      <c r="S12" s="5">
        <v>12.14</v>
      </c>
      <c r="T12" s="3">
        <v>45392</v>
      </c>
      <c r="U12" s="3">
        <v>45399</v>
      </c>
      <c r="V12" t="s">
        <v>74</v>
      </c>
      <c r="W12">
        <f t="shared" si="2"/>
        <v>5671.1553749999994</v>
      </c>
      <c r="X12">
        <f t="shared" si="3"/>
        <v>7849.3499999999995</v>
      </c>
      <c r="Y12">
        <f t="shared" si="4"/>
        <v>2178.1946250000001</v>
      </c>
      <c r="Z12" s="8" t="str">
        <f t="shared" si="0"/>
        <v>High</v>
      </c>
      <c r="AA12" s="12">
        <f>DATE(YEAR(Table1[[#This Row],[OrderDate]]),MONTH(Table1[[#This Row],[OrderDate]]),1)</f>
        <v>45383</v>
      </c>
    </row>
    <row r="13" spans="1:27" x14ac:dyDescent="0.3">
      <c r="A13" s="3">
        <v>45485</v>
      </c>
      <c r="B13" t="s">
        <v>9</v>
      </c>
      <c r="C13" t="s">
        <v>33</v>
      </c>
      <c r="D13" t="str">
        <f>TRIM(Table1[[#This Row],[Product]])</f>
        <v>Phone</v>
      </c>
      <c r="E13" t="str">
        <f>PROPER(Table1[[#This Row],[Column1]])</f>
        <v>Phone</v>
      </c>
      <c r="F13" s="8" t="str">
        <f t="shared" si="1"/>
        <v>Technology</v>
      </c>
      <c r="G13" s="5">
        <v>19</v>
      </c>
      <c r="H13">
        <v>207.35</v>
      </c>
      <c r="I13" t="s">
        <v>81</v>
      </c>
      <c r="J13" t="s">
        <v>65</v>
      </c>
      <c r="K13" s="7">
        <v>0.1</v>
      </c>
      <c r="L13" t="s">
        <v>25</v>
      </c>
      <c r="M13" s="5">
        <v>3545.6849999999999</v>
      </c>
      <c r="N13" t="s">
        <v>66</v>
      </c>
      <c r="P13" s="5">
        <v>1</v>
      </c>
      <c r="Q13" t="s">
        <v>98</v>
      </c>
      <c r="R13" t="s">
        <v>99</v>
      </c>
      <c r="S13" s="5">
        <v>44.89</v>
      </c>
      <c r="T13" s="3">
        <v>45485</v>
      </c>
      <c r="U13" s="3">
        <v>45491</v>
      </c>
      <c r="V13" t="s">
        <v>63</v>
      </c>
      <c r="W13">
        <f t="shared" si="2"/>
        <v>3191.1165000000001</v>
      </c>
      <c r="X13">
        <f t="shared" si="3"/>
        <v>3939.65</v>
      </c>
      <c r="Y13">
        <f t="shared" si="4"/>
        <v>748.5335</v>
      </c>
      <c r="Z13" s="8" t="str">
        <f t="shared" si="0"/>
        <v>Medium</v>
      </c>
      <c r="AA13" s="12">
        <f>DATE(YEAR(Table1[[#This Row],[OrderDate]]),MONTH(Table1[[#This Row],[OrderDate]]),1)</f>
        <v>45474</v>
      </c>
    </row>
    <row r="14" spans="1:27" x14ac:dyDescent="0.3">
      <c r="A14" s="3">
        <v>45128</v>
      </c>
      <c r="B14" t="s">
        <v>7</v>
      </c>
      <c r="C14" t="s">
        <v>33</v>
      </c>
      <c r="D14" t="str">
        <f>TRIM(Table1[[#This Row],[Product]])</f>
        <v>Phone</v>
      </c>
      <c r="E14" t="str">
        <f>PROPER(Table1[[#This Row],[Column1]])</f>
        <v>Phone</v>
      </c>
      <c r="F14" s="8" t="str">
        <f t="shared" si="1"/>
        <v>Technology</v>
      </c>
      <c r="G14" s="5">
        <v>1</v>
      </c>
      <c r="H14">
        <v>120.53</v>
      </c>
      <c r="I14" t="s">
        <v>57</v>
      </c>
      <c r="J14" t="s">
        <v>65</v>
      </c>
      <c r="K14" s="7">
        <v>0.05</v>
      </c>
      <c r="L14" t="s">
        <v>23</v>
      </c>
      <c r="M14" s="5">
        <v>114.5035</v>
      </c>
      <c r="N14" t="s">
        <v>88</v>
      </c>
      <c r="O14" t="s">
        <v>71</v>
      </c>
      <c r="P14" s="5">
        <v>0</v>
      </c>
      <c r="Q14" t="s">
        <v>100</v>
      </c>
      <c r="R14" t="s">
        <v>101</v>
      </c>
      <c r="S14" s="5">
        <v>20.350000000000001</v>
      </c>
      <c r="T14" s="3">
        <v>45128</v>
      </c>
      <c r="U14" s="3">
        <v>45138</v>
      </c>
      <c r="V14" t="s">
        <v>77</v>
      </c>
      <c r="W14">
        <f t="shared" si="2"/>
        <v>108.778325</v>
      </c>
      <c r="X14">
        <f t="shared" si="3"/>
        <v>120.53</v>
      </c>
      <c r="Y14">
        <f t="shared" si="4"/>
        <v>11.751675000000006</v>
      </c>
      <c r="Z14" s="8" t="str">
        <f t="shared" si="0"/>
        <v>Medium</v>
      </c>
      <c r="AA14" s="12">
        <f>DATE(YEAR(Table1[[#This Row],[OrderDate]]),MONTH(Table1[[#This Row],[OrderDate]]),1)</f>
        <v>45108</v>
      </c>
    </row>
    <row r="15" spans="1:27" x14ac:dyDescent="0.3">
      <c r="A15" s="3">
        <v>45675</v>
      </c>
      <c r="B15" t="s">
        <v>16</v>
      </c>
      <c r="C15" t="s">
        <v>35</v>
      </c>
      <c r="D15" t="str">
        <f>TRIM(Table1[[#This Row],[Product]])</f>
        <v>Tablet</v>
      </c>
      <c r="E15" t="str">
        <f>PROPER(Table1[[#This Row],[Column1]])</f>
        <v>Tablet</v>
      </c>
      <c r="F15" s="8" t="str">
        <f t="shared" si="1"/>
        <v>Technology</v>
      </c>
      <c r="G15" s="5">
        <v>1</v>
      </c>
      <c r="H15">
        <v>157.83000000000001</v>
      </c>
      <c r="I15" t="s">
        <v>64</v>
      </c>
      <c r="J15" t="s">
        <v>58</v>
      </c>
      <c r="K15" s="7">
        <v>0.15</v>
      </c>
      <c r="L15" t="s">
        <v>21</v>
      </c>
      <c r="M15" s="5">
        <v>134.15549999999999</v>
      </c>
      <c r="N15" t="s">
        <v>85</v>
      </c>
      <c r="P15" s="5">
        <v>0</v>
      </c>
      <c r="Q15" t="s">
        <v>102</v>
      </c>
      <c r="R15" t="s">
        <v>103</v>
      </c>
      <c r="S15" s="5">
        <v>42.82</v>
      </c>
      <c r="T15" s="3">
        <v>45675</v>
      </c>
      <c r="U15" s="3">
        <v>45679</v>
      </c>
      <c r="V15" t="s">
        <v>95</v>
      </c>
      <c r="W15">
        <f t="shared" si="2"/>
        <v>114.03217499999998</v>
      </c>
      <c r="X15">
        <f t="shared" si="3"/>
        <v>157.83000000000001</v>
      </c>
      <c r="Y15">
        <f t="shared" si="4"/>
        <v>43.797825000000032</v>
      </c>
      <c r="Z15" s="8" t="str">
        <f t="shared" si="0"/>
        <v>High</v>
      </c>
      <c r="AA15" s="12">
        <f>DATE(YEAR(Table1[[#This Row],[OrderDate]]),MONTH(Table1[[#This Row],[OrderDate]]),1)</f>
        <v>45658</v>
      </c>
    </row>
    <row r="16" spans="1:27" x14ac:dyDescent="0.3">
      <c r="A16" s="3">
        <v>45634</v>
      </c>
      <c r="B16" t="s">
        <v>11</v>
      </c>
      <c r="C16" t="s">
        <v>30</v>
      </c>
      <c r="D16" t="str">
        <f>TRIM(Table1[[#This Row],[Product]])</f>
        <v>Desk</v>
      </c>
      <c r="E16" t="str">
        <f>PROPER(Table1[[#This Row],[Column1]])</f>
        <v>Desk</v>
      </c>
      <c r="F16" s="8" t="str">
        <f t="shared" si="1"/>
        <v>Furniture</v>
      </c>
      <c r="G16" s="5">
        <v>15</v>
      </c>
      <c r="H16">
        <v>220.3</v>
      </c>
      <c r="I16" t="s">
        <v>57</v>
      </c>
      <c r="J16" t="s">
        <v>65</v>
      </c>
      <c r="K16" s="7">
        <v>0.15</v>
      </c>
      <c r="L16" t="s">
        <v>23</v>
      </c>
      <c r="M16" s="5">
        <v>2808.8249999999998</v>
      </c>
      <c r="N16" t="s">
        <v>85</v>
      </c>
      <c r="P16" s="5">
        <v>0</v>
      </c>
      <c r="Q16" t="s">
        <v>104</v>
      </c>
      <c r="R16" t="s">
        <v>105</v>
      </c>
      <c r="S16" s="5">
        <v>39.659999999999997</v>
      </c>
      <c r="T16" s="3">
        <v>45634</v>
      </c>
      <c r="U16" s="3">
        <v>45641</v>
      </c>
      <c r="V16" t="s">
        <v>74</v>
      </c>
      <c r="W16">
        <f t="shared" si="2"/>
        <v>2387.5012499999998</v>
      </c>
      <c r="X16">
        <f t="shared" si="3"/>
        <v>3304.5</v>
      </c>
      <c r="Y16">
        <f t="shared" si="4"/>
        <v>916.9987500000002</v>
      </c>
      <c r="Z16" s="8" t="str">
        <f t="shared" si="0"/>
        <v>High</v>
      </c>
      <c r="AA16" s="12">
        <f>DATE(YEAR(Table1[[#This Row],[OrderDate]]),MONTH(Table1[[#This Row],[OrderDate]]),1)</f>
        <v>45627</v>
      </c>
    </row>
    <row r="17" spans="1:27" x14ac:dyDescent="0.3">
      <c r="A17" s="3">
        <v>45788</v>
      </c>
      <c r="B17" t="s">
        <v>16</v>
      </c>
      <c r="C17" t="s">
        <v>29</v>
      </c>
      <c r="D17" t="str">
        <f>TRIM(Table1[[#This Row],[Product]])</f>
        <v>Chair</v>
      </c>
      <c r="E17" t="str">
        <f>PROPER(Table1[[#This Row],[Column1]])</f>
        <v>Chair</v>
      </c>
      <c r="F17" s="8" t="str">
        <f t="shared" si="1"/>
        <v>Furniture</v>
      </c>
      <c r="G17" s="5">
        <v>17</v>
      </c>
      <c r="H17">
        <v>162.96</v>
      </c>
      <c r="I17" t="s">
        <v>64</v>
      </c>
      <c r="J17" t="s">
        <v>58</v>
      </c>
      <c r="K17" s="7">
        <v>0.05</v>
      </c>
      <c r="L17" t="s">
        <v>25</v>
      </c>
      <c r="M17" s="5">
        <v>2631.8040000000001</v>
      </c>
      <c r="N17" t="s">
        <v>66</v>
      </c>
      <c r="O17" t="s">
        <v>60</v>
      </c>
      <c r="P17" s="5">
        <v>0</v>
      </c>
      <c r="Q17" t="s">
        <v>106</v>
      </c>
      <c r="R17" t="s">
        <v>107</v>
      </c>
      <c r="S17" s="5">
        <v>8.11</v>
      </c>
      <c r="T17" s="3">
        <v>45788</v>
      </c>
      <c r="U17" s="3">
        <v>45794</v>
      </c>
      <c r="V17" t="s">
        <v>95</v>
      </c>
      <c r="W17">
        <f t="shared" si="2"/>
        <v>2500.2138</v>
      </c>
      <c r="X17">
        <f t="shared" si="3"/>
        <v>2770.32</v>
      </c>
      <c r="Y17">
        <f t="shared" si="4"/>
        <v>270.10620000000017</v>
      </c>
      <c r="Z17" s="8" t="str">
        <f t="shared" si="0"/>
        <v>Medium</v>
      </c>
      <c r="AA17" s="12">
        <f>DATE(YEAR(Table1[[#This Row],[OrderDate]]),MONTH(Table1[[#This Row],[OrderDate]]),1)</f>
        <v>45778</v>
      </c>
    </row>
    <row r="18" spans="1:27" x14ac:dyDescent="0.3">
      <c r="A18" s="3">
        <v>44983</v>
      </c>
      <c r="B18" t="s">
        <v>16</v>
      </c>
      <c r="C18" t="s">
        <v>31</v>
      </c>
      <c r="D18" t="str">
        <f>TRIM(Table1[[#This Row],[Product]])</f>
        <v>Laptop</v>
      </c>
      <c r="E18" t="str">
        <f>PROPER(Table1[[#This Row],[Column1]])</f>
        <v>Laptop</v>
      </c>
      <c r="F18" s="8" t="str">
        <f t="shared" si="1"/>
        <v>Technology</v>
      </c>
      <c r="G18" s="5">
        <v>19</v>
      </c>
      <c r="H18">
        <v>236.11</v>
      </c>
      <c r="I18" t="s">
        <v>81</v>
      </c>
      <c r="J18" t="s">
        <v>58</v>
      </c>
      <c r="K18" s="7">
        <v>0</v>
      </c>
      <c r="L18" t="s">
        <v>19</v>
      </c>
      <c r="M18" s="5">
        <v>4486.09</v>
      </c>
      <c r="N18" t="s">
        <v>59</v>
      </c>
      <c r="O18" t="s">
        <v>71</v>
      </c>
      <c r="P18" s="5">
        <v>0</v>
      </c>
      <c r="Q18" t="s">
        <v>108</v>
      </c>
      <c r="R18" t="s">
        <v>109</v>
      </c>
      <c r="S18" s="5">
        <v>34.11</v>
      </c>
      <c r="T18" s="3">
        <v>44983</v>
      </c>
      <c r="U18" s="3">
        <v>44989</v>
      </c>
      <c r="V18" t="s">
        <v>95</v>
      </c>
      <c r="W18">
        <f t="shared" si="2"/>
        <v>4486.09</v>
      </c>
      <c r="X18">
        <f t="shared" si="3"/>
        <v>4486.09</v>
      </c>
      <c r="Y18">
        <f t="shared" si="4"/>
        <v>0</v>
      </c>
      <c r="Z18" s="8" t="str">
        <f t="shared" si="0"/>
        <v>No Discount</v>
      </c>
      <c r="AA18" s="12">
        <f>DATE(YEAR(Table1[[#This Row],[OrderDate]]),MONTH(Table1[[#This Row],[OrderDate]]),1)</f>
        <v>44958</v>
      </c>
    </row>
    <row r="19" spans="1:27" x14ac:dyDescent="0.3">
      <c r="A19" s="3">
        <v>45440</v>
      </c>
      <c r="B19" t="s">
        <v>7</v>
      </c>
      <c r="C19" t="s">
        <v>30</v>
      </c>
      <c r="D19" t="str">
        <f>TRIM(Table1[[#This Row],[Product]])</f>
        <v>Desk</v>
      </c>
      <c r="E19" t="str">
        <f>PROPER(Table1[[#This Row],[Column1]])</f>
        <v>Desk</v>
      </c>
      <c r="F19" s="8" t="str">
        <f t="shared" si="1"/>
        <v>Furniture</v>
      </c>
      <c r="G19" s="5">
        <v>11</v>
      </c>
      <c r="H19">
        <v>573.14</v>
      </c>
      <c r="I19" t="s">
        <v>81</v>
      </c>
      <c r="J19" t="s">
        <v>65</v>
      </c>
      <c r="K19" s="7">
        <v>0.05</v>
      </c>
      <c r="L19" t="s">
        <v>23</v>
      </c>
      <c r="M19" s="5">
        <v>5989.3130000000001</v>
      </c>
      <c r="N19" t="s">
        <v>88</v>
      </c>
      <c r="O19" t="s">
        <v>67</v>
      </c>
      <c r="P19" s="5">
        <v>0</v>
      </c>
      <c r="Q19" t="s">
        <v>110</v>
      </c>
      <c r="R19" t="s">
        <v>111</v>
      </c>
      <c r="S19" s="5">
        <v>34.71</v>
      </c>
      <c r="T19" s="3">
        <v>45440</v>
      </c>
      <c r="U19" s="3">
        <v>45444</v>
      </c>
      <c r="V19" t="s">
        <v>77</v>
      </c>
      <c r="W19">
        <f t="shared" si="2"/>
        <v>5689.84735</v>
      </c>
      <c r="X19">
        <f t="shared" si="3"/>
        <v>6304.54</v>
      </c>
      <c r="Y19">
        <f t="shared" si="4"/>
        <v>614.69264999999996</v>
      </c>
      <c r="Z19" s="8" t="str">
        <f t="shared" si="0"/>
        <v>Medium</v>
      </c>
      <c r="AA19" s="12">
        <f>DATE(YEAR(Table1[[#This Row],[OrderDate]]),MONTH(Table1[[#This Row],[OrderDate]]),1)</f>
        <v>45413</v>
      </c>
    </row>
    <row r="20" spans="1:27" x14ac:dyDescent="0.3">
      <c r="A20" s="3">
        <v>45260</v>
      </c>
      <c r="B20" t="s">
        <v>9</v>
      </c>
      <c r="C20" t="s">
        <v>33</v>
      </c>
      <c r="D20" t="str">
        <f>TRIM(Table1[[#This Row],[Product]])</f>
        <v>Phone</v>
      </c>
      <c r="E20" t="str">
        <f>PROPER(Table1[[#This Row],[Column1]])</f>
        <v>Phone</v>
      </c>
      <c r="F20" s="8" t="str">
        <f t="shared" si="1"/>
        <v>Technology</v>
      </c>
      <c r="G20" s="5">
        <v>20</v>
      </c>
      <c r="H20">
        <v>519.04</v>
      </c>
      <c r="I20" t="s">
        <v>57</v>
      </c>
      <c r="J20" t="s">
        <v>65</v>
      </c>
      <c r="K20" s="7">
        <v>0.15</v>
      </c>
      <c r="L20" t="s">
        <v>21</v>
      </c>
      <c r="M20" s="5">
        <v>8823.6799999999985</v>
      </c>
      <c r="N20" t="s">
        <v>66</v>
      </c>
      <c r="O20" t="s">
        <v>60</v>
      </c>
      <c r="P20" s="5">
        <v>0</v>
      </c>
      <c r="Q20" t="s">
        <v>112</v>
      </c>
      <c r="R20" t="s">
        <v>113</v>
      </c>
      <c r="S20" s="5">
        <v>19.43</v>
      </c>
      <c r="T20" s="3">
        <v>45260</v>
      </c>
      <c r="U20" s="3">
        <v>45268</v>
      </c>
      <c r="V20" t="s">
        <v>63</v>
      </c>
      <c r="W20">
        <f t="shared" si="2"/>
        <v>7500.1279999999988</v>
      </c>
      <c r="X20">
        <f t="shared" si="3"/>
        <v>10380.799999999999</v>
      </c>
      <c r="Y20">
        <f t="shared" si="4"/>
        <v>2880.6720000000005</v>
      </c>
      <c r="Z20" s="8" t="str">
        <f t="shared" si="0"/>
        <v>High</v>
      </c>
      <c r="AA20" s="12">
        <f>DATE(YEAR(Table1[[#This Row],[OrderDate]]),MONTH(Table1[[#This Row],[OrderDate]]),1)</f>
        <v>45231</v>
      </c>
    </row>
    <row r="21" spans="1:27" x14ac:dyDescent="0.3">
      <c r="A21" s="3">
        <v>45099</v>
      </c>
      <c r="B21" t="s">
        <v>16</v>
      </c>
      <c r="C21" t="s">
        <v>30</v>
      </c>
      <c r="D21" t="str">
        <f>TRIM(Table1[[#This Row],[Product]])</f>
        <v>Desk</v>
      </c>
      <c r="E21" t="str">
        <f>PROPER(Table1[[#This Row],[Column1]])</f>
        <v>Desk</v>
      </c>
      <c r="F21" s="8" t="str">
        <f t="shared" si="1"/>
        <v>Furniture</v>
      </c>
      <c r="G21" s="5">
        <v>14</v>
      </c>
      <c r="H21">
        <v>30.83</v>
      </c>
      <c r="I21" t="s">
        <v>57</v>
      </c>
      <c r="J21" t="s">
        <v>65</v>
      </c>
      <c r="K21" s="7">
        <v>0</v>
      </c>
      <c r="L21" t="s">
        <v>21</v>
      </c>
      <c r="M21" s="5">
        <v>431.62</v>
      </c>
      <c r="N21" t="s">
        <v>59</v>
      </c>
      <c r="O21" t="s">
        <v>71</v>
      </c>
      <c r="P21" s="5">
        <v>1</v>
      </c>
      <c r="Q21" t="s">
        <v>114</v>
      </c>
      <c r="R21" t="s">
        <v>115</v>
      </c>
      <c r="S21" s="5">
        <v>7.1</v>
      </c>
      <c r="T21" s="3">
        <v>45099</v>
      </c>
      <c r="U21" s="3">
        <v>45109</v>
      </c>
      <c r="V21" t="s">
        <v>95</v>
      </c>
      <c r="W21">
        <f t="shared" si="2"/>
        <v>431.62</v>
      </c>
      <c r="X21">
        <f t="shared" si="3"/>
        <v>431.62</v>
      </c>
      <c r="Y21">
        <f t="shared" si="4"/>
        <v>0</v>
      </c>
      <c r="Z21" s="8" t="str">
        <f t="shared" si="0"/>
        <v>No Discount</v>
      </c>
      <c r="AA21" s="12">
        <f>DATE(YEAR(Table1[[#This Row],[OrderDate]]),MONTH(Table1[[#This Row],[OrderDate]]),1)</f>
        <v>45078</v>
      </c>
    </row>
    <row r="22" spans="1:27" x14ac:dyDescent="0.3">
      <c r="A22" s="3">
        <v>45813</v>
      </c>
      <c r="B22" t="s">
        <v>16</v>
      </c>
      <c r="C22" t="s">
        <v>33</v>
      </c>
      <c r="D22" t="str">
        <f>TRIM(Table1[[#This Row],[Product]])</f>
        <v>Phone</v>
      </c>
      <c r="E22" t="str">
        <f>PROPER(Table1[[#This Row],[Column1]])</f>
        <v>Phone</v>
      </c>
      <c r="F22" s="8" t="str">
        <f t="shared" si="1"/>
        <v>Technology</v>
      </c>
      <c r="G22" s="5">
        <v>10</v>
      </c>
      <c r="H22">
        <v>319.05</v>
      </c>
      <c r="I22" t="s">
        <v>81</v>
      </c>
      <c r="J22" t="s">
        <v>58</v>
      </c>
      <c r="K22" s="7">
        <v>0</v>
      </c>
      <c r="L22" t="s">
        <v>23</v>
      </c>
      <c r="M22" s="5">
        <v>3190.5</v>
      </c>
      <c r="N22" t="s">
        <v>59</v>
      </c>
      <c r="P22" s="5">
        <v>0</v>
      </c>
      <c r="Q22" t="s">
        <v>116</v>
      </c>
      <c r="R22" t="s">
        <v>117</v>
      </c>
      <c r="S22" s="5">
        <v>28.43</v>
      </c>
      <c r="T22" s="3">
        <v>45813</v>
      </c>
      <c r="U22" s="3">
        <v>45816</v>
      </c>
      <c r="V22" t="s">
        <v>95</v>
      </c>
      <c r="W22">
        <f t="shared" si="2"/>
        <v>3190.5</v>
      </c>
      <c r="X22">
        <f t="shared" si="3"/>
        <v>3190.5</v>
      </c>
      <c r="Y22">
        <f t="shared" si="4"/>
        <v>0</v>
      </c>
      <c r="Z22" s="8" t="str">
        <f t="shared" si="0"/>
        <v>No Discount</v>
      </c>
      <c r="AA22" s="12">
        <f>DATE(YEAR(Table1[[#This Row],[OrderDate]]),MONTH(Table1[[#This Row],[OrderDate]]),1)</f>
        <v>45809</v>
      </c>
    </row>
    <row r="23" spans="1:27" x14ac:dyDescent="0.3">
      <c r="A23" s="3">
        <v>44988</v>
      </c>
      <c r="B23" t="s">
        <v>7</v>
      </c>
      <c r="C23" t="s">
        <v>29</v>
      </c>
      <c r="D23" t="str">
        <f>TRIM(Table1[[#This Row],[Product]])</f>
        <v>Chair</v>
      </c>
      <c r="E23" t="str">
        <f>PROPER(Table1[[#This Row],[Column1]])</f>
        <v>Chair</v>
      </c>
      <c r="F23" s="8" t="str">
        <f t="shared" si="1"/>
        <v>Furniture</v>
      </c>
      <c r="G23" s="5">
        <v>14</v>
      </c>
      <c r="H23">
        <v>312.79000000000002</v>
      </c>
      <c r="I23" t="s">
        <v>64</v>
      </c>
      <c r="J23" t="s">
        <v>65</v>
      </c>
      <c r="K23" s="7">
        <v>0.05</v>
      </c>
      <c r="L23" t="s">
        <v>19</v>
      </c>
      <c r="M23" s="5">
        <v>4160.107</v>
      </c>
      <c r="N23" t="s">
        <v>59</v>
      </c>
      <c r="P23" s="5">
        <v>1</v>
      </c>
      <c r="Q23" t="s">
        <v>118</v>
      </c>
      <c r="R23" t="s">
        <v>119</v>
      </c>
      <c r="S23" s="5">
        <v>46.83</v>
      </c>
      <c r="T23" s="3">
        <v>44988</v>
      </c>
      <c r="U23" s="3">
        <v>44993</v>
      </c>
      <c r="V23" t="s">
        <v>77</v>
      </c>
      <c r="W23">
        <f t="shared" si="2"/>
        <v>3952.1016499999996</v>
      </c>
      <c r="X23">
        <f t="shared" si="3"/>
        <v>4379.0600000000004</v>
      </c>
      <c r="Y23">
        <f t="shared" si="4"/>
        <v>426.95835000000079</v>
      </c>
      <c r="Z23" s="8" t="str">
        <f t="shared" si="0"/>
        <v>Medium</v>
      </c>
      <c r="AA23" s="12">
        <f>DATE(YEAR(Table1[[#This Row],[OrderDate]]),MONTH(Table1[[#This Row],[OrderDate]]),1)</f>
        <v>44986</v>
      </c>
    </row>
    <row r="24" spans="1:27" x14ac:dyDescent="0.3">
      <c r="A24" s="3">
        <v>45340</v>
      </c>
      <c r="B24" t="s">
        <v>11</v>
      </c>
      <c r="C24" t="s">
        <v>31</v>
      </c>
      <c r="D24" t="str">
        <f>TRIM(Table1[[#This Row],[Product]])</f>
        <v>Laptop</v>
      </c>
      <c r="E24" t="str">
        <f>PROPER(Table1[[#This Row],[Column1]])</f>
        <v>Laptop</v>
      </c>
      <c r="F24" s="8" t="str">
        <f t="shared" si="1"/>
        <v>Technology</v>
      </c>
      <c r="G24" s="5">
        <v>14</v>
      </c>
      <c r="H24">
        <v>395.45</v>
      </c>
      <c r="I24" t="s">
        <v>78</v>
      </c>
      <c r="J24" t="s">
        <v>65</v>
      </c>
      <c r="K24" s="7">
        <v>0</v>
      </c>
      <c r="L24" t="s">
        <v>21</v>
      </c>
      <c r="M24" s="5">
        <v>5536.3</v>
      </c>
      <c r="N24" t="s">
        <v>88</v>
      </c>
      <c r="O24" t="s">
        <v>60</v>
      </c>
      <c r="P24" s="5">
        <v>1</v>
      </c>
      <c r="Q24" t="s">
        <v>120</v>
      </c>
      <c r="R24" t="s">
        <v>121</v>
      </c>
      <c r="S24" s="5">
        <v>36.450000000000003</v>
      </c>
      <c r="T24" s="3">
        <v>45340</v>
      </c>
      <c r="U24" s="3">
        <v>45344</v>
      </c>
      <c r="V24" t="s">
        <v>74</v>
      </c>
      <c r="W24">
        <f t="shared" si="2"/>
        <v>5536.3</v>
      </c>
      <c r="X24">
        <f t="shared" si="3"/>
        <v>5536.3</v>
      </c>
      <c r="Y24">
        <f t="shared" si="4"/>
        <v>0</v>
      </c>
      <c r="Z24" s="8" t="str">
        <f t="shared" si="0"/>
        <v>No Discount</v>
      </c>
      <c r="AA24" s="12">
        <f>DATE(YEAR(Table1[[#This Row],[OrderDate]]),MONTH(Table1[[#This Row],[OrderDate]]),1)</f>
        <v>45323</v>
      </c>
    </row>
    <row r="25" spans="1:27" x14ac:dyDescent="0.3">
      <c r="A25" s="3">
        <v>45144</v>
      </c>
      <c r="B25" t="s">
        <v>7</v>
      </c>
      <c r="C25" t="s">
        <v>31</v>
      </c>
      <c r="D25" t="str">
        <f>TRIM(Table1[[#This Row],[Product]])</f>
        <v>Laptop</v>
      </c>
      <c r="E25" t="str">
        <f>PROPER(Table1[[#This Row],[Column1]])</f>
        <v>Laptop</v>
      </c>
      <c r="F25" s="8" t="str">
        <f t="shared" si="1"/>
        <v>Technology</v>
      </c>
      <c r="G25" s="5">
        <v>12</v>
      </c>
      <c r="H25">
        <v>472.72</v>
      </c>
      <c r="I25" t="s">
        <v>81</v>
      </c>
      <c r="J25" t="s">
        <v>65</v>
      </c>
      <c r="K25" s="7">
        <v>0.15</v>
      </c>
      <c r="L25" t="s">
        <v>23</v>
      </c>
      <c r="M25" s="5">
        <v>4821.7440000000006</v>
      </c>
      <c r="N25" t="s">
        <v>82</v>
      </c>
      <c r="P25" s="5">
        <v>0</v>
      </c>
      <c r="Q25" t="s">
        <v>122</v>
      </c>
      <c r="R25" t="s">
        <v>123</v>
      </c>
      <c r="S25" s="5">
        <v>27.97</v>
      </c>
      <c r="T25" s="3">
        <v>45144</v>
      </c>
      <c r="U25" s="3">
        <v>45152</v>
      </c>
      <c r="V25" t="s">
        <v>77</v>
      </c>
      <c r="W25">
        <f t="shared" si="2"/>
        <v>4098.4824000000008</v>
      </c>
      <c r="X25">
        <f t="shared" si="3"/>
        <v>5672.64</v>
      </c>
      <c r="Y25">
        <f t="shared" si="4"/>
        <v>1574.1575999999995</v>
      </c>
      <c r="Z25" s="8" t="str">
        <f t="shared" si="0"/>
        <v>High</v>
      </c>
      <c r="AA25" s="12">
        <f>DATE(YEAR(Table1[[#This Row],[OrderDate]]),MONTH(Table1[[#This Row],[OrderDate]]),1)</f>
        <v>45139</v>
      </c>
    </row>
    <row r="26" spans="1:27" x14ac:dyDescent="0.3">
      <c r="A26" s="3">
        <v>45435</v>
      </c>
      <c r="B26" t="s">
        <v>11</v>
      </c>
      <c r="C26" t="s">
        <v>30</v>
      </c>
      <c r="D26" t="str">
        <f>TRIM(Table1[[#This Row],[Product]])</f>
        <v>Desk</v>
      </c>
      <c r="E26" t="str">
        <f>PROPER(Table1[[#This Row],[Column1]])</f>
        <v>Desk</v>
      </c>
      <c r="F26" s="8" t="str">
        <f t="shared" si="1"/>
        <v>Furniture</v>
      </c>
      <c r="G26" s="5">
        <v>5</v>
      </c>
      <c r="H26">
        <v>288.01</v>
      </c>
      <c r="I26" t="s">
        <v>64</v>
      </c>
      <c r="J26" t="s">
        <v>58</v>
      </c>
      <c r="K26" s="7">
        <v>0</v>
      </c>
      <c r="L26" t="s">
        <v>25</v>
      </c>
      <c r="M26" s="5">
        <v>1440.05</v>
      </c>
      <c r="N26" t="s">
        <v>82</v>
      </c>
      <c r="O26" t="s">
        <v>60</v>
      </c>
      <c r="P26" s="5">
        <v>0</v>
      </c>
      <c r="Q26" t="s">
        <v>124</v>
      </c>
      <c r="R26" t="s">
        <v>125</v>
      </c>
      <c r="S26" s="5">
        <v>46.69</v>
      </c>
      <c r="T26" s="3">
        <v>45435</v>
      </c>
      <c r="U26" s="3">
        <v>45442</v>
      </c>
      <c r="V26" t="s">
        <v>74</v>
      </c>
      <c r="W26">
        <f t="shared" si="2"/>
        <v>1440.05</v>
      </c>
      <c r="X26">
        <f t="shared" si="3"/>
        <v>1440.05</v>
      </c>
      <c r="Y26">
        <f t="shared" si="4"/>
        <v>0</v>
      </c>
      <c r="Z26" s="8" t="str">
        <f t="shared" si="0"/>
        <v>No Discount</v>
      </c>
      <c r="AA26" s="12">
        <f>DATE(YEAR(Table1[[#This Row],[OrderDate]]),MONTH(Table1[[#This Row],[OrderDate]]),1)</f>
        <v>45413</v>
      </c>
    </row>
    <row r="27" spans="1:27" x14ac:dyDescent="0.3">
      <c r="A27" s="3">
        <v>45222</v>
      </c>
      <c r="B27" t="s">
        <v>9</v>
      </c>
      <c r="C27" t="s">
        <v>33</v>
      </c>
      <c r="D27" t="str">
        <f>TRIM(Table1[[#This Row],[Product]])</f>
        <v>Phone</v>
      </c>
      <c r="E27" t="str">
        <f>PROPER(Table1[[#This Row],[Column1]])</f>
        <v>Phone</v>
      </c>
      <c r="F27" s="8" t="str">
        <f t="shared" si="1"/>
        <v>Technology</v>
      </c>
      <c r="G27" s="5">
        <v>13</v>
      </c>
      <c r="H27">
        <v>562.29</v>
      </c>
      <c r="I27" t="s">
        <v>81</v>
      </c>
      <c r="J27" t="s">
        <v>65</v>
      </c>
      <c r="K27" s="7">
        <v>0</v>
      </c>
      <c r="L27" t="s">
        <v>23</v>
      </c>
      <c r="M27" s="5">
        <v>7309.77</v>
      </c>
      <c r="N27" t="s">
        <v>66</v>
      </c>
      <c r="O27" t="s">
        <v>67</v>
      </c>
      <c r="P27" s="5">
        <v>0</v>
      </c>
      <c r="Q27" t="s">
        <v>126</v>
      </c>
      <c r="R27" t="s">
        <v>127</v>
      </c>
      <c r="S27" s="5">
        <v>38.130000000000003</v>
      </c>
      <c r="T27" s="3">
        <v>45222</v>
      </c>
      <c r="U27" s="3">
        <v>45227</v>
      </c>
      <c r="V27" t="s">
        <v>63</v>
      </c>
      <c r="W27">
        <f t="shared" si="2"/>
        <v>7309.77</v>
      </c>
      <c r="X27">
        <f t="shared" si="3"/>
        <v>7309.7699999999995</v>
      </c>
      <c r="Y27">
        <f t="shared" si="4"/>
        <v>0</v>
      </c>
      <c r="Z27" s="8" t="str">
        <f t="shared" si="0"/>
        <v>No Discount</v>
      </c>
      <c r="AA27" s="12">
        <f>DATE(YEAR(Table1[[#This Row],[OrderDate]]),MONTH(Table1[[#This Row],[OrderDate]]),1)</f>
        <v>45200</v>
      </c>
    </row>
    <row r="28" spans="1:27" x14ac:dyDescent="0.3">
      <c r="A28" s="3">
        <v>45824</v>
      </c>
      <c r="B28" t="s">
        <v>16</v>
      </c>
      <c r="C28" t="s">
        <v>33</v>
      </c>
      <c r="D28" t="str">
        <f>TRIM(Table1[[#This Row],[Product]])</f>
        <v>Phone</v>
      </c>
      <c r="E28" t="str">
        <f>PROPER(Table1[[#This Row],[Column1]])</f>
        <v>Phone</v>
      </c>
      <c r="F28" s="8" t="str">
        <f t="shared" si="1"/>
        <v>Technology</v>
      </c>
      <c r="G28" s="5">
        <v>1</v>
      </c>
      <c r="H28">
        <v>101.73</v>
      </c>
      <c r="I28" t="s">
        <v>81</v>
      </c>
      <c r="J28" t="s">
        <v>65</v>
      </c>
      <c r="K28" s="7">
        <v>0</v>
      </c>
      <c r="L28" t="s">
        <v>27</v>
      </c>
      <c r="M28" s="5">
        <v>101.73</v>
      </c>
      <c r="N28" t="s">
        <v>85</v>
      </c>
      <c r="O28" t="s">
        <v>71</v>
      </c>
      <c r="P28" s="5">
        <v>0</v>
      </c>
      <c r="Q28" t="s">
        <v>128</v>
      </c>
      <c r="R28" t="s">
        <v>129</v>
      </c>
      <c r="S28" s="5">
        <v>11.59</v>
      </c>
      <c r="T28" s="3">
        <v>45824</v>
      </c>
      <c r="U28" s="3">
        <v>45833</v>
      </c>
      <c r="V28" t="s">
        <v>95</v>
      </c>
      <c r="W28">
        <f t="shared" si="2"/>
        <v>101.73</v>
      </c>
      <c r="X28">
        <f t="shared" si="3"/>
        <v>101.73</v>
      </c>
      <c r="Y28">
        <f t="shared" si="4"/>
        <v>0</v>
      </c>
      <c r="Z28" s="8" t="str">
        <f t="shared" si="0"/>
        <v>No Discount</v>
      </c>
      <c r="AA28" s="12">
        <f>DATE(YEAR(Table1[[#This Row],[OrderDate]]),MONTH(Table1[[#This Row],[OrderDate]]),1)</f>
        <v>45809</v>
      </c>
    </row>
    <row r="29" spans="1:27" x14ac:dyDescent="0.3">
      <c r="A29" s="3">
        <v>44988</v>
      </c>
      <c r="B29" t="s">
        <v>11</v>
      </c>
      <c r="C29" t="s">
        <v>33</v>
      </c>
      <c r="D29" t="str">
        <f>TRIM(Table1[[#This Row],[Product]])</f>
        <v>Phone</v>
      </c>
      <c r="E29" t="str">
        <f>PROPER(Table1[[#This Row],[Column1]])</f>
        <v>Phone</v>
      </c>
      <c r="F29" s="8" t="str">
        <f t="shared" si="1"/>
        <v>Technology</v>
      </c>
      <c r="G29" s="5">
        <v>4</v>
      </c>
      <c r="H29">
        <v>279.49</v>
      </c>
      <c r="I29" t="s">
        <v>57</v>
      </c>
      <c r="J29" t="s">
        <v>65</v>
      </c>
      <c r="K29" s="7">
        <v>0</v>
      </c>
      <c r="L29" t="s">
        <v>23</v>
      </c>
      <c r="M29" s="5">
        <v>1117.96</v>
      </c>
      <c r="N29" t="s">
        <v>82</v>
      </c>
      <c r="O29" t="s">
        <v>60</v>
      </c>
      <c r="P29" s="5">
        <v>0</v>
      </c>
      <c r="Q29" t="s">
        <v>130</v>
      </c>
      <c r="R29" t="s">
        <v>131</v>
      </c>
      <c r="S29" s="5">
        <v>24.78</v>
      </c>
      <c r="T29" s="3">
        <v>44988</v>
      </c>
      <c r="U29" s="3">
        <v>44993</v>
      </c>
      <c r="V29" t="s">
        <v>74</v>
      </c>
      <c r="W29">
        <f t="shared" si="2"/>
        <v>1117.96</v>
      </c>
      <c r="X29">
        <f t="shared" si="3"/>
        <v>1117.96</v>
      </c>
      <c r="Y29">
        <f t="shared" si="4"/>
        <v>0</v>
      </c>
      <c r="Z29" s="8" t="str">
        <f t="shared" si="0"/>
        <v>No Discount</v>
      </c>
      <c r="AA29" s="12">
        <f>DATE(YEAR(Table1[[#This Row],[OrderDate]]),MONTH(Table1[[#This Row],[OrderDate]]),1)</f>
        <v>44986</v>
      </c>
    </row>
    <row r="30" spans="1:27" x14ac:dyDescent="0.3">
      <c r="A30" s="3">
        <v>45614</v>
      </c>
      <c r="B30" t="s">
        <v>13</v>
      </c>
      <c r="C30" t="s">
        <v>31</v>
      </c>
      <c r="D30" t="str">
        <f>TRIM(Table1[[#This Row],[Product]])</f>
        <v>Laptop</v>
      </c>
      <c r="E30" t="str">
        <f>PROPER(Table1[[#This Row],[Column1]])</f>
        <v>Laptop</v>
      </c>
      <c r="F30" s="8" t="str">
        <f t="shared" si="1"/>
        <v>Technology</v>
      </c>
      <c r="G30" s="5">
        <v>1</v>
      </c>
      <c r="H30">
        <v>178.55</v>
      </c>
      <c r="I30" t="s">
        <v>64</v>
      </c>
      <c r="J30" t="s">
        <v>65</v>
      </c>
      <c r="K30" s="7">
        <v>0.15</v>
      </c>
      <c r="L30" t="s">
        <v>21</v>
      </c>
      <c r="M30" s="5">
        <v>151.76750000000001</v>
      </c>
      <c r="N30" t="s">
        <v>85</v>
      </c>
      <c r="O30" t="s">
        <v>67</v>
      </c>
      <c r="P30" s="5">
        <v>1</v>
      </c>
      <c r="Q30" t="s">
        <v>132</v>
      </c>
      <c r="R30" t="s">
        <v>133</v>
      </c>
      <c r="S30" s="5">
        <v>7.61</v>
      </c>
      <c r="T30" s="3">
        <v>45614</v>
      </c>
      <c r="U30" s="3">
        <v>45617</v>
      </c>
      <c r="V30" t="s">
        <v>70</v>
      </c>
      <c r="W30">
        <f t="shared" si="2"/>
        <v>129.002375</v>
      </c>
      <c r="X30">
        <f t="shared" si="3"/>
        <v>178.55</v>
      </c>
      <c r="Y30">
        <f t="shared" si="4"/>
        <v>49.547625000000011</v>
      </c>
      <c r="Z30" s="8" t="str">
        <f t="shared" si="0"/>
        <v>High</v>
      </c>
      <c r="AA30" s="12">
        <f>DATE(YEAR(Table1[[#This Row],[OrderDate]]),MONTH(Table1[[#This Row],[OrderDate]]),1)</f>
        <v>45597</v>
      </c>
    </row>
    <row r="31" spans="1:27" x14ac:dyDescent="0.3">
      <c r="A31" s="3">
        <v>45055</v>
      </c>
      <c r="B31" t="s">
        <v>7</v>
      </c>
      <c r="C31" t="s">
        <v>35</v>
      </c>
      <c r="D31" t="str">
        <f>TRIM(Table1[[#This Row],[Product]])</f>
        <v>Tablet</v>
      </c>
      <c r="E31" t="str">
        <f>PROPER(Table1[[#This Row],[Column1]])</f>
        <v>Tablet</v>
      </c>
      <c r="F31" s="8" t="str">
        <f t="shared" si="1"/>
        <v>Technology</v>
      </c>
      <c r="G31" s="5">
        <v>1</v>
      </c>
      <c r="H31">
        <v>472.07</v>
      </c>
      <c r="I31" t="s">
        <v>64</v>
      </c>
      <c r="J31" t="s">
        <v>58</v>
      </c>
      <c r="K31" s="7">
        <v>0.1</v>
      </c>
      <c r="L31" t="s">
        <v>21</v>
      </c>
      <c r="M31" s="5">
        <v>424.863</v>
      </c>
      <c r="N31" t="s">
        <v>59</v>
      </c>
      <c r="O31" t="s">
        <v>60</v>
      </c>
      <c r="P31" s="5">
        <v>0</v>
      </c>
      <c r="Q31" t="s">
        <v>134</v>
      </c>
      <c r="R31" t="s">
        <v>135</v>
      </c>
      <c r="S31" s="5">
        <v>33.17</v>
      </c>
      <c r="T31" s="3">
        <v>45055</v>
      </c>
      <c r="U31" s="3">
        <v>45063</v>
      </c>
      <c r="V31" t="s">
        <v>77</v>
      </c>
      <c r="W31">
        <f t="shared" si="2"/>
        <v>382.37670000000003</v>
      </c>
      <c r="X31">
        <f t="shared" si="3"/>
        <v>472.07</v>
      </c>
      <c r="Y31">
        <f t="shared" si="4"/>
        <v>89.693299999999965</v>
      </c>
      <c r="Z31" s="8" t="str">
        <f t="shared" si="0"/>
        <v>Medium</v>
      </c>
      <c r="AA31" s="12">
        <f>DATE(YEAR(Table1[[#This Row],[OrderDate]]),MONTH(Table1[[#This Row],[OrderDate]]),1)</f>
        <v>45047</v>
      </c>
    </row>
    <row r="32" spans="1:27" x14ac:dyDescent="0.3">
      <c r="A32" s="3">
        <v>45633</v>
      </c>
      <c r="B32" t="s">
        <v>11</v>
      </c>
      <c r="C32" t="s">
        <v>35</v>
      </c>
      <c r="D32" t="str">
        <f>TRIM(Table1[[#This Row],[Product]])</f>
        <v>Tablet</v>
      </c>
      <c r="E32" t="str">
        <f>PROPER(Table1[[#This Row],[Column1]])</f>
        <v>Tablet</v>
      </c>
      <c r="F32" s="8" t="str">
        <f t="shared" si="1"/>
        <v>Technology</v>
      </c>
      <c r="G32" s="5">
        <v>12</v>
      </c>
      <c r="H32">
        <v>306.29000000000002</v>
      </c>
      <c r="I32" t="s">
        <v>81</v>
      </c>
      <c r="J32" t="s">
        <v>65</v>
      </c>
      <c r="K32" s="7">
        <v>0</v>
      </c>
      <c r="L32" t="s">
        <v>27</v>
      </c>
      <c r="M32" s="5">
        <v>3675.48</v>
      </c>
      <c r="N32" t="s">
        <v>85</v>
      </c>
      <c r="O32" t="s">
        <v>67</v>
      </c>
      <c r="P32" s="5">
        <v>0</v>
      </c>
      <c r="Q32" t="s">
        <v>136</v>
      </c>
      <c r="R32" t="s">
        <v>137</v>
      </c>
      <c r="S32" s="5">
        <v>37.380000000000003</v>
      </c>
      <c r="T32" s="3">
        <v>45633</v>
      </c>
      <c r="U32" s="3">
        <v>45640</v>
      </c>
      <c r="V32" t="s">
        <v>74</v>
      </c>
      <c r="W32">
        <f t="shared" si="2"/>
        <v>3675.48</v>
      </c>
      <c r="X32">
        <f t="shared" si="3"/>
        <v>3675.4800000000005</v>
      </c>
      <c r="Y32">
        <f t="shared" si="4"/>
        <v>0</v>
      </c>
      <c r="Z32" s="8" t="str">
        <f t="shared" si="0"/>
        <v>No Discount</v>
      </c>
      <c r="AA32" s="12">
        <f>DATE(YEAR(Table1[[#This Row],[OrderDate]]),MONTH(Table1[[#This Row],[OrderDate]]),1)</f>
        <v>45627</v>
      </c>
    </row>
    <row r="33" spans="1:27" x14ac:dyDescent="0.3">
      <c r="A33" s="3">
        <v>45335</v>
      </c>
      <c r="B33" t="s">
        <v>11</v>
      </c>
      <c r="C33" t="s">
        <v>33</v>
      </c>
      <c r="D33" t="str">
        <f>TRIM(Table1[[#This Row],[Product]])</f>
        <v>Phone</v>
      </c>
      <c r="E33" t="str">
        <f>PROPER(Table1[[#This Row],[Column1]])</f>
        <v>Phone</v>
      </c>
      <c r="F33" s="8" t="str">
        <f t="shared" si="1"/>
        <v>Technology</v>
      </c>
      <c r="G33" s="5">
        <v>7</v>
      </c>
      <c r="H33">
        <v>434.77</v>
      </c>
      <c r="I33" t="s">
        <v>78</v>
      </c>
      <c r="J33" t="s">
        <v>65</v>
      </c>
      <c r="K33" s="7">
        <v>0.15</v>
      </c>
      <c r="L33" t="s">
        <v>27</v>
      </c>
      <c r="M33" s="5">
        <v>2586.8815</v>
      </c>
      <c r="N33" t="s">
        <v>59</v>
      </c>
      <c r="O33" t="s">
        <v>67</v>
      </c>
      <c r="P33" s="5">
        <v>0</v>
      </c>
      <c r="Q33" t="s">
        <v>138</v>
      </c>
      <c r="R33" t="s">
        <v>139</v>
      </c>
      <c r="S33" s="5">
        <v>12.35</v>
      </c>
      <c r="T33" s="3">
        <v>45335</v>
      </c>
      <c r="U33" s="3">
        <v>45337</v>
      </c>
      <c r="V33" t="s">
        <v>74</v>
      </c>
      <c r="W33">
        <f t="shared" si="2"/>
        <v>2198.849275</v>
      </c>
      <c r="X33">
        <f t="shared" si="3"/>
        <v>3043.39</v>
      </c>
      <c r="Y33">
        <f t="shared" si="4"/>
        <v>844.54072499999984</v>
      </c>
      <c r="Z33" s="8" t="str">
        <f t="shared" si="0"/>
        <v>High</v>
      </c>
      <c r="AA33" s="12">
        <f>DATE(YEAR(Table1[[#This Row],[OrderDate]]),MONTH(Table1[[#This Row],[OrderDate]]),1)</f>
        <v>45323</v>
      </c>
    </row>
    <row r="34" spans="1:27" x14ac:dyDescent="0.3">
      <c r="A34" s="3">
        <v>45725</v>
      </c>
      <c r="B34" t="s">
        <v>13</v>
      </c>
      <c r="C34" t="s">
        <v>30</v>
      </c>
      <c r="D34" t="str">
        <f>TRIM(Table1[[#This Row],[Product]])</f>
        <v>Desk</v>
      </c>
      <c r="E34" t="str">
        <f>PROPER(Table1[[#This Row],[Column1]])</f>
        <v>Desk</v>
      </c>
      <c r="F34" s="8" t="str">
        <f t="shared" si="1"/>
        <v>Furniture</v>
      </c>
      <c r="G34" s="5">
        <v>6</v>
      </c>
      <c r="H34">
        <v>64.98</v>
      </c>
      <c r="I34" t="s">
        <v>78</v>
      </c>
      <c r="J34" t="s">
        <v>65</v>
      </c>
      <c r="K34" s="7">
        <v>0</v>
      </c>
      <c r="L34" t="s">
        <v>21</v>
      </c>
      <c r="M34" s="5">
        <v>389.88</v>
      </c>
      <c r="N34" t="s">
        <v>85</v>
      </c>
      <c r="O34" t="s">
        <v>71</v>
      </c>
      <c r="P34" s="5">
        <v>0</v>
      </c>
      <c r="Q34" t="s">
        <v>140</v>
      </c>
      <c r="R34" t="s">
        <v>141</v>
      </c>
      <c r="S34" s="5">
        <v>21.25</v>
      </c>
      <c r="T34" s="3">
        <v>45725</v>
      </c>
      <c r="U34" s="3">
        <v>45731</v>
      </c>
      <c r="V34" t="s">
        <v>70</v>
      </c>
      <c r="W34">
        <f t="shared" si="2"/>
        <v>389.88</v>
      </c>
      <c r="X34">
        <f t="shared" si="3"/>
        <v>389.88</v>
      </c>
      <c r="Y34">
        <f t="shared" si="4"/>
        <v>0</v>
      </c>
      <c r="Z34" s="8" t="str">
        <f t="shared" si="0"/>
        <v>No Discount</v>
      </c>
      <c r="AA34" s="12">
        <f>DATE(YEAR(Table1[[#This Row],[OrderDate]]),MONTH(Table1[[#This Row],[OrderDate]]),1)</f>
        <v>45717</v>
      </c>
    </row>
    <row r="35" spans="1:27" x14ac:dyDescent="0.3">
      <c r="A35" s="3">
        <v>45021</v>
      </c>
      <c r="B35" t="s">
        <v>7</v>
      </c>
      <c r="C35" t="s">
        <v>30</v>
      </c>
      <c r="D35" t="str">
        <f>TRIM(Table1[[#This Row],[Product]])</f>
        <v>Desk</v>
      </c>
      <c r="E35" t="str">
        <f>PROPER(Table1[[#This Row],[Column1]])</f>
        <v>Desk</v>
      </c>
      <c r="F35" s="8" t="str">
        <f t="shared" si="1"/>
        <v>Furniture</v>
      </c>
      <c r="G35" s="5">
        <v>17</v>
      </c>
      <c r="H35">
        <v>476.49</v>
      </c>
      <c r="I35" t="s">
        <v>81</v>
      </c>
      <c r="J35" t="s">
        <v>65</v>
      </c>
      <c r="K35" s="7">
        <v>0</v>
      </c>
      <c r="L35" t="s">
        <v>18</v>
      </c>
      <c r="M35" s="5">
        <v>8100.33</v>
      </c>
      <c r="N35" t="s">
        <v>66</v>
      </c>
      <c r="P35" s="5">
        <v>0</v>
      </c>
      <c r="Q35" t="s">
        <v>142</v>
      </c>
      <c r="R35" t="s">
        <v>143</v>
      </c>
      <c r="S35" s="5">
        <v>17.91</v>
      </c>
      <c r="T35" s="3">
        <v>45021</v>
      </c>
      <c r="U35" s="3">
        <v>45027</v>
      </c>
      <c r="V35" t="s">
        <v>77</v>
      </c>
      <c r="W35">
        <f t="shared" si="2"/>
        <v>8100.33</v>
      </c>
      <c r="X35">
        <f t="shared" si="3"/>
        <v>8100.33</v>
      </c>
      <c r="Y35">
        <f t="shared" si="4"/>
        <v>0</v>
      </c>
      <c r="Z35" s="8" t="str">
        <f t="shared" si="0"/>
        <v>No Discount</v>
      </c>
      <c r="AA35" s="12">
        <f>DATE(YEAR(Table1[[#This Row],[OrderDate]]),MONTH(Table1[[#This Row],[OrderDate]]),1)</f>
        <v>45017</v>
      </c>
    </row>
    <row r="36" spans="1:27" x14ac:dyDescent="0.3">
      <c r="A36" s="3">
        <v>45785</v>
      </c>
      <c r="B36" t="s">
        <v>11</v>
      </c>
      <c r="C36" t="s">
        <v>32</v>
      </c>
      <c r="D36" t="str">
        <f>TRIM(Table1[[#This Row],[Product]])</f>
        <v>Monitor</v>
      </c>
      <c r="E36" t="str">
        <f>PROPER(Table1[[#This Row],[Column1]])</f>
        <v>Monitor</v>
      </c>
      <c r="F36" s="8" t="str">
        <f t="shared" si="1"/>
        <v>Technology</v>
      </c>
      <c r="G36" s="5">
        <v>4</v>
      </c>
      <c r="H36">
        <v>559.72</v>
      </c>
      <c r="I36" t="s">
        <v>81</v>
      </c>
      <c r="J36" t="s">
        <v>65</v>
      </c>
      <c r="K36" s="7">
        <v>0.15</v>
      </c>
      <c r="L36" t="s">
        <v>23</v>
      </c>
      <c r="M36" s="5">
        <v>1903.048</v>
      </c>
      <c r="N36" t="s">
        <v>59</v>
      </c>
      <c r="O36" t="s">
        <v>67</v>
      </c>
      <c r="P36" s="5">
        <v>0</v>
      </c>
      <c r="Q36" t="s">
        <v>144</v>
      </c>
      <c r="R36" t="s">
        <v>145</v>
      </c>
      <c r="S36" s="5">
        <v>41.91</v>
      </c>
      <c r="T36" s="3">
        <v>45785</v>
      </c>
      <c r="U36" s="3">
        <v>45789</v>
      </c>
      <c r="V36" t="s">
        <v>74</v>
      </c>
      <c r="W36">
        <f t="shared" si="2"/>
        <v>1617.5907999999999</v>
      </c>
      <c r="X36">
        <f t="shared" si="3"/>
        <v>2238.88</v>
      </c>
      <c r="Y36">
        <f t="shared" si="4"/>
        <v>621.28920000000016</v>
      </c>
      <c r="Z36" s="8" t="str">
        <f t="shared" si="0"/>
        <v>High</v>
      </c>
      <c r="AA36" s="12">
        <f>DATE(YEAR(Table1[[#This Row],[OrderDate]]),MONTH(Table1[[#This Row],[OrderDate]]),1)</f>
        <v>45778</v>
      </c>
    </row>
    <row r="37" spans="1:27" x14ac:dyDescent="0.3">
      <c r="A37" s="3">
        <v>45172</v>
      </c>
      <c r="B37" t="s">
        <v>11</v>
      </c>
      <c r="C37" t="s">
        <v>35</v>
      </c>
      <c r="D37" t="str">
        <f>TRIM(Table1[[#This Row],[Product]])</f>
        <v>Tablet</v>
      </c>
      <c r="E37" t="str">
        <f>PROPER(Table1[[#This Row],[Column1]])</f>
        <v>Tablet</v>
      </c>
      <c r="F37" s="8" t="str">
        <f t="shared" si="1"/>
        <v>Technology</v>
      </c>
      <c r="G37" s="5">
        <v>14</v>
      </c>
      <c r="H37">
        <v>82.14</v>
      </c>
      <c r="I37" t="s">
        <v>78</v>
      </c>
      <c r="J37" t="s">
        <v>65</v>
      </c>
      <c r="K37" s="7">
        <v>0</v>
      </c>
      <c r="L37" t="s">
        <v>18</v>
      </c>
      <c r="M37" s="5">
        <v>1149.96</v>
      </c>
      <c r="N37" t="s">
        <v>82</v>
      </c>
      <c r="P37" s="5">
        <v>0</v>
      </c>
      <c r="Q37" t="s">
        <v>146</v>
      </c>
      <c r="R37" t="s">
        <v>147</v>
      </c>
      <c r="S37" s="5">
        <v>12.57</v>
      </c>
      <c r="T37" s="3">
        <v>45172</v>
      </c>
      <c r="U37" s="3">
        <v>45180</v>
      </c>
      <c r="V37" t="s">
        <v>74</v>
      </c>
      <c r="W37">
        <f t="shared" si="2"/>
        <v>1149.96</v>
      </c>
      <c r="X37">
        <f t="shared" si="3"/>
        <v>1149.96</v>
      </c>
      <c r="Y37">
        <f t="shared" si="4"/>
        <v>0</v>
      </c>
      <c r="Z37" s="8" t="str">
        <f t="shared" si="0"/>
        <v>No Discount</v>
      </c>
      <c r="AA37" s="12">
        <f>DATE(YEAR(Table1[[#This Row],[OrderDate]]),MONTH(Table1[[#This Row],[OrderDate]]),1)</f>
        <v>45170</v>
      </c>
    </row>
    <row r="38" spans="1:27" x14ac:dyDescent="0.3">
      <c r="A38" s="3">
        <v>45737</v>
      </c>
      <c r="B38" t="s">
        <v>7</v>
      </c>
      <c r="C38" t="s">
        <v>29</v>
      </c>
      <c r="D38" t="str">
        <f>TRIM(Table1[[#This Row],[Product]])</f>
        <v>Chair</v>
      </c>
      <c r="E38" t="str">
        <f>PROPER(Table1[[#This Row],[Column1]])</f>
        <v>Chair</v>
      </c>
      <c r="F38" s="8" t="str">
        <f t="shared" si="1"/>
        <v>Furniture</v>
      </c>
      <c r="G38" s="5">
        <v>9</v>
      </c>
      <c r="H38">
        <v>343.21</v>
      </c>
      <c r="I38" t="s">
        <v>64</v>
      </c>
      <c r="J38" t="s">
        <v>65</v>
      </c>
      <c r="K38" s="7">
        <v>0.05</v>
      </c>
      <c r="L38" t="s">
        <v>21</v>
      </c>
      <c r="M38" s="5">
        <v>2934.4454999999998</v>
      </c>
      <c r="N38" t="s">
        <v>85</v>
      </c>
      <c r="O38" t="s">
        <v>60</v>
      </c>
      <c r="P38" s="5">
        <v>0</v>
      </c>
      <c r="Q38" t="s">
        <v>148</v>
      </c>
      <c r="R38" t="s">
        <v>149</v>
      </c>
      <c r="S38" s="5">
        <v>40.29</v>
      </c>
      <c r="T38" s="3">
        <v>45737</v>
      </c>
      <c r="U38" s="3">
        <v>45744</v>
      </c>
      <c r="V38" t="s">
        <v>77</v>
      </c>
      <c r="W38">
        <f t="shared" si="2"/>
        <v>2787.7232249999997</v>
      </c>
      <c r="X38">
        <f t="shared" si="3"/>
        <v>3088.89</v>
      </c>
      <c r="Y38">
        <f t="shared" si="4"/>
        <v>301.16677500000014</v>
      </c>
      <c r="Z38" s="8" t="str">
        <f t="shared" si="0"/>
        <v>Medium</v>
      </c>
      <c r="AA38" s="12">
        <f>DATE(YEAR(Table1[[#This Row],[OrderDate]]),MONTH(Table1[[#This Row],[OrderDate]]),1)</f>
        <v>45717</v>
      </c>
    </row>
    <row r="39" spans="1:27" x14ac:dyDescent="0.3">
      <c r="A39" s="3">
        <v>45828</v>
      </c>
      <c r="B39" t="s">
        <v>13</v>
      </c>
      <c r="C39" t="s">
        <v>29</v>
      </c>
      <c r="D39" t="str">
        <f>TRIM(Table1[[#This Row],[Product]])</f>
        <v>Chair</v>
      </c>
      <c r="E39" t="str">
        <f>PROPER(Table1[[#This Row],[Column1]])</f>
        <v>Chair</v>
      </c>
      <c r="F39" s="8" t="str">
        <f t="shared" si="1"/>
        <v>Furniture</v>
      </c>
      <c r="G39" s="5">
        <v>7</v>
      </c>
      <c r="H39">
        <v>301.01</v>
      </c>
      <c r="I39" t="s">
        <v>57</v>
      </c>
      <c r="J39" t="s">
        <v>65</v>
      </c>
      <c r="K39" s="7">
        <v>0.15</v>
      </c>
      <c r="L39" t="s">
        <v>23</v>
      </c>
      <c r="M39" s="5">
        <v>1791.0094999999999</v>
      </c>
      <c r="N39" t="s">
        <v>88</v>
      </c>
      <c r="O39" t="s">
        <v>67</v>
      </c>
      <c r="P39" s="5">
        <v>1</v>
      </c>
      <c r="Q39" t="s">
        <v>150</v>
      </c>
      <c r="R39" t="s">
        <v>151</v>
      </c>
      <c r="S39" s="5">
        <v>34.97</v>
      </c>
      <c r="T39" s="3">
        <v>45828</v>
      </c>
      <c r="U39" s="3">
        <v>45838</v>
      </c>
      <c r="V39" t="s">
        <v>70</v>
      </c>
      <c r="W39">
        <f t="shared" si="2"/>
        <v>1522.3580749999999</v>
      </c>
      <c r="X39">
        <f t="shared" si="3"/>
        <v>2107.0699999999997</v>
      </c>
      <c r="Y39">
        <f t="shared" si="4"/>
        <v>584.71192499999984</v>
      </c>
      <c r="Z39" s="8" t="str">
        <f t="shared" si="0"/>
        <v>High</v>
      </c>
      <c r="AA39" s="12">
        <f>DATE(YEAR(Table1[[#This Row],[OrderDate]]),MONTH(Table1[[#This Row],[OrderDate]]),1)</f>
        <v>45809</v>
      </c>
    </row>
    <row r="40" spans="1:27" x14ac:dyDescent="0.3">
      <c r="A40" s="3">
        <v>45337</v>
      </c>
      <c r="B40" t="s">
        <v>7</v>
      </c>
      <c r="C40" t="s">
        <v>34</v>
      </c>
      <c r="D40" t="str">
        <f>TRIM(Table1[[#This Row],[Product]])</f>
        <v>Printer</v>
      </c>
      <c r="E40" t="str">
        <f>PROPER(Table1[[#This Row],[Column1]])</f>
        <v>Printer</v>
      </c>
      <c r="F40" s="8" t="str">
        <f t="shared" si="1"/>
        <v>Office Supplies</v>
      </c>
      <c r="G40" s="5">
        <v>14</v>
      </c>
      <c r="H40">
        <v>428.13</v>
      </c>
      <c r="I40" t="s">
        <v>78</v>
      </c>
      <c r="J40" t="s">
        <v>65</v>
      </c>
      <c r="K40" s="7">
        <v>0.1</v>
      </c>
      <c r="L40" t="s">
        <v>19</v>
      </c>
      <c r="M40" s="5">
        <v>5394.4380000000001</v>
      </c>
      <c r="N40" t="s">
        <v>88</v>
      </c>
      <c r="P40" s="5">
        <v>1</v>
      </c>
      <c r="Q40" t="s">
        <v>152</v>
      </c>
      <c r="R40" t="s">
        <v>153</v>
      </c>
      <c r="S40" s="5">
        <v>24.77</v>
      </c>
      <c r="T40" s="3">
        <v>45337</v>
      </c>
      <c r="U40" s="3">
        <v>45347</v>
      </c>
      <c r="V40" t="s">
        <v>77</v>
      </c>
      <c r="W40">
        <f t="shared" si="2"/>
        <v>4854.9942000000001</v>
      </c>
      <c r="X40">
        <f t="shared" si="3"/>
        <v>5993.82</v>
      </c>
      <c r="Y40">
        <f t="shared" si="4"/>
        <v>1138.8257999999996</v>
      </c>
      <c r="Z40" s="8" t="str">
        <f t="shared" si="0"/>
        <v>Medium</v>
      </c>
      <c r="AA40" s="12">
        <f>DATE(YEAR(Table1[[#This Row],[OrderDate]]),MONTH(Table1[[#This Row],[OrderDate]]),1)</f>
        <v>45323</v>
      </c>
    </row>
    <row r="41" spans="1:27" x14ac:dyDescent="0.3">
      <c r="A41" s="3">
        <v>45086</v>
      </c>
      <c r="B41" t="s">
        <v>7</v>
      </c>
      <c r="C41" t="s">
        <v>31</v>
      </c>
      <c r="D41" t="str">
        <f>TRIM(Table1[[#This Row],[Product]])</f>
        <v>Laptop</v>
      </c>
      <c r="E41" t="str">
        <f>PROPER(Table1[[#This Row],[Column1]])</f>
        <v>Laptop</v>
      </c>
      <c r="F41" s="8" t="str">
        <f t="shared" si="1"/>
        <v>Technology</v>
      </c>
      <c r="G41" s="5">
        <v>2</v>
      </c>
      <c r="H41">
        <v>503.28</v>
      </c>
      <c r="I41" t="s">
        <v>81</v>
      </c>
      <c r="J41" t="s">
        <v>65</v>
      </c>
      <c r="K41" s="7">
        <v>0.15</v>
      </c>
      <c r="L41" t="s">
        <v>18</v>
      </c>
      <c r="M41" s="5">
        <v>855.57599999999991</v>
      </c>
      <c r="N41" t="s">
        <v>66</v>
      </c>
      <c r="P41" s="5">
        <v>0</v>
      </c>
      <c r="Q41" t="s">
        <v>154</v>
      </c>
      <c r="R41" t="s">
        <v>155</v>
      </c>
      <c r="S41" s="5">
        <v>34.79</v>
      </c>
      <c r="T41" s="3">
        <v>45086</v>
      </c>
      <c r="U41" s="3">
        <v>45094</v>
      </c>
      <c r="V41" t="s">
        <v>77</v>
      </c>
      <c r="W41">
        <f t="shared" si="2"/>
        <v>727.23959999999988</v>
      </c>
      <c r="X41">
        <f t="shared" si="3"/>
        <v>1006.56</v>
      </c>
      <c r="Y41">
        <f t="shared" si="4"/>
        <v>279.32040000000006</v>
      </c>
      <c r="Z41" s="8" t="str">
        <f t="shared" si="0"/>
        <v>High</v>
      </c>
      <c r="AA41" s="12">
        <f>DATE(YEAR(Table1[[#This Row],[OrderDate]]),MONTH(Table1[[#This Row],[OrderDate]]),1)</f>
        <v>45078</v>
      </c>
    </row>
    <row r="42" spans="1:27" x14ac:dyDescent="0.3">
      <c r="A42" s="3">
        <v>45148</v>
      </c>
      <c r="B42" t="s">
        <v>13</v>
      </c>
      <c r="C42" t="s">
        <v>34</v>
      </c>
      <c r="D42" t="str">
        <f>TRIM(Table1[[#This Row],[Product]])</f>
        <v>Printer</v>
      </c>
      <c r="E42" t="str">
        <f>PROPER(Table1[[#This Row],[Column1]])</f>
        <v>Printer</v>
      </c>
      <c r="F42" s="8" t="str">
        <f t="shared" si="1"/>
        <v>Office Supplies</v>
      </c>
      <c r="G42" s="5">
        <v>5</v>
      </c>
      <c r="H42">
        <v>470.32</v>
      </c>
      <c r="I42" t="s">
        <v>64</v>
      </c>
      <c r="J42" t="s">
        <v>65</v>
      </c>
      <c r="K42" s="7">
        <v>0.1</v>
      </c>
      <c r="L42" t="s">
        <v>25</v>
      </c>
      <c r="M42" s="5">
        <v>2116.44</v>
      </c>
      <c r="N42" t="s">
        <v>85</v>
      </c>
      <c r="O42" t="s">
        <v>67</v>
      </c>
      <c r="P42" s="5">
        <v>0</v>
      </c>
      <c r="Q42" t="s">
        <v>156</v>
      </c>
      <c r="R42" t="s">
        <v>157</v>
      </c>
      <c r="S42" s="5">
        <v>17.77</v>
      </c>
      <c r="T42" s="3">
        <v>45148</v>
      </c>
      <c r="U42" s="3">
        <v>45152</v>
      </c>
      <c r="V42" t="s">
        <v>70</v>
      </c>
      <c r="W42">
        <f t="shared" si="2"/>
        <v>1904.796</v>
      </c>
      <c r="X42">
        <f t="shared" si="3"/>
        <v>2351.6</v>
      </c>
      <c r="Y42">
        <f t="shared" si="4"/>
        <v>446.80399999999986</v>
      </c>
      <c r="Z42" s="8" t="str">
        <f t="shared" si="0"/>
        <v>Medium</v>
      </c>
      <c r="AA42" s="12">
        <f>DATE(YEAR(Table1[[#This Row],[OrderDate]]),MONTH(Table1[[#This Row],[OrderDate]]),1)</f>
        <v>45139</v>
      </c>
    </row>
    <row r="43" spans="1:27" x14ac:dyDescent="0.3">
      <c r="A43" s="3">
        <v>45459</v>
      </c>
      <c r="B43" t="s">
        <v>7</v>
      </c>
      <c r="C43" t="s">
        <v>34</v>
      </c>
      <c r="D43" t="str">
        <f>TRIM(Table1[[#This Row],[Product]])</f>
        <v>Printer</v>
      </c>
      <c r="E43" t="str">
        <f>PROPER(Table1[[#This Row],[Column1]])</f>
        <v>Printer</v>
      </c>
      <c r="F43" s="8" t="str">
        <f t="shared" si="1"/>
        <v>Office Supplies</v>
      </c>
      <c r="G43" s="5">
        <v>20</v>
      </c>
      <c r="H43">
        <v>65.17</v>
      </c>
      <c r="I43" t="s">
        <v>78</v>
      </c>
      <c r="J43" t="s">
        <v>58</v>
      </c>
      <c r="K43" s="7">
        <v>0.05</v>
      </c>
      <c r="L43" t="s">
        <v>25</v>
      </c>
      <c r="M43" s="5">
        <v>1238.23</v>
      </c>
      <c r="N43" t="s">
        <v>66</v>
      </c>
      <c r="O43" t="s">
        <v>60</v>
      </c>
      <c r="P43" s="5">
        <v>0</v>
      </c>
      <c r="Q43" t="s">
        <v>158</v>
      </c>
      <c r="R43" t="s">
        <v>159</v>
      </c>
      <c r="S43" s="5">
        <v>21.72</v>
      </c>
      <c r="T43" s="3">
        <v>45459</v>
      </c>
      <c r="U43" s="3">
        <v>45468</v>
      </c>
      <c r="V43" t="s">
        <v>77</v>
      </c>
      <c r="W43">
        <f t="shared" si="2"/>
        <v>1176.3184999999999</v>
      </c>
      <c r="X43">
        <f t="shared" si="3"/>
        <v>1303.4000000000001</v>
      </c>
      <c r="Y43">
        <f t="shared" si="4"/>
        <v>127.08150000000023</v>
      </c>
      <c r="Z43" s="8" t="str">
        <f t="shared" si="0"/>
        <v>Medium</v>
      </c>
      <c r="AA43" s="12">
        <f>DATE(YEAR(Table1[[#This Row],[OrderDate]]),MONTH(Table1[[#This Row],[OrderDate]]),1)</f>
        <v>45444</v>
      </c>
    </row>
    <row r="44" spans="1:27" x14ac:dyDescent="0.3">
      <c r="A44" s="3">
        <v>45130</v>
      </c>
      <c r="B44" t="s">
        <v>13</v>
      </c>
      <c r="C44" t="s">
        <v>31</v>
      </c>
      <c r="D44" t="str">
        <f>TRIM(Table1[[#This Row],[Product]])</f>
        <v>Laptop</v>
      </c>
      <c r="E44" t="str">
        <f>PROPER(Table1[[#This Row],[Column1]])</f>
        <v>Laptop</v>
      </c>
      <c r="F44" s="8" t="str">
        <f t="shared" si="1"/>
        <v>Technology</v>
      </c>
      <c r="G44" s="5">
        <v>12</v>
      </c>
      <c r="H44">
        <v>36.17</v>
      </c>
      <c r="I44" t="s">
        <v>64</v>
      </c>
      <c r="J44" t="s">
        <v>65</v>
      </c>
      <c r="K44" s="7">
        <v>0</v>
      </c>
      <c r="L44" t="s">
        <v>25</v>
      </c>
      <c r="M44" s="5">
        <v>434.04</v>
      </c>
      <c r="N44" t="s">
        <v>59</v>
      </c>
      <c r="O44" t="s">
        <v>71</v>
      </c>
      <c r="P44" s="5">
        <v>0</v>
      </c>
      <c r="Q44" t="s">
        <v>160</v>
      </c>
      <c r="R44" t="s">
        <v>161</v>
      </c>
      <c r="S44" s="5">
        <v>34.85</v>
      </c>
      <c r="T44" s="3">
        <v>45130</v>
      </c>
      <c r="U44" s="3">
        <v>45133</v>
      </c>
      <c r="V44" t="s">
        <v>70</v>
      </c>
      <c r="W44">
        <f t="shared" si="2"/>
        <v>434.04</v>
      </c>
      <c r="X44">
        <f t="shared" si="3"/>
        <v>434.04</v>
      </c>
      <c r="Y44">
        <f t="shared" si="4"/>
        <v>0</v>
      </c>
      <c r="Z44" s="8" t="str">
        <f t="shared" si="0"/>
        <v>No Discount</v>
      </c>
      <c r="AA44" s="12">
        <f>DATE(YEAR(Table1[[#This Row],[OrderDate]]),MONTH(Table1[[#This Row],[OrderDate]]),1)</f>
        <v>45108</v>
      </c>
    </row>
    <row r="45" spans="1:27" x14ac:dyDescent="0.3">
      <c r="A45" s="3">
        <v>45066</v>
      </c>
      <c r="B45" t="s">
        <v>7</v>
      </c>
      <c r="C45" t="s">
        <v>34</v>
      </c>
      <c r="D45" t="str">
        <f>TRIM(Table1[[#This Row],[Product]])</f>
        <v>Printer</v>
      </c>
      <c r="E45" t="str">
        <f>PROPER(Table1[[#This Row],[Column1]])</f>
        <v>Printer</v>
      </c>
      <c r="F45" s="8" t="str">
        <f t="shared" si="1"/>
        <v>Office Supplies</v>
      </c>
      <c r="G45" s="5">
        <v>4</v>
      </c>
      <c r="H45">
        <v>459.31</v>
      </c>
      <c r="I45" t="s">
        <v>81</v>
      </c>
      <c r="J45" t="s">
        <v>58</v>
      </c>
      <c r="K45" s="7">
        <v>0.15</v>
      </c>
      <c r="L45" t="s">
        <v>21</v>
      </c>
      <c r="M45" s="5">
        <v>1561.654</v>
      </c>
      <c r="N45" t="s">
        <v>66</v>
      </c>
      <c r="O45" t="s">
        <v>71</v>
      </c>
      <c r="P45" s="5">
        <v>1</v>
      </c>
      <c r="Q45" t="s">
        <v>162</v>
      </c>
      <c r="R45" t="s">
        <v>163</v>
      </c>
      <c r="S45" s="5">
        <v>27.39</v>
      </c>
      <c r="T45" s="3">
        <v>45066</v>
      </c>
      <c r="U45" s="3">
        <v>45073</v>
      </c>
      <c r="V45" t="s">
        <v>77</v>
      </c>
      <c r="W45">
        <f t="shared" si="2"/>
        <v>1327.4059</v>
      </c>
      <c r="X45">
        <f t="shared" si="3"/>
        <v>1837.24</v>
      </c>
      <c r="Y45">
        <f t="shared" si="4"/>
        <v>509.83410000000003</v>
      </c>
      <c r="Z45" s="8" t="str">
        <f t="shared" si="0"/>
        <v>High</v>
      </c>
      <c r="AA45" s="12">
        <f>DATE(YEAR(Table1[[#This Row],[OrderDate]]),MONTH(Table1[[#This Row],[OrderDate]]),1)</f>
        <v>45047</v>
      </c>
    </row>
    <row r="46" spans="1:27" x14ac:dyDescent="0.3">
      <c r="A46" s="3">
        <v>45107</v>
      </c>
      <c r="B46" t="s">
        <v>13</v>
      </c>
      <c r="C46" t="s">
        <v>31</v>
      </c>
      <c r="D46" t="str">
        <f>TRIM(Table1[[#This Row],[Product]])</f>
        <v>Laptop</v>
      </c>
      <c r="E46" t="str">
        <f>PROPER(Table1[[#This Row],[Column1]])</f>
        <v>Laptop</v>
      </c>
      <c r="F46" s="8" t="str">
        <f t="shared" si="1"/>
        <v>Technology</v>
      </c>
      <c r="G46" s="5">
        <v>2</v>
      </c>
      <c r="H46">
        <v>416.06</v>
      </c>
      <c r="I46" t="s">
        <v>81</v>
      </c>
      <c r="J46" t="s">
        <v>65</v>
      </c>
      <c r="K46" s="7">
        <v>0.05</v>
      </c>
      <c r="L46" t="s">
        <v>25</v>
      </c>
      <c r="M46" s="5">
        <v>790.51400000000001</v>
      </c>
      <c r="N46" t="s">
        <v>85</v>
      </c>
      <c r="O46" t="s">
        <v>67</v>
      </c>
      <c r="P46" s="5">
        <v>0</v>
      </c>
      <c r="Q46" t="s">
        <v>164</v>
      </c>
      <c r="R46" t="s">
        <v>165</v>
      </c>
      <c r="S46" s="5">
        <v>11.62</v>
      </c>
      <c r="T46" s="3">
        <v>45107</v>
      </c>
      <c r="U46" s="3">
        <v>45111</v>
      </c>
      <c r="V46" t="s">
        <v>70</v>
      </c>
      <c r="W46">
        <f t="shared" si="2"/>
        <v>750.98829999999998</v>
      </c>
      <c r="X46">
        <f t="shared" si="3"/>
        <v>832.12</v>
      </c>
      <c r="Y46">
        <f t="shared" si="4"/>
        <v>81.131700000000023</v>
      </c>
      <c r="Z46" s="8" t="str">
        <f t="shared" si="0"/>
        <v>Medium</v>
      </c>
      <c r="AA46" s="12">
        <f>DATE(YEAR(Table1[[#This Row],[OrderDate]]),MONTH(Table1[[#This Row],[OrderDate]]),1)</f>
        <v>45078</v>
      </c>
    </row>
    <row r="47" spans="1:27" x14ac:dyDescent="0.3">
      <c r="A47" s="3">
        <v>45447</v>
      </c>
      <c r="B47" t="s">
        <v>13</v>
      </c>
      <c r="C47" t="s">
        <v>35</v>
      </c>
      <c r="D47" t="str">
        <f>TRIM(Table1[[#This Row],[Product]])</f>
        <v>Tablet</v>
      </c>
      <c r="E47" t="str">
        <f>PROPER(Table1[[#This Row],[Column1]])</f>
        <v>Tablet</v>
      </c>
      <c r="F47" s="8" t="str">
        <f t="shared" si="1"/>
        <v>Technology</v>
      </c>
      <c r="G47" s="5">
        <v>16</v>
      </c>
      <c r="H47">
        <v>302.58</v>
      </c>
      <c r="I47" t="s">
        <v>81</v>
      </c>
      <c r="J47" t="s">
        <v>65</v>
      </c>
      <c r="K47" s="7">
        <v>0</v>
      </c>
      <c r="L47" t="s">
        <v>18</v>
      </c>
      <c r="M47" s="5">
        <v>4841.28</v>
      </c>
      <c r="N47" t="s">
        <v>59</v>
      </c>
      <c r="O47" t="s">
        <v>71</v>
      </c>
      <c r="P47" s="5">
        <v>1</v>
      </c>
      <c r="Q47" t="s">
        <v>166</v>
      </c>
      <c r="R47" t="s">
        <v>167</v>
      </c>
      <c r="S47" s="5">
        <v>20.76</v>
      </c>
      <c r="T47" s="3">
        <v>45447</v>
      </c>
      <c r="U47" s="3">
        <v>45457</v>
      </c>
      <c r="V47" t="s">
        <v>70</v>
      </c>
      <c r="W47">
        <f t="shared" si="2"/>
        <v>4841.28</v>
      </c>
      <c r="X47">
        <f t="shared" si="3"/>
        <v>4841.28</v>
      </c>
      <c r="Y47">
        <f t="shared" si="4"/>
        <v>0</v>
      </c>
      <c r="Z47" s="8" t="str">
        <f t="shared" si="0"/>
        <v>No Discount</v>
      </c>
      <c r="AA47" s="12">
        <f>DATE(YEAR(Table1[[#This Row],[OrderDate]]),MONTH(Table1[[#This Row],[OrderDate]]),1)</f>
        <v>45444</v>
      </c>
    </row>
    <row r="48" spans="1:27" x14ac:dyDescent="0.3">
      <c r="A48" s="3">
        <v>45691</v>
      </c>
      <c r="B48" t="s">
        <v>16</v>
      </c>
      <c r="C48" t="s">
        <v>29</v>
      </c>
      <c r="D48" t="str">
        <f>TRIM(Table1[[#This Row],[Product]])</f>
        <v>Chair</v>
      </c>
      <c r="E48" t="str">
        <f>PROPER(Table1[[#This Row],[Column1]])</f>
        <v>Chair</v>
      </c>
      <c r="F48" s="8" t="str">
        <f t="shared" si="1"/>
        <v>Furniture</v>
      </c>
      <c r="G48" s="5">
        <v>11</v>
      </c>
      <c r="H48">
        <v>33.130000000000003</v>
      </c>
      <c r="I48" t="s">
        <v>64</v>
      </c>
      <c r="J48" t="s">
        <v>65</v>
      </c>
      <c r="K48" s="7">
        <v>0.15</v>
      </c>
      <c r="L48" t="s">
        <v>27</v>
      </c>
      <c r="M48" s="5">
        <v>309.76549999999997</v>
      </c>
      <c r="N48" t="s">
        <v>59</v>
      </c>
      <c r="O48" t="s">
        <v>60</v>
      </c>
      <c r="P48" s="5">
        <v>0</v>
      </c>
      <c r="Q48" t="s">
        <v>168</v>
      </c>
      <c r="R48" t="s">
        <v>169</v>
      </c>
      <c r="S48" s="5">
        <v>24.95</v>
      </c>
      <c r="T48" s="3">
        <v>45691</v>
      </c>
      <c r="U48" s="3">
        <v>45693</v>
      </c>
      <c r="V48" t="s">
        <v>95</v>
      </c>
      <c r="W48">
        <f t="shared" si="2"/>
        <v>263.30067499999996</v>
      </c>
      <c r="X48">
        <f t="shared" si="3"/>
        <v>364.43</v>
      </c>
      <c r="Y48">
        <f t="shared" si="4"/>
        <v>101.12932500000005</v>
      </c>
      <c r="Z48" s="8" t="str">
        <f t="shared" si="0"/>
        <v>High</v>
      </c>
      <c r="AA48" s="12">
        <f>DATE(YEAR(Table1[[#This Row],[OrderDate]]),MONTH(Table1[[#This Row],[OrderDate]]),1)</f>
        <v>45689</v>
      </c>
    </row>
    <row r="49" spans="1:27" x14ac:dyDescent="0.3">
      <c r="A49" s="3">
        <v>45300</v>
      </c>
      <c r="B49" t="s">
        <v>9</v>
      </c>
      <c r="C49" t="s">
        <v>35</v>
      </c>
      <c r="D49" t="str">
        <f>TRIM(Table1[[#This Row],[Product]])</f>
        <v>Tablet</v>
      </c>
      <c r="E49" t="str">
        <f>PROPER(Table1[[#This Row],[Column1]])</f>
        <v>Tablet</v>
      </c>
      <c r="F49" s="8" t="str">
        <f t="shared" si="1"/>
        <v>Technology</v>
      </c>
      <c r="G49" s="5">
        <v>8</v>
      </c>
      <c r="H49">
        <v>582.52</v>
      </c>
      <c r="I49" t="s">
        <v>81</v>
      </c>
      <c r="J49" t="s">
        <v>65</v>
      </c>
      <c r="K49" s="7">
        <v>0.15</v>
      </c>
      <c r="L49" t="s">
        <v>27</v>
      </c>
      <c r="M49" s="5">
        <v>3961.136</v>
      </c>
      <c r="N49" t="s">
        <v>66</v>
      </c>
      <c r="O49" t="s">
        <v>71</v>
      </c>
      <c r="P49" s="5">
        <v>0</v>
      </c>
      <c r="Q49" t="s">
        <v>170</v>
      </c>
      <c r="R49" t="s">
        <v>171</v>
      </c>
      <c r="S49" s="5">
        <v>6.47</v>
      </c>
      <c r="T49" s="3">
        <v>45300</v>
      </c>
      <c r="U49" s="3">
        <v>45304</v>
      </c>
      <c r="V49" t="s">
        <v>63</v>
      </c>
      <c r="W49">
        <f t="shared" si="2"/>
        <v>3366.9656</v>
      </c>
      <c r="X49">
        <f t="shared" si="3"/>
        <v>4660.16</v>
      </c>
      <c r="Y49">
        <f t="shared" si="4"/>
        <v>1293.1943999999999</v>
      </c>
      <c r="Z49" s="8" t="str">
        <f t="shared" si="0"/>
        <v>High</v>
      </c>
      <c r="AA49" s="12">
        <f>DATE(YEAR(Table1[[#This Row],[OrderDate]]),MONTH(Table1[[#This Row],[OrderDate]]),1)</f>
        <v>45292</v>
      </c>
    </row>
    <row r="50" spans="1:27" x14ac:dyDescent="0.3">
      <c r="A50" s="3">
        <v>45365</v>
      </c>
      <c r="B50" t="s">
        <v>11</v>
      </c>
      <c r="C50" t="s">
        <v>30</v>
      </c>
      <c r="D50" t="str">
        <f>TRIM(Table1[[#This Row],[Product]])</f>
        <v>Desk</v>
      </c>
      <c r="E50" t="str">
        <f>PROPER(Table1[[#This Row],[Column1]])</f>
        <v>Desk</v>
      </c>
      <c r="F50" s="8" t="str">
        <f t="shared" si="1"/>
        <v>Furniture</v>
      </c>
      <c r="G50" s="5">
        <v>5</v>
      </c>
      <c r="H50">
        <v>165.15</v>
      </c>
      <c r="I50" t="s">
        <v>64</v>
      </c>
      <c r="J50" t="s">
        <v>65</v>
      </c>
      <c r="K50" s="7">
        <v>0.1</v>
      </c>
      <c r="L50" t="s">
        <v>25</v>
      </c>
      <c r="M50" s="5">
        <v>743.17500000000007</v>
      </c>
      <c r="N50" t="s">
        <v>66</v>
      </c>
      <c r="P50" s="5">
        <v>0</v>
      </c>
      <c r="Q50" t="s">
        <v>172</v>
      </c>
      <c r="R50" t="s">
        <v>173</v>
      </c>
      <c r="S50" s="5">
        <v>20.57</v>
      </c>
      <c r="T50" s="3">
        <v>45365</v>
      </c>
      <c r="U50" s="3">
        <v>45367</v>
      </c>
      <c r="V50" t="s">
        <v>74</v>
      </c>
      <c r="W50">
        <f t="shared" si="2"/>
        <v>668.85750000000007</v>
      </c>
      <c r="X50">
        <f t="shared" si="3"/>
        <v>825.75</v>
      </c>
      <c r="Y50">
        <f t="shared" si="4"/>
        <v>156.89249999999993</v>
      </c>
      <c r="Z50" s="8" t="str">
        <f t="shared" si="0"/>
        <v>Medium</v>
      </c>
      <c r="AA50" s="12">
        <f>DATE(YEAR(Table1[[#This Row],[OrderDate]]),MONTH(Table1[[#This Row],[OrderDate]]),1)</f>
        <v>45352</v>
      </c>
    </row>
    <row r="51" spans="1:27" x14ac:dyDescent="0.3">
      <c r="A51" s="3">
        <v>45541</v>
      </c>
      <c r="B51" t="s">
        <v>16</v>
      </c>
      <c r="C51" t="s">
        <v>32</v>
      </c>
      <c r="D51" t="str">
        <f>TRIM(Table1[[#This Row],[Product]])</f>
        <v>Monitor</v>
      </c>
      <c r="E51" t="str">
        <f>PROPER(Table1[[#This Row],[Column1]])</f>
        <v>Monitor</v>
      </c>
      <c r="F51" s="8" t="str">
        <f t="shared" si="1"/>
        <v>Technology</v>
      </c>
      <c r="G51" s="5">
        <v>14</v>
      </c>
      <c r="H51">
        <v>242.82</v>
      </c>
      <c r="I51" t="s">
        <v>81</v>
      </c>
      <c r="J51" t="s">
        <v>58</v>
      </c>
      <c r="K51" s="7">
        <v>0.15</v>
      </c>
      <c r="L51" t="s">
        <v>18</v>
      </c>
      <c r="M51" s="5">
        <v>2889.558</v>
      </c>
      <c r="N51" t="s">
        <v>88</v>
      </c>
      <c r="O51" t="s">
        <v>71</v>
      </c>
      <c r="P51" s="5">
        <v>1</v>
      </c>
      <c r="Q51" t="s">
        <v>174</v>
      </c>
      <c r="R51" t="s">
        <v>175</v>
      </c>
      <c r="S51" s="5">
        <v>20.71</v>
      </c>
      <c r="T51" s="3">
        <v>45541</v>
      </c>
      <c r="U51" s="3">
        <v>45548</v>
      </c>
      <c r="V51" t="s">
        <v>95</v>
      </c>
      <c r="W51">
        <f t="shared" si="2"/>
        <v>2456.1242999999999</v>
      </c>
      <c r="X51">
        <f t="shared" si="3"/>
        <v>3399.48</v>
      </c>
      <c r="Y51">
        <f t="shared" si="4"/>
        <v>943.35570000000007</v>
      </c>
      <c r="Z51" s="8" t="str">
        <f t="shared" si="0"/>
        <v>High</v>
      </c>
      <c r="AA51" s="12">
        <f>DATE(YEAR(Table1[[#This Row],[OrderDate]]),MONTH(Table1[[#This Row],[OrderDate]]),1)</f>
        <v>45536</v>
      </c>
    </row>
    <row r="52" spans="1:27" x14ac:dyDescent="0.3">
      <c r="A52" s="3">
        <v>45002</v>
      </c>
      <c r="B52" t="s">
        <v>9</v>
      </c>
      <c r="C52" t="s">
        <v>32</v>
      </c>
      <c r="D52" t="str">
        <f>TRIM(Table1[[#This Row],[Product]])</f>
        <v>Monitor</v>
      </c>
      <c r="E52" t="str">
        <f>PROPER(Table1[[#This Row],[Column1]])</f>
        <v>Monitor</v>
      </c>
      <c r="F52" s="8" t="str">
        <f t="shared" si="1"/>
        <v>Technology</v>
      </c>
      <c r="G52" s="5">
        <v>13</v>
      </c>
      <c r="H52">
        <v>65.989999999999995</v>
      </c>
      <c r="I52" t="s">
        <v>64</v>
      </c>
      <c r="J52" t="s">
        <v>58</v>
      </c>
      <c r="K52" s="7">
        <v>0.1</v>
      </c>
      <c r="L52" t="s">
        <v>27</v>
      </c>
      <c r="M52" s="5">
        <v>772.08299999999997</v>
      </c>
      <c r="N52" t="s">
        <v>88</v>
      </c>
      <c r="O52" t="s">
        <v>71</v>
      </c>
      <c r="P52" s="5">
        <v>0</v>
      </c>
      <c r="Q52" t="s">
        <v>176</v>
      </c>
      <c r="R52" t="s">
        <v>177</v>
      </c>
      <c r="S52" s="5">
        <v>12.87</v>
      </c>
      <c r="T52" s="3">
        <v>45002</v>
      </c>
      <c r="U52" s="3">
        <v>45005</v>
      </c>
      <c r="V52" t="s">
        <v>63</v>
      </c>
      <c r="W52">
        <f t="shared" si="2"/>
        <v>694.87469999999996</v>
      </c>
      <c r="X52">
        <f t="shared" si="3"/>
        <v>857.86999999999989</v>
      </c>
      <c r="Y52">
        <f t="shared" si="4"/>
        <v>162.99529999999993</v>
      </c>
      <c r="Z52" s="8" t="str">
        <f t="shared" si="0"/>
        <v>Medium</v>
      </c>
      <c r="AA52" s="12">
        <f>DATE(YEAR(Table1[[#This Row],[OrderDate]]),MONTH(Table1[[#This Row],[OrderDate]]),1)</f>
        <v>44986</v>
      </c>
    </row>
    <row r="53" spans="1:27" x14ac:dyDescent="0.3">
      <c r="A53" s="3">
        <v>45674</v>
      </c>
      <c r="B53" t="s">
        <v>16</v>
      </c>
      <c r="C53" t="s">
        <v>29</v>
      </c>
      <c r="D53" t="str">
        <f>TRIM(Table1[[#This Row],[Product]])</f>
        <v>Chair</v>
      </c>
      <c r="E53" t="str">
        <f>PROPER(Table1[[#This Row],[Column1]])</f>
        <v>Chair</v>
      </c>
      <c r="F53" s="8" t="str">
        <f t="shared" si="1"/>
        <v>Furniture</v>
      </c>
      <c r="G53" s="5">
        <v>2</v>
      </c>
      <c r="H53">
        <v>251.69</v>
      </c>
      <c r="I53" t="s">
        <v>78</v>
      </c>
      <c r="J53" t="s">
        <v>58</v>
      </c>
      <c r="K53" s="7">
        <v>0</v>
      </c>
      <c r="L53" t="s">
        <v>18</v>
      </c>
      <c r="M53" s="5">
        <v>503.38</v>
      </c>
      <c r="N53" t="s">
        <v>85</v>
      </c>
      <c r="O53" t="s">
        <v>60</v>
      </c>
      <c r="P53" s="5">
        <v>0</v>
      </c>
      <c r="Q53" t="s">
        <v>178</v>
      </c>
      <c r="R53" t="s">
        <v>179</v>
      </c>
      <c r="S53" s="5">
        <v>42.49</v>
      </c>
      <c r="T53" s="3">
        <v>45674</v>
      </c>
      <c r="U53" s="3">
        <v>45681</v>
      </c>
      <c r="V53" t="s">
        <v>95</v>
      </c>
      <c r="W53">
        <f t="shared" si="2"/>
        <v>503.38</v>
      </c>
      <c r="X53">
        <f t="shared" si="3"/>
        <v>503.38</v>
      </c>
      <c r="Y53">
        <f t="shared" si="4"/>
        <v>0</v>
      </c>
      <c r="Z53" s="8" t="str">
        <f t="shared" si="0"/>
        <v>No Discount</v>
      </c>
      <c r="AA53" s="12">
        <f>DATE(YEAR(Table1[[#This Row],[OrderDate]]),MONTH(Table1[[#This Row],[OrderDate]]),1)</f>
        <v>45658</v>
      </c>
    </row>
    <row r="54" spans="1:27" x14ac:dyDescent="0.3">
      <c r="A54" s="3">
        <v>45547</v>
      </c>
      <c r="B54" t="s">
        <v>13</v>
      </c>
      <c r="C54" t="s">
        <v>31</v>
      </c>
      <c r="D54" t="str">
        <f>TRIM(Table1[[#This Row],[Product]])</f>
        <v>Laptop</v>
      </c>
      <c r="E54" t="str">
        <f>PROPER(Table1[[#This Row],[Column1]])</f>
        <v>Laptop</v>
      </c>
      <c r="F54" s="8" t="str">
        <f t="shared" si="1"/>
        <v>Technology</v>
      </c>
      <c r="G54" s="5">
        <v>1</v>
      </c>
      <c r="H54">
        <v>269.41000000000003</v>
      </c>
      <c r="I54" t="s">
        <v>57</v>
      </c>
      <c r="J54" t="s">
        <v>58</v>
      </c>
      <c r="K54" s="7">
        <v>0.1</v>
      </c>
      <c r="L54" t="s">
        <v>25</v>
      </c>
      <c r="M54" s="5">
        <v>242.46899999999999</v>
      </c>
      <c r="N54" t="s">
        <v>88</v>
      </c>
      <c r="O54" t="s">
        <v>71</v>
      </c>
      <c r="P54" s="5">
        <v>1</v>
      </c>
      <c r="Q54" t="s">
        <v>180</v>
      </c>
      <c r="R54" t="s">
        <v>181</v>
      </c>
      <c r="S54" s="5">
        <v>19.22</v>
      </c>
      <c r="T54" s="3">
        <v>45547</v>
      </c>
      <c r="U54" s="3">
        <v>45553</v>
      </c>
      <c r="V54" t="s">
        <v>70</v>
      </c>
      <c r="W54">
        <f t="shared" si="2"/>
        <v>218.22210000000001</v>
      </c>
      <c r="X54">
        <f t="shared" si="3"/>
        <v>269.41000000000003</v>
      </c>
      <c r="Y54">
        <f t="shared" si="4"/>
        <v>51.187900000000013</v>
      </c>
      <c r="Z54" s="8" t="str">
        <f t="shared" si="0"/>
        <v>Medium</v>
      </c>
      <c r="AA54" s="12">
        <f>DATE(YEAR(Table1[[#This Row],[OrderDate]]),MONTH(Table1[[#This Row],[OrderDate]]),1)</f>
        <v>45536</v>
      </c>
    </row>
    <row r="55" spans="1:27" x14ac:dyDescent="0.3">
      <c r="A55" s="3">
        <v>45296</v>
      </c>
      <c r="B55" t="s">
        <v>13</v>
      </c>
      <c r="C55" t="s">
        <v>32</v>
      </c>
      <c r="D55" t="str">
        <f>TRIM(Table1[[#This Row],[Product]])</f>
        <v>Monitor</v>
      </c>
      <c r="E55" t="str">
        <f>PROPER(Table1[[#This Row],[Column1]])</f>
        <v>Monitor</v>
      </c>
      <c r="F55" s="8" t="str">
        <f t="shared" si="1"/>
        <v>Technology</v>
      </c>
      <c r="G55" s="5">
        <v>2</v>
      </c>
      <c r="H55">
        <v>371.3</v>
      </c>
      <c r="I55" t="s">
        <v>57</v>
      </c>
      <c r="J55" t="s">
        <v>58</v>
      </c>
      <c r="K55" s="7">
        <v>0.05</v>
      </c>
      <c r="L55" t="s">
        <v>19</v>
      </c>
      <c r="M55" s="5">
        <v>705.47</v>
      </c>
      <c r="N55" t="s">
        <v>82</v>
      </c>
      <c r="O55" t="s">
        <v>67</v>
      </c>
      <c r="P55" s="5">
        <v>0</v>
      </c>
      <c r="Q55" t="s">
        <v>182</v>
      </c>
      <c r="R55" t="s">
        <v>183</v>
      </c>
      <c r="S55" s="5">
        <v>36.51</v>
      </c>
      <c r="T55" s="3">
        <v>45296</v>
      </c>
      <c r="U55" s="3">
        <v>45306</v>
      </c>
      <c r="V55" t="s">
        <v>70</v>
      </c>
      <c r="W55">
        <f t="shared" si="2"/>
        <v>670.19650000000001</v>
      </c>
      <c r="X55">
        <f t="shared" si="3"/>
        <v>742.6</v>
      </c>
      <c r="Y55">
        <f t="shared" si="4"/>
        <v>72.403500000000008</v>
      </c>
      <c r="Z55" s="8" t="str">
        <f t="shared" si="0"/>
        <v>Medium</v>
      </c>
      <c r="AA55" s="12">
        <f>DATE(YEAR(Table1[[#This Row],[OrderDate]]),MONTH(Table1[[#This Row],[OrderDate]]),1)</f>
        <v>45292</v>
      </c>
    </row>
    <row r="56" spans="1:27" x14ac:dyDescent="0.3">
      <c r="A56" s="3">
        <v>45401</v>
      </c>
      <c r="B56" t="s">
        <v>16</v>
      </c>
      <c r="C56" t="s">
        <v>35</v>
      </c>
      <c r="D56" t="str">
        <f>TRIM(Table1[[#This Row],[Product]])</f>
        <v>Tablet</v>
      </c>
      <c r="E56" t="str">
        <f>PROPER(Table1[[#This Row],[Column1]])</f>
        <v>Tablet</v>
      </c>
      <c r="F56" s="8" t="str">
        <f t="shared" si="1"/>
        <v>Technology</v>
      </c>
      <c r="G56" s="5">
        <v>11</v>
      </c>
      <c r="H56">
        <v>288.24</v>
      </c>
      <c r="I56" t="s">
        <v>64</v>
      </c>
      <c r="J56" t="s">
        <v>58</v>
      </c>
      <c r="K56" s="7">
        <v>0.15</v>
      </c>
      <c r="L56" t="s">
        <v>23</v>
      </c>
      <c r="M56" s="5">
        <v>2695.0439999999999</v>
      </c>
      <c r="N56" t="s">
        <v>59</v>
      </c>
      <c r="P56" s="5">
        <v>0</v>
      </c>
      <c r="Q56" t="s">
        <v>184</v>
      </c>
      <c r="R56" t="s">
        <v>185</v>
      </c>
      <c r="S56" s="5">
        <v>37.39</v>
      </c>
      <c r="T56" s="3">
        <v>45401</v>
      </c>
      <c r="U56" s="3">
        <v>45407</v>
      </c>
      <c r="V56" t="s">
        <v>95</v>
      </c>
      <c r="W56">
        <f t="shared" si="2"/>
        <v>2290.7873999999997</v>
      </c>
      <c r="X56">
        <f t="shared" si="3"/>
        <v>3170.6400000000003</v>
      </c>
      <c r="Y56">
        <f t="shared" si="4"/>
        <v>879.85260000000062</v>
      </c>
      <c r="Z56" s="8" t="str">
        <f t="shared" si="0"/>
        <v>High</v>
      </c>
      <c r="AA56" s="12">
        <f>DATE(YEAR(Table1[[#This Row],[OrderDate]]),MONTH(Table1[[#This Row],[OrderDate]]),1)</f>
        <v>45383</v>
      </c>
    </row>
    <row r="57" spans="1:27" x14ac:dyDescent="0.3">
      <c r="A57" s="3">
        <v>45819</v>
      </c>
      <c r="B57" t="s">
        <v>7</v>
      </c>
      <c r="C57" t="s">
        <v>35</v>
      </c>
      <c r="D57" t="str">
        <f>TRIM(Table1[[#This Row],[Product]])</f>
        <v>Tablet</v>
      </c>
      <c r="E57" t="str">
        <f>PROPER(Table1[[#This Row],[Column1]])</f>
        <v>Tablet</v>
      </c>
      <c r="F57" s="8" t="str">
        <f t="shared" si="1"/>
        <v>Technology</v>
      </c>
      <c r="G57" s="5">
        <v>11</v>
      </c>
      <c r="H57">
        <v>232.75</v>
      </c>
      <c r="I57" t="s">
        <v>81</v>
      </c>
      <c r="J57" t="s">
        <v>58</v>
      </c>
      <c r="K57" s="7">
        <v>0.05</v>
      </c>
      <c r="L57" t="s">
        <v>25</v>
      </c>
      <c r="M57" s="5">
        <v>2432.2375000000002</v>
      </c>
      <c r="N57" t="s">
        <v>82</v>
      </c>
      <c r="O57" t="s">
        <v>67</v>
      </c>
      <c r="P57" s="5">
        <v>0</v>
      </c>
      <c r="Q57" t="s">
        <v>186</v>
      </c>
      <c r="R57" t="s">
        <v>187</v>
      </c>
      <c r="S57" s="5">
        <v>36.33</v>
      </c>
      <c r="T57" s="3">
        <v>45819</v>
      </c>
      <c r="U57" s="3">
        <v>45829</v>
      </c>
      <c r="V57" t="s">
        <v>77</v>
      </c>
      <c r="W57">
        <f t="shared" si="2"/>
        <v>2310.6256250000001</v>
      </c>
      <c r="X57">
        <f t="shared" si="3"/>
        <v>2560.25</v>
      </c>
      <c r="Y57">
        <f t="shared" si="4"/>
        <v>249.62437499999987</v>
      </c>
      <c r="Z57" s="8" t="str">
        <f t="shared" si="0"/>
        <v>Medium</v>
      </c>
      <c r="AA57" s="12">
        <f>DATE(YEAR(Table1[[#This Row],[OrderDate]]),MONTH(Table1[[#This Row],[OrderDate]]),1)</f>
        <v>45809</v>
      </c>
    </row>
    <row r="58" spans="1:27" x14ac:dyDescent="0.3">
      <c r="A58" s="3">
        <v>45722</v>
      </c>
      <c r="B58" t="s">
        <v>9</v>
      </c>
      <c r="C58" t="s">
        <v>33</v>
      </c>
      <c r="D58" t="str">
        <f>TRIM(Table1[[#This Row],[Product]])</f>
        <v>Phone</v>
      </c>
      <c r="E58" t="str">
        <f>PROPER(Table1[[#This Row],[Column1]])</f>
        <v>Phone</v>
      </c>
      <c r="F58" s="8" t="str">
        <f t="shared" si="1"/>
        <v>Technology</v>
      </c>
      <c r="G58" s="5">
        <v>17</v>
      </c>
      <c r="H58">
        <v>146.28</v>
      </c>
      <c r="I58" t="s">
        <v>57</v>
      </c>
      <c r="J58" t="s">
        <v>65</v>
      </c>
      <c r="K58" s="7">
        <v>0.15</v>
      </c>
      <c r="L58" t="s">
        <v>21</v>
      </c>
      <c r="M58" s="5">
        <v>2113.7460000000001</v>
      </c>
      <c r="N58" t="s">
        <v>88</v>
      </c>
      <c r="O58" t="s">
        <v>67</v>
      </c>
      <c r="P58" s="5">
        <v>0</v>
      </c>
      <c r="Q58" t="s">
        <v>188</v>
      </c>
      <c r="R58" t="s">
        <v>189</v>
      </c>
      <c r="S58" s="5">
        <v>7.84</v>
      </c>
      <c r="T58" s="3">
        <v>45722</v>
      </c>
      <c r="U58" s="3">
        <v>45731</v>
      </c>
      <c r="V58" t="s">
        <v>63</v>
      </c>
      <c r="W58">
        <f t="shared" si="2"/>
        <v>1796.6840999999999</v>
      </c>
      <c r="X58">
        <f t="shared" si="3"/>
        <v>2486.7600000000002</v>
      </c>
      <c r="Y58">
        <f t="shared" si="4"/>
        <v>690.07590000000027</v>
      </c>
      <c r="Z58" s="8" t="str">
        <f t="shared" si="0"/>
        <v>High</v>
      </c>
      <c r="AA58" s="12">
        <f>DATE(YEAR(Table1[[#This Row],[OrderDate]]),MONTH(Table1[[#This Row],[OrderDate]]),1)</f>
        <v>45717</v>
      </c>
    </row>
    <row r="59" spans="1:27" x14ac:dyDescent="0.3">
      <c r="A59" s="3">
        <v>45070</v>
      </c>
      <c r="B59" t="s">
        <v>9</v>
      </c>
      <c r="C59" t="s">
        <v>29</v>
      </c>
      <c r="D59" t="str">
        <f>TRIM(Table1[[#This Row],[Product]])</f>
        <v>Chair</v>
      </c>
      <c r="E59" t="str">
        <f>PROPER(Table1[[#This Row],[Column1]])</f>
        <v>Chair</v>
      </c>
      <c r="F59" s="8" t="str">
        <f t="shared" si="1"/>
        <v>Furniture</v>
      </c>
      <c r="G59" s="5">
        <v>5</v>
      </c>
      <c r="H59">
        <v>100.38</v>
      </c>
      <c r="I59" t="s">
        <v>78</v>
      </c>
      <c r="J59" t="s">
        <v>65</v>
      </c>
      <c r="K59" s="7">
        <v>0.1</v>
      </c>
      <c r="L59" t="s">
        <v>25</v>
      </c>
      <c r="M59" s="5">
        <v>451.71</v>
      </c>
      <c r="N59" t="s">
        <v>66</v>
      </c>
      <c r="O59" t="s">
        <v>71</v>
      </c>
      <c r="P59" s="5">
        <v>1</v>
      </c>
      <c r="Q59" t="s">
        <v>190</v>
      </c>
      <c r="R59" t="s">
        <v>191</v>
      </c>
      <c r="S59" s="5">
        <v>18.350000000000001</v>
      </c>
      <c r="T59" s="3">
        <v>45070</v>
      </c>
      <c r="U59" s="3">
        <v>45072</v>
      </c>
      <c r="V59" t="s">
        <v>63</v>
      </c>
      <c r="W59">
        <f t="shared" si="2"/>
        <v>406.53899999999999</v>
      </c>
      <c r="X59">
        <f t="shared" si="3"/>
        <v>501.9</v>
      </c>
      <c r="Y59">
        <f t="shared" si="4"/>
        <v>95.36099999999999</v>
      </c>
      <c r="Z59" s="8" t="str">
        <f t="shared" si="0"/>
        <v>Medium</v>
      </c>
      <c r="AA59" s="12">
        <f>DATE(YEAR(Table1[[#This Row],[OrderDate]]),MONTH(Table1[[#This Row],[OrderDate]]),1)</f>
        <v>45047</v>
      </c>
    </row>
    <row r="60" spans="1:27" x14ac:dyDescent="0.3">
      <c r="A60" s="3">
        <v>44953</v>
      </c>
      <c r="B60" t="s">
        <v>13</v>
      </c>
      <c r="C60" t="s">
        <v>33</v>
      </c>
      <c r="D60" t="str">
        <f>TRIM(Table1[[#This Row],[Product]])</f>
        <v>Phone</v>
      </c>
      <c r="E60" t="str">
        <f>PROPER(Table1[[#This Row],[Column1]])</f>
        <v>Phone</v>
      </c>
      <c r="F60" s="8" t="str">
        <f t="shared" si="1"/>
        <v>Technology</v>
      </c>
      <c r="G60" s="5">
        <v>11</v>
      </c>
      <c r="H60">
        <v>375.48</v>
      </c>
      <c r="I60" t="s">
        <v>57</v>
      </c>
      <c r="J60" t="s">
        <v>65</v>
      </c>
      <c r="K60" s="7">
        <v>0.05</v>
      </c>
      <c r="L60" t="s">
        <v>19</v>
      </c>
      <c r="M60" s="5">
        <v>3923.766000000001</v>
      </c>
      <c r="N60" t="s">
        <v>85</v>
      </c>
      <c r="O60" t="s">
        <v>71</v>
      </c>
      <c r="P60" s="5">
        <v>0</v>
      </c>
      <c r="Q60" t="s">
        <v>192</v>
      </c>
      <c r="R60" t="s">
        <v>193</v>
      </c>
      <c r="S60" s="5">
        <v>15.95</v>
      </c>
      <c r="T60" s="3">
        <v>44953</v>
      </c>
      <c r="U60" s="3">
        <v>44960</v>
      </c>
      <c r="V60" t="s">
        <v>70</v>
      </c>
      <c r="W60">
        <f t="shared" si="2"/>
        <v>3727.5777000000007</v>
      </c>
      <c r="X60">
        <f t="shared" si="3"/>
        <v>4130.2800000000007</v>
      </c>
      <c r="Y60">
        <f t="shared" si="4"/>
        <v>402.70229999999992</v>
      </c>
      <c r="Z60" s="8" t="str">
        <f t="shared" si="0"/>
        <v>Medium</v>
      </c>
      <c r="AA60" s="12">
        <f>DATE(YEAR(Table1[[#This Row],[OrderDate]]),MONTH(Table1[[#This Row],[OrderDate]]),1)</f>
        <v>44927</v>
      </c>
    </row>
    <row r="61" spans="1:27" x14ac:dyDescent="0.3">
      <c r="A61" s="3">
        <v>45372</v>
      </c>
      <c r="B61" t="s">
        <v>13</v>
      </c>
      <c r="C61" t="s">
        <v>31</v>
      </c>
      <c r="D61" t="str">
        <f>TRIM(Table1[[#This Row],[Product]])</f>
        <v>Laptop</v>
      </c>
      <c r="E61" t="str">
        <f>PROPER(Table1[[#This Row],[Column1]])</f>
        <v>Laptop</v>
      </c>
      <c r="F61" s="8" t="str">
        <f t="shared" si="1"/>
        <v>Technology</v>
      </c>
      <c r="G61" s="5">
        <v>18</v>
      </c>
      <c r="H61">
        <v>316.89</v>
      </c>
      <c r="I61" t="s">
        <v>57</v>
      </c>
      <c r="J61" t="s">
        <v>58</v>
      </c>
      <c r="K61" s="7">
        <v>0.05</v>
      </c>
      <c r="L61" t="s">
        <v>19</v>
      </c>
      <c r="M61" s="5">
        <v>5418.8190000000004</v>
      </c>
      <c r="N61" t="s">
        <v>88</v>
      </c>
      <c r="O61" t="s">
        <v>60</v>
      </c>
      <c r="P61" s="5">
        <v>0</v>
      </c>
      <c r="Q61" t="s">
        <v>194</v>
      </c>
      <c r="R61" t="s">
        <v>195</v>
      </c>
      <c r="S61" s="5">
        <v>15.69</v>
      </c>
      <c r="T61" s="3">
        <v>45372</v>
      </c>
      <c r="U61" s="3">
        <v>45378</v>
      </c>
      <c r="V61" t="s">
        <v>70</v>
      </c>
      <c r="W61">
        <f t="shared" si="2"/>
        <v>5147.8780500000003</v>
      </c>
      <c r="X61">
        <f t="shared" si="3"/>
        <v>5704.0199999999995</v>
      </c>
      <c r="Y61">
        <f t="shared" si="4"/>
        <v>556.14194999999927</v>
      </c>
      <c r="Z61" s="8" t="str">
        <f t="shared" si="0"/>
        <v>Medium</v>
      </c>
      <c r="AA61" s="12">
        <f>DATE(YEAR(Table1[[#This Row],[OrderDate]]),MONTH(Table1[[#This Row],[OrderDate]]),1)</f>
        <v>45352</v>
      </c>
    </row>
    <row r="62" spans="1:27" x14ac:dyDescent="0.3">
      <c r="A62" s="3">
        <v>45682</v>
      </c>
      <c r="B62" t="s">
        <v>16</v>
      </c>
      <c r="C62" t="s">
        <v>31</v>
      </c>
      <c r="D62" t="str">
        <f>TRIM(Table1[[#This Row],[Product]])</f>
        <v>Laptop</v>
      </c>
      <c r="E62" t="str">
        <f>PROPER(Table1[[#This Row],[Column1]])</f>
        <v>Laptop</v>
      </c>
      <c r="F62" s="8" t="str">
        <f t="shared" si="1"/>
        <v>Technology</v>
      </c>
      <c r="G62" s="5">
        <v>20</v>
      </c>
      <c r="H62">
        <v>295.06</v>
      </c>
      <c r="I62" t="s">
        <v>81</v>
      </c>
      <c r="J62" t="s">
        <v>65</v>
      </c>
      <c r="K62" s="7">
        <v>0.15</v>
      </c>
      <c r="L62" t="s">
        <v>27</v>
      </c>
      <c r="M62" s="5">
        <v>5016.0200000000004</v>
      </c>
      <c r="N62" t="s">
        <v>59</v>
      </c>
      <c r="O62" t="s">
        <v>67</v>
      </c>
      <c r="P62" s="5">
        <v>1</v>
      </c>
      <c r="Q62" t="s">
        <v>196</v>
      </c>
      <c r="R62" t="s">
        <v>197</v>
      </c>
      <c r="S62" s="5">
        <v>13.66</v>
      </c>
      <c r="T62" s="3">
        <v>45682</v>
      </c>
      <c r="U62" s="3">
        <v>45688</v>
      </c>
      <c r="V62" t="s">
        <v>95</v>
      </c>
      <c r="W62">
        <f t="shared" si="2"/>
        <v>4263.6170000000002</v>
      </c>
      <c r="X62">
        <f t="shared" si="3"/>
        <v>5901.2</v>
      </c>
      <c r="Y62">
        <f t="shared" si="4"/>
        <v>1637.5829999999996</v>
      </c>
      <c r="Z62" s="8" t="str">
        <f t="shared" si="0"/>
        <v>High</v>
      </c>
      <c r="AA62" s="12">
        <f>DATE(YEAR(Table1[[#This Row],[OrderDate]]),MONTH(Table1[[#This Row],[OrderDate]]),1)</f>
        <v>45658</v>
      </c>
    </row>
    <row r="63" spans="1:27" x14ac:dyDescent="0.3">
      <c r="A63" s="3">
        <v>45089</v>
      </c>
      <c r="B63" t="s">
        <v>7</v>
      </c>
      <c r="C63" t="s">
        <v>33</v>
      </c>
      <c r="D63" t="str">
        <f>TRIM(Table1[[#This Row],[Product]])</f>
        <v>Phone</v>
      </c>
      <c r="E63" t="str">
        <f>PROPER(Table1[[#This Row],[Column1]])</f>
        <v>Phone</v>
      </c>
      <c r="F63" s="8" t="str">
        <f t="shared" si="1"/>
        <v>Technology</v>
      </c>
      <c r="G63" s="5">
        <v>8</v>
      </c>
      <c r="H63">
        <v>301.68</v>
      </c>
      <c r="I63" t="s">
        <v>81</v>
      </c>
      <c r="J63" t="s">
        <v>65</v>
      </c>
      <c r="K63" s="7">
        <v>0</v>
      </c>
      <c r="L63" t="s">
        <v>25</v>
      </c>
      <c r="M63" s="5">
        <v>2413.44</v>
      </c>
      <c r="N63" t="s">
        <v>88</v>
      </c>
      <c r="O63" t="s">
        <v>67</v>
      </c>
      <c r="P63" s="5">
        <v>0</v>
      </c>
      <c r="Q63" t="s">
        <v>198</v>
      </c>
      <c r="R63" t="s">
        <v>199</v>
      </c>
      <c r="S63" s="5">
        <v>36.54</v>
      </c>
      <c r="T63" s="3">
        <v>45089</v>
      </c>
      <c r="U63" s="3">
        <v>45098</v>
      </c>
      <c r="V63" t="s">
        <v>77</v>
      </c>
      <c r="W63">
        <f t="shared" si="2"/>
        <v>2413.44</v>
      </c>
      <c r="X63">
        <f t="shared" si="3"/>
        <v>2413.44</v>
      </c>
      <c r="Y63">
        <f t="shared" si="4"/>
        <v>0</v>
      </c>
      <c r="Z63" s="8" t="str">
        <f t="shared" si="0"/>
        <v>No Discount</v>
      </c>
      <c r="AA63" s="12">
        <f>DATE(YEAR(Table1[[#This Row],[OrderDate]]),MONTH(Table1[[#This Row],[OrderDate]]),1)</f>
        <v>45078</v>
      </c>
    </row>
    <row r="64" spans="1:27" x14ac:dyDescent="0.3">
      <c r="A64" s="3">
        <v>45738</v>
      </c>
      <c r="B64" t="s">
        <v>7</v>
      </c>
      <c r="C64" t="s">
        <v>29</v>
      </c>
      <c r="D64" t="str">
        <f>TRIM(Table1[[#This Row],[Product]])</f>
        <v>Chair</v>
      </c>
      <c r="E64" t="str">
        <f>PROPER(Table1[[#This Row],[Column1]])</f>
        <v>Chair</v>
      </c>
      <c r="F64" s="8" t="str">
        <f t="shared" si="1"/>
        <v>Furniture</v>
      </c>
      <c r="G64" s="5">
        <v>3</v>
      </c>
      <c r="H64">
        <v>475.39</v>
      </c>
      <c r="I64" t="s">
        <v>57</v>
      </c>
      <c r="J64" t="s">
        <v>65</v>
      </c>
      <c r="K64" s="7">
        <v>0.1</v>
      </c>
      <c r="L64" t="s">
        <v>18</v>
      </c>
      <c r="M64" s="5">
        <v>1283.5530000000001</v>
      </c>
      <c r="N64" t="s">
        <v>66</v>
      </c>
      <c r="P64" s="5">
        <v>0</v>
      </c>
      <c r="Q64" t="s">
        <v>200</v>
      </c>
      <c r="R64" t="s">
        <v>201</v>
      </c>
      <c r="S64" s="5">
        <v>15.62</v>
      </c>
      <c r="T64" s="3">
        <v>45738</v>
      </c>
      <c r="U64" s="3">
        <v>45742</v>
      </c>
      <c r="V64" t="s">
        <v>77</v>
      </c>
      <c r="W64">
        <f t="shared" si="2"/>
        <v>1155.1977000000002</v>
      </c>
      <c r="X64">
        <f t="shared" si="3"/>
        <v>1426.17</v>
      </c>
      <c r="Y64">
        <f t="shared" si="4"/>
        <v>270.9722999999999</v>
      </c>
      <c r="Z64" s="8" t="str">
        <f t="shared" si="0"/>
        <v>Medium</v>
      </c>
      <c r="AA64" s="12">
        <f>DATE(YEAR(Table1[[#This Row],[OrderDate]]),MONTH(Table1[[#This Row],[OrderDate]]),1)</f>
        <v>45717</v>
      </c>
    </row>
    <row r="65" spans="1:27" x14ac:dyDescent="0.3">
      <c r="A65" s="3">
        <v>45346</v>
      </c>
      <c r="B65" t="s">
        <v>7</v>
      </c>
      <c r="C65" t="s">
        <v>30</v>
      </c>
      <c r="D65" t="str">
        <f>TRIM(Table1[[#This Row],[Product]])</f>
        <v>Desk</v>
      </c>
      <c r="E65" t="str">
        <f>PROPER(Table1[[#This Row],[Column1]])</f>
        <v>Desk</v>
      </c>
      <c r="F65" s="8" t="str">
        <f t="shared" si="1"/>
        <v>Furniture</v>
      </c>
      <c r="G65" s="5">
        <v>16</v>
      </c>
      <c r="H65">
        <v>47.25</v>
      </c>
      <c r="I65" t="s">
        <v>81</v>
      </c>
      <c r="J65" t="s">
        <v>65</v>
      </c>
      <c r="K65" s="7">
        <v>0.15</v>
      </c>
      <c r="L65" t="s">
        <v>19</v>
      </c>
      <c r="M65" s="5">
        <v>642.6</v>
      </c>
      <c r="N65" t="s">
        <v>85</v>
      </c>
      <c r="O65" t="s">
        <v>60</v>
      </c>
      <c r="P65" s="5">
        <v>0</v>
      </c>
      <c r="Q65" t="s">
        <v>202</v>
      </c>
      <c r="R65" t="s">
        <v>203</v>
      </c>
      <c r="S65" s="5">
        <v>29.5</v>
      </c>
      <c r="T65" s="3">
        <v>45346</v>
      </c>
      <c r="U65" s="3">
        <v>45349</v>
      </c>
      <c r="V65" t="s">
        <v>77</v>
      </c>
      <c r="W65">
        <f t="shared" si="2"/>
        <v>546.21</v>
      </c>
      <c r="X65">
        <f t="shared" si="3"/>
        <v>756</v>
      </c>
      <c r="Y65">
        <f t="shared" si="4"/>
        <v>209.78999999999996</v>
      </c>
      <c r="Z65" s="8" t="str">
        <f t="shared" si="0"/>
        <v>High</v>
      </c>
      <c r="AA65" s="12">
        <f>DATE(YEAR(Table1[[#This Row],[OrderDate]]),MONTH(Table1[[#This Row],[OrderDate]]),1)</f>
        <v>45323</v>
      </c>
    </row>
    <row r="66" spans="1:27" x14ac:dyDescent="0.3">
      <c r="A66" s="3">
        <v>45269</v>
      </c>
      <c r="B66" t="s">
        <v>13</v>
      </c>
      <c r="C66" t="s">
        <v>29</v>
      </c>
      <c r="D66" t="str">
        <f>TRIM(Table1[[#This Row],[Product]])</f>
        <v>Chair</v>
      </c>
      <c r="E66" t="str">
        <f>PROPER(Table1[[#This Row],[Column1]])</f>
        <v>Chair</v>
      </c>
      <c r="F66" s="8" t="str">
        <f t="shared" ref="F66:F129" si="5">IF(OR(E66="Chair",E66="Desk"),"Furniture",IF(OR(E66="Laptop",E66="Monitor",E66="Phone",E66="Tablet"),"Technology",IF(E66="Printer","Office Supplies","Other")))</f>
        <v>Furniture</v>
      </c>
      <c r="G66" s="5">
        <v>15</v>
      </c>
      <c r="H66">
        <v>511.17</v>
      </c>
      <c r="I66" t="s">
        <v>57</v>
      </c>
      <c r="J66" t="s">
        <v>58</v>
      </c>
      <c r="K66" s="7">
        <v>0</v>
      </c>
      <c r="L66" t="s">
        <v>27</v>
      </c>
      <c r="M66" s="5">
        <v>7667.55</v>
      </c>
      <c r="N66" t="s">
        <v>59</v>
      </c>
      <c r="O66" t="s">
        <v>60</v>
      </c>
      <c r="P66" s="5">
        <v>0</v>
      </c>
      <c r="Q66" t="s">
        <v>204</v>
      </c>
      <c r="R66" t="s">
        <v>205</v>
      </c>
      <c r="S66" s="5">
        <v>21.77</v>
      </c>
      <c r="T66" s="3">
        <v>45269</v>
      </c>
      <c r="U66" s="3">
        <v>45272</v>
      </c>
      <c r="V66" t="s">
        <v>70</v>
      </c>
      <c r="W66">
        <f t="shared" si="2"/>
        <v>7667.55</v>
      </c>
      <c r="X66">
        <f t="shared" si="3"/>
        <v>7667.55</v>
      </c>
      <c r="Y66">
        <f t="shared" si="4"/>
        <v>0</v>
      </c>
      <c r="Z66" s="8" t="str">
        <f t="shared" ref="Z66:Z129" si="6">IF(K66=0,"No Discount",IF(K66&lt;5%,"Low",IF(K66&lt;15%,"Medium","High")))</f>
        <v>No Discount</v>
      </c>
      <c r="AA66" s="12">
        <f>DATE(YEAR(Table1[[#This Row],[OrderDate]]),MONTH(Table1[[#This Row],[OrderDate]]),1)</f>
        <v>45261</v>
      </c>
    </row>
    <row r="67" spans="1:27" x14ac:dyDescent="0.3">
      <c r="A67" s="3">
        <v>45200</v>
      </c>
      <c r="B67" t="s">
        <v>7</v>
      </c>
      <c r="C67" t="s">
        <v>32</v>
      </c>
      <c r="D67" t="str">
        <f>TRIM(Table1[[#This Row],[Product]])</f>
        <v>Monitor</v>
      </c>
      <c r="E67" t="str">
        <f>PROPER(Table1[[#This Row],[Column1]])</f>
        <v>Monitor</v>
      </c>
      <c r="F67" s="8" t="str">
        <f t="shared" si="5"/>
        <v>Technology</v>
      </c>
      <c r="G67" s="5">
        <v>3</v>
      </c>
      <c r="H67">
        <v>66.58</v>
      </c>
      <c r="I67" t="s">
        <v>57</v>
      </c>
      <c r="J67" t="s">
        <v>65</v>
      </c>
      <c r="K67" s="7">
        <v>0.1</v>
      </c>
      <c r="L67" t="s">
        <v>27</v>
      </c>
      <c r="M67" s="5">
        <v>179.76599999999999</v>
      </c>
      <c r="N67" t="s">
        <v>85</v>
      </c>
      <c r="O67" t="s">
        <v>60</v>
      </c>
      <c r="P67" s="5">
        <v>0</v>
      </c>
      <c r="Q67" t="s">
        <v>206</v>
      </c>
      <c r="R67" t="s">
        <v>207</v>
      </c>
      <c r="S67" s="5">
        <v>22.43</v>
      </c>
      <c r="T67" s="3">
        <v>45200</v>
      </c>
      <c r="U67" s="3">
        <v>45204</v>
      </c>
      <c r="V67" t="s">
        <v>77</v>
      </c>
      <c r="W67">
        <f t="shared" ref="W67:W130" si="7">M67*(1-K67)</f>
        <v>161.7894</v>
      </c>
      <c r="X67">
        <f t="shared" ref="X67:X130" si="8">G67*H67</f>
        <v>199.74</v>
      </c>
      <c r="Y67">
        <f t="shared" ref="Y67:Y130" si="9">X67-W67</f>
        <v>37.950600000000009</v>
      </c>
      <c r="Z67" s="8" t="str">
        <f t="shared" si="6"/>
        <v>Medium</v>
      </c>
      <c r="AA67" s="12">
        <f>DATE(YEAR(Table1[[#This Row],[OrderDate]]),MONTH(Table1[[#This Row],[OrderDate]]),1)</f>
        <v>45200</v>
      </c>
    </row>
    <row r="68" spans="1:27" x14ac:dyDescent="0.3">
      <c r="A68" s="3">
        <v>45138</v>
      </c>
      <c r="B68" t="s">
        <v>16</v>
      </c>
      <c r="C68" t="s">
        <v>35</v>
      </c>
      <c r="D68" t="str">
        <f>TRIM(Table1[[#This Row],[Product]])</f>
        <v>Tablet</v>
      </c>
      <c r="E68" t="str">
        <f>PROPER(Table1[[#This Row],[Column1]])</f>
        <v>Tablet</v>
      </c>
      <c r="F68" s="8" t="str">
        <f t="shared" si="5"/>
        <v>Technology</v>
      </c>
      <c r="G68" s="5">
        <v>5</v>
      </c>
      <c r="H68">
        <v>490.52</v>
      </c>
      <c r="I68" t="s">
        <v>81</v>
      </c>
      <c r="J68" t="s">
        <v>58</v>
      </c>
      <c r="K68" s="7">
        <v>0.05</v>
      </c>
      <c r="L68" t="s">
        <v>27</v>
      </c>
      <c r="M68" s="5">
        <v>2329.9699999999998</v>
      </c>
      <c r="N68" t="s">
        <v>59</v>
      </c>
      <c r="P68" s="5">
        <v>0</v>
      </c>
      <c r="Q68" t="s">
        <v>208</v>
      </c>
      <c r="R68" t="s">
        <v>209</v>
      </c>
      <c r="S68" s="5">
        <v>12.24</v>
      </c>
      <c r="T68" s="3">
        <v>45138</v>
      </c>
      <c r="U68" s="3">
        <v>45145</v>
      </c>
      <c r="V68" t="s">
        <v>95</v>
      </c>
      <c r="W68">
        <f t="shared" si="7"/>
        <v>2213.4714999999997</v>
      </c>
      <c r="X68">
        <f t="shared" si="8"/>
        <v>2452.6</v>
      </c>
      <c r="Y68">
        <f t="shared" si="9"/>
        <v>239.12850000000026</v>
      </c>
      <c r="Z68" s="8" t="str">
        <f t="shared" si="6"/>
        <v>Medium</v>
      </c>
      <c r="AA68" s="12">
        <f>DATE(YEAR(Table1[[#This Row],[OrderDate]]),MONTH(Table1[[#This Row],[OrderDate]]),1)</f>
        <v>45108</v>
      </c>
    </row>
    <row r="69" spans="1:27" x14ac:dyDescent="0.3">
      <c r="A69" s="3">
        <v>45650</v>
      </c>
      <c r="B69" t="s">
        <v>13</v>
      </c>
      <c r="C69" t="s">
        <v>29</v>
      </c>
      <c r="D69" t="str">
        <f>TRIM(Table1[[#This Row],[Product]])</f>
        <v>Chair</v>
      </c>
      <c r="E69" t="str">
        <f>PROPER(Table1[[#This Row],[Column1]])</f>
        <v>Chair</v>
      </c>
      <c r="F69" s="8" t="str">
        <f t="shared" si="5"/>
        <v>Furniture</v>
      </c>
      <c r="G69" s="5">
        <v>8</v>
      </c>
      <c r="H69">
        <v>405.96</v>
      </c>
      <c r="I69" t="s">
        <v>64</v>
      </c>
      <c r="J69" t="s">
        <v>58</v>
      </c>
      <c r="K69" s="7">
        <v>0.05</v>
      </c>
      <c r="L69" t="s">
        <v>21</v>
      </c>
      <c r="M69" s="5">
        <v>3085.2959999999998</v>
      </c>
      <c r="N69" t="s">
        <v>82</v>
      </c>
      <c r="O69" t="s">
        <v>71</v>
      </c>
      <c r="P69" s="5">
        <v>0</v>
      </c>
      <c r="Q69" t="s">
        <v>210</v>
      </c>
      <c r="R69" t="s">
        <v>211</v>
      </c>
      <c r="S69" s="5">
        <v>41.27</v>
      </c>
      <c r="T69" s="3">
        <v>45650</v>
      </c>
      <c r="U69" s="3">
        <v>45657</v>
      </c>
      <c r="V69" t="s">
        <v>70</v>
      </c>
      <c r="W69">
        <f t="shared" si="7"/>
        <v>2931.0311999999999</v>
      </c>
      <c r="X69">
        <f t="shared" si="8"/>
        <v>3247.68</v>
      </c>
      <c r="Y69">
        <f t="shared" si="9"/>
        <v>316.64879999999994</v>
      </c>
      <c r="Z69" s="8" t="str">
        <f t="shared" si="6"/>
        <v>Medium</v>
      </c>
      <c r="AA69" s="12">
        <f>DATE(YEAR(Table1[[#This Row],[OrderDate]]),MONTH(Table1[[#This Row],[OrderDate]]),1)</f>
        <v>45627</v>
      </c>
    </row>
    <row r="70" spans="1:27" x14ac:dyDescent="0.3">
      <c r="A70" s="3">
        <v>45611</v>
      </c>
      <c r="B70" t="s">
        <v>11</v>
      </c>
      <c r="C70" t="s">
        <v>33</v>
      </c>
      <c r="D70" t="str">
        <f>TRIM(Table1[[#This Row],[Product]])</f>
        <v>Phone</v>
      </c>
      <c r="E70" t="str">
        <f>PROPER(Table1[[#This Row],[Column1]])</f>
        <v>Phone</v>
      </c>
      <c r="F70" s="8" t="str">
        <f t="shared" si="5"/>
        <v>Technology</v>
      </c>
      <c r="G70" s="5">
        <v>1</v>
      </c>
      <c r="H70">
        <v>159.41</v>
      </c>
      <c r="I70" t="s">
        <v>57</v>
      </c>
      <c r="J70" t="s">
        <v>65</v>
      </c>
      <c r="K70" s="7">
        <v>0.1</v>
      </c>
      <c r="L70" t="s">
        <v>19</v>
      </c>
      <c r="M70" s="5">
        <v>143.46899999999999</v>
      </c>
      <c r="N70" t="s">
        <v>82</v>
      </c>
      <c r="O70" t="s">
        <v>60</v>
      </c>
      <c r="P70" s="5">
        <v>0</v>
      </c>
      <c r="Q70" t="s">
        <v>212</v>
      </c>
      <c r="R70" t="s">
        <v>213</v>
      </c>
      <c r="S70" s="5">
        <v>35.14</v>
      </c>
      <c r="T70" s="3">
        <v>45611</v>
      </c>
      <c r="U70" s="3">
        <v>45615</v>
      </c>
      <c r="V70" t="s">
        <v>74</v>
      </c>
      <c r="W70">
        <f t="shared" si="7"/>
        <v>129.12209999999999</v>
      </c>
      <c r="X70">
        <f t="shared" si="8"/>
        <v>159.41</v>
      </c>
      <c r="Y70">
        <f t="shared" si="9"/>
        <v>30.287900000000008</v>
      </c>
      <c r="Z70" s="8" t="str">
        <f t="shared" si="6"/>
        <v>Medium</v>
      </c>
      <c r="AA70" s="12">
        <f>DATE(YEAR(Table1[[#This Row],[OrderDate]]),MONTH(Table1[[#This Row],[OrderDate]]),1)</f>
        <v>45597</v>
      </c>
    </row>
    <row r="71" spans="1:27" x14ac:dyDescent="0.3">
      <c r="A71" s="3">
        <v>45729</v>
      </c>
      <c r="B71" t="s">
        <v>16</v>
      </c>
      <c r="C71" t="s">
        <v>32</v>
      </c>
      <c r="D71" t="str">
        <f>TRIM(Table1[[#This Row],[Product]])</f>
        <v>Monitor</v>
      </c>
      <c r="E71" t="str">
        <f>PROPER(Table1[[#This Row],[Column1]])</f>
        <v>Monitor</v>
      </c>
      <c r="F71" s="8" t="str">
        <f t="shared" si="5"/>
        <v>Technology</v>
      </c>
      <c r="G71" s="5">
        <v>16</v>
      </c>
      <c r="H71">
        <v>38.49</v>
      </c>
      <c r="I71" t="s">
        <v>78</v>
      </c>
      <c r="J71" t="s">
        <v>65</v>
      </c>
      <c r="K71" s="7">
        <v>0.15</v>
      </c>
      <c r="L71" t="s">
        <v>21</v>
      </c>
      <c r="M71" s="5">
        <v>523.46400000000006</v>
      </c>
      <c r="N71" t="s">
        <v>85</v>
      </c>
      <c r="O71" t="s">
        <v>67</v>
      </c>
      <c r="P71" s="5">
        <v>0</v>
      </c>
      <c r="Q71" t="s">
        <v>214</v>
      </c>
      <c r="R71" t="s">
        <v>215</v>
      </c>
      <c r="S71" s="5">
        <v>8.3800000000000008</v>
      </c>
      <c r="T71" s="3">
        <v>45729</v>
      </c>
      <c r="U71" s="3">
        <v>45738</v>
      </c>
      <c r="V71" t="s">
        <v>95</v>
      </c>
      <c r="W71">
        <f t="shared" si="7"/>
        <v>444.94440000000003</v>
      </c>
      <c r="X71">
        <f t="shared" si="8"/>
        <v>615.84</v>
      </c>
      <c r="Y71">
        <f t="shared" si="9"/>
        <v>170.8956</v>
      </c>
      <c r="Z71" s="8" t="str">
        <f t="shared" si="6"/>
        <v>High</v>
      </c>
      <c r="AA71" s="12">
        <f>DATE(YEAR(Table1[[#This Row],[OrderDate]]),MONTH(Table1[[#This Row],[OrderDate]]),1)</f>
        <v>45717</v>
      </c>
    </row>
    <row r="72" spans="1:27" x14ac:dyDescent="0.3">
      <c r="A72" s="3">
        <v>45354</v>
      </c>
      <c r="B72" t="s">
        <v>9</v>
      </c>
      <c r="C72" t="s">
        <v>35</v>
      </c>
      <c r="D72" t="str">
        <f>TRIM(Table1[[#This Row],[Product]])</f>
        <v>Tablet</v>
      </c>
      <c r="E72" t="str">
        <f>PROPER(Table1[[#This Row],[Column1]])</f>
        <v>Tablet</v>
      </c>
      <c r="F72" s="8" t="str">
        <f t="shared" si="5"/>
        <v>Technology</v>
      </c>
      <c r="G72" s="5">
        <v>15</v>
      </c>
      <c r="H72">
        <v>328.36</v>
      </c>
      <c r="I72" t="s">
        <v>81</v>
      </c>
      <c r="J72" t="s">
        <v>65</v>
      </c>
      <c r="K72" s="7">
        <v>0.15</v>
      </c>
      <c r="L72" t="s">
        <v>18</v>
      </c>
      <c r="M72" s="5">
        <v>4186.59</v>
      </c>
      <c r="N72" t="s">
        <v>66</v>
      </c>
      <c r="O72" t="s">
        <v>71</v>
      </c>
      <c r="P72" s="5">
        <v>0</v>
      </c>
      <c r="Q72" t="s">
        <v>216</v>
      </c>
      <c r="R72" t="s">
        <v>217</v>
      </c>
      <c r="S72" s="5">
        <v>15.76</v>
      </c>
      <c r="T72" s="3">
        <v>45354</v>
      </c>
      <c r="U72" s="3">
        <v>45363</v>
      </c>
      <c r="V72" t="s">
        <v>63</v>
      </c>
      <c r="W72">
        <f t="shared" si="7"/>
        <v>3558.6015000000002</v>
      </c>
      <c r="X72">
        <f t="shared" si="8"/>
        <v>4925.4000000000005</v>
      </c>
      <c r="Y72">
        <f t="shared" si="9"/>
        <v>1366.7985000000003</v>
      </c>
      <c r="Z72" s="8" t="str">
        <f t="shared" si="6"/>
        <v>High</v>
      </c>
      <c r="AA72" s="12">
        <f>DATE(YEAR(Table1[[#This Row],[OrderDate]]),MONTH(Table1[[#This Row],[OrderDate]]),1)</f>
        <v>45352</v>
      </c>
    </row>
    <row r="73" spans="1:27" x14ac:dyDescent="0.3">
      <c r="A73" s="3">
        <v>44968</v>
      </c>
      <c r="B73" t="s">
        <v>7</v>
      </c>
      <c r="C73" t="s">
        <v>35</v>
      </c>
      <c r="D73" t="str">
        <f>TRIM(Table1[[#This Row],[Product]])</f>
        <v>Tablet</v>
      </c>
      <c r="E73" t="str">
        <f>PROPER(Table1[[#This Row],[Column1]])</f>
        <v>Tablet</v>
      </c>
      <c r="F73" s="8" t="str">
        <f t="shared" si="5"/>
        <v>Technology</v>
      </c>
      <c r="G73" s="5">
        <v>20</v>
      </c>
      <c r="H73">
        <v>548.01</v>
      </c>
      <c r="I73" t="s">
        <v>64</v>
      </c>
      <c r="J73" t="s">
        <v>58</v>
      </c>
      <c r="K73" s="7">
        <v>0.1</v>
      </c>
      <c r="L73" t="s">
        <v>25</v>
      </c>
      <c r="M73" s="5">
        <v>9864.18</v>
      </c>
      <c r="N73" t="s">
        <v>82</v>
      </c>
      <c r="O73" t="s">
        <v>71</v>
      </c>
      <c r="P73" s="5">
        <v>1</v>
      </c>
      <c r="Q73" t="s">
        <v>218</v>
      </c>
      <c r="R73" t="s">
        <v>219</v>
      </c>
      <c r="S73" s="5">
        <v>5.89</v>
      </c>
      <c r="T73" s="3">
        <v>44968</v>
      </c>
      <c r="U73" s="3">
        <v>44971</v>
      </c>
      <c r="V73" t="s">
        <v>77</v>
      </c>
      <c r="W73">
        <f t="shared" si="7"/>
        <v>8877.7620000000006</v>
      </c>
      <c r="X73">
        <f t="shared" si="8"/>
        <v>10960.2</v>
      </c>
      <c r="Y73">
        <f t="shared" si="9"/>
        <v>2082.4380000000001</v>
      </c>
      <c r="Z73" s="8" t="str">
        <f t="shared" si="6"/>
        <v>Medium</v>
      </c>
      <c r="AA73" s="12">
        <f>DATE(YEAR(Table1[[#This Row],[OrderDate]]),MONTH(Table1[[#This Row],[OrderDate]]),1)</f>
        <v>44958</v>
      </c>
    </row>
    <row r="74" spans="1:27" x14ac:dyDescent="0.3">
      <c r="A74" s="3">
        <v>45225</v>
      </c>
      <c r="B74" t="s">
        <v>13</v>
      </c>
      <c r="C74" t="s">
        <v>30</v>
      </c>
      <c r="D74" t="str">
        <f>TRIM(Table1[[#This Row],[Product]])</f>
        <v>Desk</v>
      </c>
      <c r="E74" t="str">
        <f>PROPER(Table1[[#This Row],[Column1]])</f>
        <v>Desk</v>
      </c>
      <c r="F74" s="8" t="str">
        <f t="shared" si="5"/>
        <v>Furniture</v>
      </c>
      <c r="G74" s="5">
        <v>13</v>
      </c>
      <c r="H74">
        <v>484.45</v>
      </c>
      <c r="I74" t="s">
        <v>57</v>
      </c>
      <c r="J74" t="s">
        <v>58</v>
      </c>
      <c r="K74" s="7">
        <v>0.05</v>
      </c>
      <c r="L74" t="s">
        <v>21</v>
      </c>
      <c r="M74" s="5">
        <v>5982.9575000000004</v>
      </c>
      <c r="N74" t="s">
        <v>66</v>
      </c>
      <c r="O74" t="s">
        <v>71</v>
      </c>
      <c r="P74" s="5">
        <v>1</v>
      </c>
      <c r="Q74" t="s">
        <v>220</v>
      </c>
      <c r="R74" t="s">
        <v>221</v>
      </c>
      <c r="S74" s="5">
        <v>6.57</v>
      </c>
      <c r="T74" s="3">
        <v>45225</v>
      </c>
      <c r="U74" s="3">
        <v>45235</v>
      </c>
      <c r="V74" t="s">
        <v>70</v>
      </c>
      <c r="W74">
        <f t="shared" si="7"/>
        <v>5683.8096249999999</v>
      </c>
      <c r="X74">
        <f t="shared" si="8"/>
        <v>6297.8499999999995</v>
      </c>
      <c r="Y74">
        <f t="shared" si="9"/>
        <v>614.04037499999959</v>
      </c>
      <c r="Z74" s="8" t="str">
        <f t="shared" si="6"/>
        <v>Medium</v>
      </c>
      <c r="AA74" s="12">
        <f>DATE(YEAR(Table1[[#This Row],[OrderDate]]),MONTH(Table1[[#This Row],[OrderDate]]),1)</f>
        <v>45200</v>
      </c>
    </row>
    <row r="75" spans="1:27" x14ac:dyDescent="0.3">
      <c r="A75" s="3">
        <v>45220</v>
      </c>
      <c r="B75" t="s">
        <v>13</v>
      </c>
      <c r="C75" t="s">
        <v>32</v>
      </c>
      <c r="D75" t="str">
        <f>TRIM(Table1[[#This Row],[Product]])</f>
        <v>Monitor</v>
      </c>
      <c r="E75" t="str">
        <f>PROPER(Table1[[#This Row],[Column1]])</f>
        <v>Monitor</v>
      </c>
      <c r="F75" s="8" t="str">
        <f t="shared" si="5"/>
        <v>Technology</v>
      </c>
      <c r="G75" s="5">
        <v>13</v>
      </c>
      <c r="H75">
        <v>195.84</v>
      </c>
      <c r="I75" t="s">
        <v>64</v>
      </c>
      <c r="J75" t="s">
        <v>58</v>
      </c>
      <c r="K75" s="7">
        <v>0.05</v>
      </c>
      <c r="L75" t="s">
        <v>18</v>
      </c>
      <c r="M75" s="5">
        <v>2418.6239999999998</v>
      </c>
      <c r="N75" t="s">
        <v>82</v>
      </c>
      <c r="P75" s="5">
        <v>0</v>
      </c>
      <c r="Q75" t="s">
        <v>222</v>
      </c>
      <c r="R75" t="s">
        <v>223</v>
      </c>
      <c r="S75" s="5">
        <v>33.520000000000003</v>
      </c>
      <c r="T75" s="3">
        <v>45220</v>
      </c>
      <c r="U75" s="3">
        <v>45227</v>
      </c>
      <c r="V75" t="s">
        <v>70</v>
      </c>
      <c r="W75">
        <f t="shared" si="7"/>
        <v>2297.6927999999998</v>
      </c>
      <c r="X75">
        <f t="shared" si="8"/>
        <v>2545.92</v>
      </c>
      <c r="Y75">
        <f t="shared" si="9"/>
        <v>248.22720000000027</v>
      </c>
      <c r="Z75" s="8" t="str">
        <f t="shared" si="6"/>
        <v>Medium</v>
      </c>
      <c r="AA75" s="12">
        <f>DATE(YEAR(Table1[[#This Row],[OrderDate]]),MONTH(Table1[[#This Row],[OrderDate]]),1)</f>
        <v>45200</v>
      </c>
    </row>
    <row r="76" spans="1:27" x14ac:dyDescent="0.3">
      <c r="A76" s="3">
        <v>45305</v>
      </c>
      <c r="B76" t="s">
        <v>7</v>
      </c>
      <c r="C76" t="s">
        <v>35</v>
      </c>
      <c r="D76" t="str">
        <f>TRIM(Table1[[#This Row],[Product]])</f>
        <v>Tablet</v>
      </c>
      <c r="E76" t="str">
        <f>PROPER(Table1[[#This Row],[Column1]])</f>
        <v>Tablet</v>
      </c>
      <c r="F76" s="8" t="str">
        <f t="shared" si="5"/>
        <v>Technology</v>
      </c>
      <c r="G76" s="5">
        <v>19</v>
      </c>
      <c r="H76">
        <v>29.94</v>
      </c>
      <c r="I76" t="s">
        <v>81</v>
      </c>
      <c r="J76" t="s">
        <v>65</v>
      </c>
      <c r="K76" s="7">
        <v>0.15</v>
      </c>
      <c r="L76" t="s">
        <v>23</v>
      </c>
      <c r="M76" s="5">
        <v>483.53100000000001</v>
      </c>
      <c r="N76" t="s">
        <v>85</v>
      </c>
      <c r="O76" t="s">
        <v>60</v>
      </c>
      <c r="P76" s="5">
        <v>0</v>
      </c>
      <c r="Q76" t="s">
        <v>224</v>
      </c>
      <c r="R76" t="s">
        <v>225</v>
      </c>
      <c r="S76" s="5">
        <v>33.590000000000003</v>
      </c>
      <c r="T76" s="3">
        <v>45305</v>
      </c>
      <c r="U76" s="3">
        <v>45311</v>
      </c>
      <c r="V76" t="s">
        <v>77</v>
      </c>
      <c r="W76">
        <f t="shared" si="7"/>
        <v>411.00135</v>
      </c>
      <c r="X76">
        <f t="shared" si="8"/>
        <v>568.86</v>
      </c>
      <c r="Y76">
        <f t="shared" si="9"/>
        <v>157.85865000000001</v>
      </c>
      <c r="Z76" s="8" t="str">
        <f t="shared" si="6"/>
        <v>High</v>
      </c>
      <c r="AA76" s="12">
        <f>DATE(YEAR(Table1[[#This Row],[OrderDate]]),MONTH(Table1[[#This Row],[OrderDate]]),1)</f>
        <v>45292</v>
      </c>
    </row>
    <row r="77" spans="1:27" x14ac:dyDescent="0.3">
      <c r="A77" s="3">
        <v>45134</v>
      </c>
      <c r="B77" t="s">
        <v>7</v>
      </c>
      <c r="C77" t="s">
        <v>30</v>
      </c>
      <c r="D77" t="str">
        <f>TRIM(Table1[[#This Row],[Product]])</f>
        <v>Desk</v>
      </c>
      <c r="E77" t="str">
        <f>PROPER(Table1[[#This Row],[Column1]])</f>
        <v>Desk</v>
      </c>
      <c r="F77" s="8" t="str">
        <f t="shared" si="5"/>
        <v>Furniture</v>
      </c>
      <c r="G77" s="5">
        <v>10</v>
      </c>
      <c r="H77">
        <v>553.91</v>
      </c>
      <c r="I77" t="s">
        <v>81</v>
      </c>
      <c r="J77" t="s">
        <v>58</v>
      </c>
      <c r="K77" s="7">
        <v>0.1</v>
      </c>
      <c r="L77" t="s">
        <v>25</v>
      </c>
      <c r="M77" s="5">
        <v>4985.1899999999996</v>
      </c>
      <c r="N77" t="s">
        <v>59</v>
      </c>
      <c r="P77" s="5">
        <v>0</v>
      </c>
      <c r="Q77" t="s">
        <v>226</v>
      </c>
      <c r="R77" t="s">
        <v>227</v>
      </c>
      <c r="S77" s="5">
        <v>31.3</v>
      </c>
      <c r="T77" s="3">
        <v>45134</v>
      </c>
      <c r="U77" s="3">
        <v>45138</v>
      </c>
      <c r="V77" t="s">
        <v>77</v>
      </c>
      <c r="W77">
        <f t="shared" si="7"/>
        <v>4486.6709999999994</v>
      </c>
      <c r="X77">
        <f t="shared" si="8"/>
        <v>5539.0999999999995</v>
      </c>
      <c r="Y77">
        <f t="shared" si="9"/>
        <v>1052.4290000000001</v>
      </c>
      <c r="Z77" s="8" t="str">
        <f t="shared" si="6"/>
        <v>Medium</v>
      </c>
      <c r="AA77" s="12">
        <f>DATE(YEAR(Table1[[#This Row],[OrderDate]]),MONTH(Table1[[#This Row],[OrderDate]]),1)</f>
        <v>45108</v>
      </c>
    </row>
    <row r="78" spans="1:27" x14ac:dyDescent="0.3">
      <c r="A78" s="3">
        <v>45588</v>
      </c>
      <c r="B78" t="s">
        <v>13</v>
      </c>
      <c r="C78" t="s">
        <v>33</v>
      </c>
      <c r="D78" t="str">
        <f>TRIM(Table1[[#This Row],[Product]])</f>
        <v>Phone</v>
      </c>
      <c r="E78" t="str">
        <f>PROPER(Table1[[#This Row],[Column1]])</f>
        <v>Phone</v>
      </c>
      <c r="F78" s="8" t="str">
        <f t="shared" si="5"/>
        <v>Technology</v>
      </c>
      <c r="G78" s="5">
        <v>14</v>
      </c>
      <c r="H78">
        <v>445.52</v>
      </c>
      <c r="I78" t="s">
        <v>57</v>
      </c>
      <c r="J78" t="s">
        <v>65</v>
      </c>
      <c r="K78" s="7">
        <v>0.1</v>
      </c>
      <c r="L78" t="s">
        <v>19</v>
      </c>
      <c r="M78" s="5">
        <v>5613.5519999999997</v>
      </c>
      <c r="N78" t="s">
        <v>59</v>
      </c>
      <c r="O78" t="s">
        <v>67</v>
      </c>
      <c r="P78" s="5">
        <v>0</v>
      </c>
      <c r="Q78" t="s">
        <v>228</v>
      </c>
      <c r="R78" t="s">
        <v>229</v>
      </c>
      <c r="S78" s="5">
        <v>14.41</v>
      </c>
      <c r="T78" s="3">
        <v>45588</v>
      </c>
      <c r="U78" s="3">
        <v>45590</v>
      </c>
      <c r="V78" t="s">
        <v>70</v>
      </c>
      <c r="W78">
        <f t="shared" si="7"/>
        <v>5052.1967999999997</v>
      </c>
      <c r="X78">
        <f t="shared" si="8"/>
        <v>6237.28</v>
      </c>
      <c r="Y78">
        <f t="shared" si="9"/>
        <v>1185.0832</v>
      </c>
      <c r="Z78" s="8" t="str">
        <f t="shared" si="6"/>
        <v>Medium</v>
      </c>
      <c r="AA78" s="12">
        <f>DATE(YEAR(Table1[[#This Row],[OrderDate]]),MONTH(Table1[[#This Row],[OrderDate]]),1)</f>
        <v>45566</v>
      </c>
    </row>
    <row r="79" spans="1:27" x14ac:dyDescent="0.3">
      <c r="A79" s="3">
        <v>45195</v>
      </c>
      <c r="B79" t="s">
        <v>13</v>
      </c>
      <c r="C79" t="s">
        <v>29</v>
      </c>
      <c r="D79" t="str">
        <f>TRIM(Table1[[#This Row],[Product]])</f>
        <v>Chair</v>
      </c>
      <c r="E79" t="str">
        <f>PROPER(Table1[[#This Row],[Column1]])</f>
        <v>Chair</v>
      </c>
      <c r="F79" s="8" t="str">
        <f t="shared" si="5"/>
        <v>Furniture</v>
      </c>
      <c r="G79" s="5">
        <v>5</v>
      </c>
      <c r="H79">
        <v>551.58000000000004</v>
      </c>
      <c r="I79" t="s">
        <v>57</v>
      </c>
      <c r="J79" t="s">
        <v>65</v>
      </c>
      <c r="K79" s="7">
        <v>0.15</v>
      </c>
      <c r="L79" t="s">
        <v>18</v>
      </c>
      <c r="M79" s="5">
        <v>2344.2150000000001</v>
      </c>
      <c r="N79" t="s">
        <v>59</v>
      </c>
      <c r="O79" t="s">
        <v>71</v>
      </c>
      <c r="P79" s="5">
        <v>1</v>
      </c>
      <c r="Q79" t="s">
        <v>230</v>
      </c>
      <c r="R79" t="s">
        <v>231</v>
      </c>
      <c r="S79" s="5">
        <v>7.87</v>
      </c>
      <c r="T79" s="3">
        <v>45195</v>
      </c>
      <c r="U79" s="3">
        <v>45200</v>
      </c>
      <c r="V79" t="s">
        <v>70</v>
      </c>
      <c r="W79">
        <f t="shared" si="7"/>
        <v>1992.58275</v>
      </c>
      <c r="X79">
        <f t="shared" si="8"/>
        <v>2757.9</v>
      </c>
      <c r="Y79">
        <f t="shared" si="9"/>
        <v>765.31725000000006</v>
      </c>
      <c r="Z79" s="8" t="str">
        <f t="shared" si="6"/>
        <v>High</v>
      </c>
      <c r="AA79" s="12">
        <f>DATE(YEAR(Table1[[#This Row],[OrderDate]]),MONTH(Table1[[#This Row],[OrderDate]]),1)</f>
        <v>45170</v>
      </c>
    </row>
    <row r="80" spans="1:27" x14ac:dyDescent="0.3">
      <c r="A80" s="3">
        <v>45276</v>
      </c>
      <c r="B80" t="s">
        <v>9</v>
      </c>
      <c r="C80" t="s">
        <v>33</v>
      </c>
      <c r="D80" t="str">
        <f>TRIM(Table1[[#This Row],[Product]])</f>
        <v>Phone</v>
      </c>
      <c r="E80" t="str">
        <f>PROPER(Table1[[#This Row],[Column1]])</f>
        <v>Phone</v>
      </c>
      <c r="F80" s="8" t="str">
        <f t="shared" si="5"/>
        <v>Technology</v>
      </c>
      <c r="G80" s="5">
        <v>13</v>
      </c>
      <c r="H80">
        <v>241.4</v>
      </c>
      <c r="I80" t="s">
        <v>81</v>
      </c>
      <c r="J80" t="s">
        <v>65</v>
      </c>
      <c r="K80" s="7">
        <v>0</v>
      </c>
      <c r="L80" t="s">
        <v>21</v>
      </c>
      <c r="M80" s="5">
        <v>3138.2</v>
      </c>
      <c r="N80" t="s">
        <v>66</v>
      </c>
      <c r="O80" t="s">
        <v>67</v>
      </c>
      <c r="P80" s="5">
        <v>0</v>
      </c>
      <c r="Q80" t="s">
        <v>232</v>
      </c>
      <c r="R80" t="s">
        <v>233</v>
      </c>
      <c r="S80" s="5">
        <v>49.05</v>
      </c>
      <c r="T80" s="3">
        <v>45276</v>
      </c>
      <c r="U80" s="3">
        <v>45280</v>
      </c>
      <c r="V80" t="s">
        <v>63</v>
      </c>
      <c r="W80">
        <f t="shared" si="7"/>
        <v>3138.2</v>
      </c>
      <c r="X80">
        <f t="shared" si="8"/>
        <v>3138.2000000000003</v>
      </c>
      <c r="Y80">
        <f t="shared" si="9"/>
        <v>0</v>
      </c>
      <c r="Z80" s="8" t="str">
        <f t="shared" si="6"/>
        <v>No Discount</v>
      </c>
      <c r="AA80" s="12">
        <f>DATE(YEAR(Table1[[#This Row],[OrderDate]]),MONTH(Table1[[#This Row],[OrderDate]]),1)</f>
        <v>45261</v>
      </c>
    </row>
    <row r="81" spans="1:27" x14ac:dyDescent="0.3">
      <c r="A81" s="3">
        <v>45293</v>
      </c>
      <c r="B81" t="s">
        <v>7</v>
      </c>
      <c r="C81" t="s">
        <v>34</v>
      </c>
      <c r="D81" t="str">
        <f>TRIM(Table1[[#This Row],[Product]])</f>
        <v>Printer</v>
      </c>
      <c r="E81" t="str">
        <f>PROPER(Table1[[#This Row],[Column1]])</f>
        <v>Printer</v>
      </c>
      <c r="F81" s="8" t="str">
        <f t="shared" si="5"/>
        <v>Office Supplies</v>
      </c>
      <c r="G81" s="5">
        <v>19</v>
      </c>
      <c r="H81">
        <v>351.93</v>
      </c>
      <c r="I81" t="s">
        <v>64</v>
      </c>
      <c r="J81" t="s">
        <v>58</v>
      </c>
      <c r="K81" s="7">
        <v>0</v>
      </c>
      <c r="L81" t="s">
        <v>18</v>
      </c>
      <c r="M81" s="5">
        <v>6686.67</v>
      </c>
      <c r="N81" t="s">
        <v>82</v>
      </c>
      <c r="P81" s="5">
        <v>0</v>
      </c>
      <c r="Q81" t="s">
        <v>234</v>
      </c>
      <c r="R81" t="s">
        <v>235</v>
      </c>
      <c r="S81" s="5">
        <v>39.979999999999997</v>
      </c>
      <c r="T81" s="3">
        <v>45293</v>
      </c>
      <c r="U81" s="3">
        <v>45296</v>
      </c>
      <c r="V81" t="s">
        <v>77</v>
      </c>
      <c r="W81">
        <f t="shared" si="7"/>
        <v>6686.67</v>
      </c>
      <c r="X81">
        <f t="shared" si="8"/>
        <v>6686.67</v>
      </c>
      <c r="Y81">
        <f t="shared" si="9"/>
        <v>0</v>
      </c>
      <c r="Z81" s="8" t="str">
        <f t="shared" si="6"/>
        <v>No Discount</v>
      </c>
      <c r="AA81" s="12">
        <f>DATE(YEAR(Table1[[#This Row],[OrderDate]]),MONTH(Table1[[#This Row],[OrderDate]]),1)</f>
        <v>45292</v>
      </c>
    </row>
    <row r="82" spans="1:27" x14ac:dyDescent="0.3">
      <c r="A82" s="3">
        <v>45338</v>
      </c>
      <c r="B82" t="s">
        <v>11</v>
      </c>
      <c r="C82" t="s">
        <v>33</v>
      </c>
      <c r="D82" t="str">
        <f>TRIM(Table1[[#This Row],[Product]])</f>
        <v>Phone</v>
      </c>
      <c r="E82" t="str">
        <f>PROPER(Table1[[#This Row],[Column1]])</f>
        <v>Phone</v>
      </c>
      <c r="F82" s="8" t="str">
        <f t="shared" si="5"/>
        <v>Technology</v>
      </c>
      <c r="G82" s="5">
        <v>4</v>
      </c>
      <c r="H82">
        <v>83.75</v>
      </c>
      <c r="I82" t="s">
        <v>64</v>
      </c>
      <c r="J82" t="s">
        <v>65</v>
      </c>
      <c r="K82" s="7">
        <v>0.05</v>
      </c>
      <c r="L82" t="s">
        <v>18</v>
      </c>
      <c r="M82" s="5">
        <v>318.25</v>
      </c>
      <c r="N82" t="s">
        <v>85</v>
      </c>
      <c r="O82" t="s">
        <v>67</v>
      </c>
      <c r="P82" s="5">
        <v>1</v>
      </c>
      <c r="Q82" t="s">
        <v>236</v>
      </c>
      <c r="R82" t="s">
        <v>237</v>
      </c>
      <c r="S82" s="5">
        <v>38.82</v>
      </c>
      <c r="T82" s="3">
        <v>45338</v>
      </c>
      <c r="U82" s="3">
        <v>45347</v>
      </c>
      <c r="V82" t="s">
        <v>74</v>
      </c>
      <c r="W82">
        <f t="shared" si="7"/>
        <v>302.33749999999998</v>
      </c>
      <c r="X82">
        <f t="shared" si="8"/>
        <v>335</v>
      </c>
      <c r="Y82">
        <f t="shared" si="9"/>
        <v>32.662500000000023</v>
      </c>
      <c r="Z82" s="8" t="str">
        <f t="shared" si="6"/>
        <v>Medium</v>
      </c>
      <c r="AA82" s="12">
        <f>DATE(YEAR(Table1[[#This Row],[OrderDate]]),MONTH(Table1[[#This Row],[OrderDate]]),1)</f>
        <v>45323</v>
      </c>
    </row>
    <row r="83" spans="1:27" x14ac:dyDescent="0.3">
      <c r="A83" s="3">
        <v>45415</v>
      </c>
      <c r="B83" t="s">
        <v>9</v>
      </c>
      <c r="C83" t="s">
        <v>32</v>
      </c>
      <c r="D83" t="str">
        <f>TRIM(Table1[[#This Row],[Product]])</f>
        <v>Monitor</v>
      </c>
      <c r="E83" t="str">
        <f>PROPER(Table1[[#This Row],[Column1]])</f>
        <v>Monitor</v>
      </c>
      <c r="F83" s="8" t="str">
        <f t="shared" si="5"/>
        <v>Technology</v>
      </c>
      <c r="G83" s="5">
        <v>5</v>
      </c>
      <c r="H83">
        <v>416.95</v>
      </c>
      <c r="I83" t="s">
        <v>64</v>
      </c>
      <c r="J83" t="s">
        <v>58</v>
      </c>
      <c r="K83" s="7">
        <v>0.15</v>
      </c>
      <c r="L83" t="s">
        <v>27</v>
      </c>
      <c r="M83" s="5">
        <v>1772.0374999999999</v>
      </c>
      <c r="N83" t="s">
        <v>59</v>
      </c>
      <c r="P83" s="5">
        <v>1</v>
      </c>
      <c r="Q83" t="s">
        <v>238</v>
      </c>
      <c r="R83" t="s">
        <v>239</v>
      </c>
      <c r="S83" s="5">
        <v>24.03</v>
      </c>
      <c r="T83" s="3">
        <v>45415</v>
      </c>
      <c r="U83" s="3">
        <v>45424</v>
      </c>
      <c r="V83" t="s">
        <v>63</v>
      </c>
      <c r="W83">
        <f t="shared" si="7"/>
        <v>1506.2318749999999</v>
      </c>
      <c r="X83">
        <f t="shared" si="8"/>
        <v>2084.75</v>
      </c>
      <c r="Y83">
        <f t="shared" si="9"/>
        <v>578.51812500000005</v>
      </c>
      <c r="Z83" s="8" t="str">
        <f t="shared" si="6"/>
        <v>High</v>
      </c>
      <c r="AA83" s="12">
        <f>DATE(YEAR(Table1[[#This Row],[OrderDate]]),MONTH(Table1[[#This Row],[OrderDate]]),1)</f>
        <v>45413</v>
      </c>
    </row>
    <row r="84" spans="1:27" x14ac:dyDescent="0.3">
      <c r="A84" s="3">
        <v>45073</v>
      </c>
      <c r="B84" t="s">
        <v>16</v>
      </c>
      <c r="C84" t="s">
        <v>32</v>
      </c>
      <c r="D84" t="str">
        <f>TRIM(Table1[[#This Row],[Product]])</f>
        <v>Monitor</v>
      </c>
      <c r="E84" t="str">
        <f>PROPER(Table1[[#This Row],[Column1]])</f>
        <v>Monitor</v>
      </c>
      <c r="F84" s="8" t="str">
        <f t="shared" si="5"/>
        <v>Technology</v>
      </c>
      <c r="G84" s="5">
        <v>18</v>
      </c>
      <c r="H84">
        <v>142.43</v>
      </c>
      <c r="I84" t="s">
        <v>78</v>
      </c>
      <c r="J84" t="s">
        <v>65</v>
      </c>
      <c r="K84" s="7">
        <v>0.05</v>
      </c>
      <c r="L84" t="s">
        <v>19</v>
      </c>
      <c r="M84" s="5">
        <v>2435.5529999999999</v>
      </c>
      <c r="N84" t="s">
        <v>82</v>
      </c>
      <c r="O84" t="s">
        <v>67</v>
      </c>
      <c r="P84" s="5">
        <v>1</v>
      </c>
      <c r="Q84" t="s">
        <v>240</v>
      </c>
      <c r="R84" t="s">
        <v>241</v>
      </c>
      <c r="S84" s="5">
        <v>12.38</v>
      </c>
      <c r="T84" s="3">
        <v>45073</v>
      </c>
      <c r="U84" s="3">
        <v>45079</v>
      </c>
      <c r="V84" t="s">
        <v>95</v>
      </c>
      <c r="W84">
        <f t="shared" si="7"/>
        <v>2313.7753499999999</v>
      </c>
      <c r="X84">
        <f t="shared" si="8"/>
        <v>2563.7400000000002</v>
      </c>
      <c r="Y84">
        <f t="shared" si="9"/>
        <v>249.96465000000035</v>
      </c>
      <c r="Z84" s="8" t="str">
        <f t="shared" si="6"/>
        <v>Medium</v>
      </c>
      <c r="AA84" s="12">
        <f>DATE(YEAR(Table1[[#This Row],[OrderDate]]),MONTH(Table1[[#This Row],[OrderDate]]),1)</f>
        <v>45047</v>
      </c>
    </row>
    <row r="85" spans="1:27" x14ac:dyDescent="0.3">
      <c r="A85" s="3">
        <v>44931</v>
      </c>
      <c r="B85" t="s">
        <v>9</v>
      </c>
      <c r="C85" t="s">
        <v>30</v>
      </c>
      <c r="D85" t="str">
        <f>TRIM(Table1[[#This Row],[Product]])</f>
        <v>Desk</v>
      </c>
      <c r="E85" t="str">
        <f>PROPER(Table1[[#This Row],[Column1]])</f>
        <v>Desk</v>
      </c>
      <c r="F85" s="8" t="str">
        <f t="shared" si="5"/>
        <v>Furniture</v>
      </c>
      <c r="G85" s="5">
        <v>12</v>
      </c>
      <c r="H85">
        <v>582.52</v>
      </c>
      <c r="I85" t="s">
        <v>64</v>
      </c>
      <c r="J85" t="s">
        <v>58</v>
      </c>
      <c r="K85" s="7">
        <v>0</v>
      </c>
      <c r="L85" t="s">
        <v>19</v>
      </c>
      <c r="M85" s="5">
        <v>6990.24</v>
      </c>
      <c r="N85" t="s">
        <v>82</v>
      </c>
      <c r="O85" t="s">
        <v>60</v>
      </c>
      <c r="P85" s="5">
        <v>0</v>
      </c>
      <c r="Q85" t="s">
        <v>242</v>
      </c>
      <c r="R85" t="s">
        <v>243</v>
      </c>
      <c r="S85" s="5">
        <v>41.16</v>
      </c>
      <c r="T85" s="3">
        <v>44931</v>
      </c>
      <c r="U85" s="3">
        <v>44937</v>
      </c>
      <c r="V85" t="s">
        <v>63</v>
      </c>
      <c r="W85">
        <f t="shared" si="7"/>
        <v>6990.24</v>
      </c>
      <c r="X85">
        <f t="shared" si="8"/>
        <v>6990.24</v>
      </c>
      <c r="Y85">
        <f t="shared" si="9"/>
        <v>0</v>
      </c>
      <c r="Z85" s="8" t="str">
        <f t="shared" si="6"/>
        <v>No Discount</v>
      </c>
      <c r="AA85" s="12">
        <f>DATE(YEAR(Table1[[#This Row],[OrderDate]]),MONTH(Table1[[#This Row],[OrderDate]]),1)</f>
        <v>44927</v>
      </c>
    </row>
    <row r="86" spans="1:27" x14ac:dyDescent="0.3">
      <c r="A86" s="3">
        <v>45798</v>
      </c>
      <c r="B86" t="s">
        <v>9</v>
      </c>
      <c r="C86" t="s">
        <v>29</v>
      </c>
      <c r="D86" t="str">
        <f>TRIM(Table1[[#This Row],[Product]])</f>
        <v>Chair</v>
      </c>
      <c r="E86" t="str">
        <f>PROPER(Table1[[#This Row],[Column1]])</f>
        <v>Chair</v>
      </c>
      <c r="F86" s="8" t="str">
        <f t="shared" si="5"/>
        <v>Furniture</v>
      </c>
      <c r="G86" s="5">
        <v>20</v>
      </c>
      <c r="H86">
        <v>129.56</v>
      </c>
      <c r="I86" t="s">
        <v>64</v>
      </c>
      <c r="J86" t="s">
        <v>65</v>
      </c>
      <c r="K86" s="7">
        <v>0.15</v>
      </c>
      <c r="L86" t="s">
        <v>23</v>
      </c>
      <c r="M86" s="5">
        <v>2202.52</v>
      </c>
      <c r="N86" t="s">
        <v>59</v>
      </c>
      <c r="O86" t="s">
        <v>71</v>
      </c>
      <c r="P86" s="5">
        <v>0</v>
      </c>
      <c r="Q86" t="s">
        <v>244</v>
      </c>
      <c r="R86" t="s">
        <v>245</v>
      </c>
      <c r="S86" s="5">
        <v>40.21</v>
      </c>
      <c r="T86" s="3">
        <v>45798</v>
      </c>
      <c r="U86" s="3">
        <v>45800</v>
      </c>
      <c r="V86" t="s">
        <v>63</v>
      </c>
      <c r="W86">
        <f t="shared" si="7"/>
        <v>1872.1419999999998</v>
      </c>
      <c r="X86">
        <f t="shared" si="8"/>
        <v>2591.1999999999998</v>
      </c>
      <c r="Y86">
        <f t="shared" si="9"/>
        <v>719.05799999999999</v>
      </c>
      <c r="Z86" s="8" t="str">
        <f t="shared" si="6"/>
        <v>High</v>
      </c>
      <c r="AA86" s="12">
        <f>DATE(YEAR(Table1[[#This Row],[OrderDate]]),MONTH(Table1[[#This Row],[OrderDate]]),1)</f>
        <v>45778</v>
      </c>
    </row>
    <row r="87" spans="1:27" x14ac:dyDescent="0.3">
      <c r="A87" s="3">
        <v>45128</v>
      </c>
      <c r="B87" t="s">
        <v>7</v>
      </c>
      <c r="C87" t="s">
        <v>35</v>
      </c>
      <c r="D87" t="str">
        <f>TRIM(Table1[[#This Row],[Product]])</f>
        <v>Tablet</v>
      </c>
      <c r="E87" t="str">
        <f>PROPER(Table1[[#This Row],[Column1]])</f>
        <v>Tablet</v>
      </c>
      <c r="F87" s="8" t="str">
        <f t="shared" si="5"/>
        <v>Technology</v>
      </c>
      <c r="G87" s="5">
        <v>17</v>
      </c>
      <c r="H87">
        <v>431.82</v>
      </c>
      <c r="I87" t="s">
        <v>57</v>
      </c>
      <c r="J87" t="s">
        <v>65</v>
      </c>
      <c r="K87" s="7">
        <v>0</v>
      </c>
      <c r="L87" t="s">
        <v>25</v>
      </c>
      <c r="M87" s="5">
        <v>7340.94</v>
      </c>
      <c r="N87" t="s">
        <v>66</v>
      </c>
      <c r="O87" t="s">
        <v>60</v>
      </c>
      <c r="P87" s="5">
        <v>1</v>
      </c>
      <c r="Q87" t="s">
        <v>246</v>
      </c>
      <c r="R87" t="s">
        <v>247</v>
      </c>
      <c r="S87" s="5">
        <v>37.75</v>
      </c>
      <c r="T87" s="3">
        <v>45128</v>
      </c>
      <c r="U87" s="3">
        <v>45132</v>
      </c>
      <c r="V87" t="s">
        <v>77</v>
      </c>
      <c r="W87">
        <f t="shared" si="7"/>
        <v>7340.94</v>
      </c>
      <c r="X87">
        <f t="shared" si="8"/>
        <v>7340.94</v>
      </c>
      <c r="Y87">
        <f t="shared" si="9"/>
        <v>0</v>
      </c>
      <c r="Z87" s="8" t="str">
        <f t="shared" si="6"/>
        <v>No Discount</v>
      </c>
      <c r="AA87" s="12">
        <f>DATE(YEAR(Table1[[#This Row],[OrderDate]]),MONTH(Table1[[#This Row],[OrderDate]]),1)</f>
        <v>45108</v>
      </c>
    </row>
    <row r="88" spans="1:27" x14ac:dyDescent="0.3">
      <c r="A88" s="3">
        <v>45802</v>
      </c>
      <c r="B88" t="s">
        <v>9</v>
      </c>
      <c r="C88" t="s">
        <v>31</v>
      </c>
      <c r="D88" t="str">
        <f>TRIM(Table1[[#This Row],[Product]])</f>
        <v>Laptop</v>
      </c>
      <c r="E88" t="str">
        <f>PROPER(Table1[[#This Row],[Column1]])</f>
        <v>Laptop</v>
      </c>
      <c r="F88" s="8" t="str">
        <f t="shared" si="5"/>
        <v>Technology</v>
      </c>
      <c r="G88" s="5">
        <v>15</v>
      </c>
      <c r="H88">
        <v>15.85</v>
      </c>
      <c r="I88" t="s">
        <v>78</v>
      </c>
      <c r="J88" t="s">
        <v>65</v>
      </c>
      <c r="K88" s="7">
        <v>0</v>
      </c>
      <c r="L88" t="s">
        <v>19</v>
      </c>
      <c r="M88" s="5">
        <v>237.75</v>
      </c>
      <c r="N88" t="s">
        <v>85</v>
      </c>
      <c r="O88" t="s">
        <v>71</v>
      </c>
      <c r="P88" s="5">
        <v>0</v>
      </c>
      <c r="Q88" t="s">
        <v>248</v>
      </c>
      <c r="R88" t="s">
        <v>249</v>
      </c>
      <c r="S88" s="5">
        <v>23.49</v>
      </c>
      <c r="T88" s="3">
        <v>45802</v>
      </c>
      <c r="U88" s="3">
        <v>45811</v>
      </c>
      <c r="V88" t="s">
        <v>63</v>
      </c>
      <c r="W88">
        <f t="shared" si="7"/>
        <v>237.75</v>
      </c>
      <c r="X88">
        <f t="shared" si="8"/>
        <v>237.75</v>
      </c>
      <c r="Y88">
        <f t="shared" si="9"/>
        <v>0</v>
      </c>
      <c r="Z88" s="8" t="str">
        <f t="shared" si="6"/>
        <v>No Discount</v>
      </c>
      <c r="AA88" s="12">
        <f>DATE(YEAR(Table1[[#This Row],[OrderDate]]),MONTH(Table1[[#This Row],[OrderDate]]),1)</f>
        <v>45778</v>
      </c>
    </row>
    <row r="89" spans="1:27" x14ac:dyDescent="0.3">
      <c r="A89" s="3">
        <v>45612</v>
      </c>
      <c r="B89" t="s">
        <v>13</v>
      </c>
      <c r="C89" t="s">
        <v>35</v>
      </c>
      <c r="D89" t="str">
        <f>TRIM(Table1[[#This Row],[Product]])</f>
        <v>Tablet</v>
      </c>
      <c r="E89" t="str">
        <f>PROPER(Table1[[#This Row],[Column1]])</f>
        <v>Tablet</v>
      </c>
      <c r="F89" s="8" t="str">
        <f t="shared" si="5"/>
        <v>Technology</v>
      </c>
      <c r="G89" s="5">
        <v>20</v>
      </c>
      <c r="H89">
        <v>548.34</v>
      </c>
      <c r="I89" t="s">
        <v>57</v>
      </c>
      <c r="J89" t="s">
        <v>65</v>
      </c>
      <c r="K89" s="7">
        <v>0.1</v>
      </c>
      <c r="L89" t="s">
        <v>19</v>
      </c>
      <c r="M89" s="5">
        <v>9870.1200000000008</v>
      </c>
      <c r="N89" t="s">
        <v>66</v>
      </c>
      <c r="O89" t="s">
        <v>71</v>
      </c>
      <c r="P89" s="5">
        <v>0</v>
      </c>
      <c r="Q89" t="s">
        <v>250</v>
      </c>
      <c r="R89" t="s">
        <v>251</v>
      </c>
      <c r="S89" s="5">
        <v>33.47</v>
      </c>
      <c r="T89" s="3">
        <v>45612</v>
      </c>
      <c r="U89" s="3">
        <v>45618</v>
      </c>
      <c r="V89" t="s">
        <v>70</v>
      </c>
      <c r="W89">
        <f t="shared" si="7"/>
        <v>8883.1080000000002</v>
      </c>
      <c r="X89">
        <f t="shared" si="8"/>
        <v>10966.800000000001</v>
      </c>
      <c r="Y89">
        <f t="shared" si="9"/>
        <v>2083.6920000000009</v>
      </c>
      <c r="Z89" s="8" t="str">
        <f t="shared" si="6"/>
        <v>Medium</v>
      </c>
      <c r="AA89" s="12">
        <f>DATE(YEAR(Table1[[#This Row],[OrderDate]]),MONTH(Table1[[#This Row],[OrderDate]]),1)</f>
        <v>45597</v>
      </c>
    </row>
    <row r="90" spans="1:27" x14ac:dyDescent="0.3">
      <c r="A90" s="3">
        <v>45249</v>
      </c>
      <c r="B90" t="s">
        <v>11</v>
      </c>
      <c r="C90" t="s">
        <v>31</v>
      </c>
      <c r="D90" t="str">
        <f>TRIM(Table1[[#This Row],[Product]])</f>
        <v>Laptop</v>
      </c>
      <c r="E90" t="str">
        <f>PROPER(Table1[[#This Row],[Column1]])</f>
        <v>Laptop</v>
      </c>
      <c r="F90" s="8" t="str">
        <f t="shared" si="5"/>
        <v>Technology</v>
      </c>
      <c r="G90" s="5">
        <v>16</v>
      </c>
      <c r="H90">
        <v>525.83000000000004</v>
      </c>
      <c r="I90" t="s">
        <v>78</v>
      </c>
      <c r="J90" t="s">
        <v>58</v>
      </c>
      <c r="K90" s="7">
        <v>0.05</v>
      </c>
      <c r="L90" t="s">
        <v>27</v>
      </c>
      <c r="M90" s="5">
        <v>7992.616</v>
      </c>
      <c r="N90" t="s">
        <v>59</v>
      </c>
      <c r="P90" s="5">
        <v>0</v>
      </c>
      <c r="Q90" t="s">
        <v>252</v>
      </c>
      <c r="R90" t="s">
        <v>253</v>
      </c>
      <c r="S90" s="5">
        <v>36.47</v>
      </c>
      <c r="T90" s="3">
        <v>45249</v>
      </c>
      <c r="U90" s="3">
        <v>45255</v>
      </c>
      <c r="V90" t="s">
        <v>74</v>
      </c>
      <c r="W90">
        <f t="shared" si="7"/>
        <v>7592.9852000000001</v>
      </c>
      <c r="X90">
        <f t="shared" si="8"/>
        <v>8413.2800000000007</v>
      </c>
      <c r="Y90">
        <f t="shared" si="9"/>
        <v>820.29480000000058</v>
      </c>
      <c r="Z90" s="8" t="str">
        <f t="shared" si="6"/>
        <v>Medium</v>
      </c>
      <c r="AA90" s="12">
        <f>DATE(YEAR(Table1[[#This Row],[OrderDate]]),MONTH(Table1[[#This Row],[OrderDate]]),1)</f>
        <v>45231</v>
      </c>
    </row>
    <row r="91" spans="1:27" x14ac:dyDescent="0.3">
      <c r="A91" s="3">
        <v>45669</v>
      </c>
      <c r="B91" t="s">
        <v>7</v>
      </c>
      <c r="C91" t="s">
        <v>31</v>
      </c>
      <c r="D91" t="str">
        <f>TRIM(Table1[[#This Row],[Product]])</f>
        <v>Laptop</v>
      </c>
      <c r="E91" t="str">
        <f>PROPER(Table1[[#This Row],[Column1]])</f>
        <v>Laptop</v>
      </c>
      <c r="F91" s="8" t="str">
        <f t="shared" si="5"/>
        <v>Technology</v>
      </c>
      <c r="G91" s="5">
        <v>15</v>
      </c>
      <c r="H91">
        <v>411.38</v>
      </c>
      <c r="I91" t="s">
        <v>64</v>
      </c>
      <c r="J91" t="s">
        <v>58</v>
      </c>
      <c r="K91" s="7">
        <v>0.05</v>
      </c>
      <c r="L91" t="s">
        <v>19</v>
      </c>
      <c r="M91" s="5">
        <v>5862.165</v>
      </c>
      <c r="N91" t="s">
        <v>59</v>
      </c>
      <c r="O91" t="s">
        <v>67</v>
      </c>
      <c r="P91" s="5">
        <v>0</v>
      </c>
      <c r="Q91" t="s">
        <v>254</v>
      </c>
      <c r="R91" t="s">
        <v>255</v>
      </c>
      <c r="S91" s="5">
        <v>48.51</v>
      </c>
      <c r="T91" s="3">
        <v>45669</v>
      </c>
      <c r="U91" s="3">
        <v>45678</v>
      </c>
      <c r="V91" t="s">
        <v>77</v>
      </c>
      <c r="W91">
        <f t="shared" si="7"/>
        <v>5569.0567499999997</v>
      </c>
      <c r="X91">
        <f t="shared" si="8"/>
        <v>6170.7</v>
      </c>
      <c r="Y91">
        <f t="shared" si="9"/>
        <v>601.64325000000008</v>
      </c>
      <c r="Z91" s="8" t="str">
        <f t="shared" si="6"/>
        <v>Medium</v>
      </c>
      <c r="AA91" s="12">
        <f>DATE(YEAR(Table1[[#This Row],[OrderDate]]),MONTH(Table1[[#This Row],[OrderDate]]),1)</f>
        <v>45658</v>
      </c>
    </row>
    <row r="92" spans="1:27" x14ac:dyDescent="0.3">
      <c r="A92" s="3">
        <v>45014</v>
      </c>
      <c r="B92" t="s">
        <v>11</v>
      </c>
      <c r="C92" t="s">
        <v>32</v>
      </c>
      <c r="D92" t="str">
        <f>TRIM(Table1[[#This Row],[Product]])</f>
        <v>Monitor</v>
      </c>
      <c r="E92" t="str">
        <f>PROPER(Table1[[#This Row],[Column1]])</f>
        <v>Monitor</v>
      </c>
      <c r="F92" s="8" t="str">
        <f t="shared" si="5"/>
        <v>Technology</v>
      </c>
      <c r="G92" s="5">
        <v>19</v>
      </c>
      <c r="H92">
        <v>559.95000000000005</v>
      </c>
      <c r="I92" t="s">
        <v>64</v>
      </c>
      <c r="J92" t="s">
        <v>58</v>
      </c>
      <c r="K92" s="7">
        <v>0.1</v>
      </c>
      <c r="L92" t="s">
        <v>21</v>
      </c>
      <c r="M92" s="5">
        <v>9575.1450000000004</v>
      </c>
      <c r="N92" t="s">
        <v>82</v>
      </c>
      <c r="O92" t="s">
        <v>71</v>
      </c>
      <c r="P92" s="5">
        <v>0</v>
      </c>
      <c r="Q92" t="s">
        <v>256</v>
      </c>
      <c r="R92" t="s">
        <v>257</v>
      </c>
      <c r="S92" s="5">
        <v>18.3</v>
      </c>
      <c r="T92" s="3">
        <v>45014</v>
      </c>
      <c r="U92" s="3">
        <v>45019</v>
      </c>
      <c r="V92" t="s">
        <v>74</v>
      </c>
      <c r="W92">
        <f t="shared" si="7"/>
        <v>8617.6305000000011</v>
      </c>
      <c r="X92">
        <f t="shared" si="8"/>
        <v>10639.050000000001</v>
      </c>
      <c r="Y92">
        <f t="shared" si="9"/>
        <v>2021.4195</v>
      </c>
      <c r="Z92" s="8" t="str">
        <f t="shared" si="6"/>
        <v>Medium</v>
      </c>
      <c r="AA92" s="12">
        <f>DATE(YEAR(Table1[[#This Row],[OrderDate]]),MONTH(Table1[[#This Row],[OrderDate]]),1)</f>
        <v>44986</v>
      </c>
    </row>
    <row r="93" spans="1:27" x14ac:dyDescent="0.3">
      <c r="A93" s="3">
        <v>45717</v>
      </c>
      <c r="B93" t="s">
        <v>11</v>
      </c>
      <c r="C93" t="s">
        <v>30</v>
      </c>
      <c r="D93" t="str">
        <f>TRIM(Table1[[#This Row],[Product]])</f>
        <v>Desk</v>
      </c>
      <c r="E93" t="str">
        <f>PROPER(Table1[[#This Row],[Column1]])</f>
        <v>Desk</v>
      </c>
      <c r="F93" s="8" t="str">
        <f t="shared" si="5"/>
        <v>Furniture</v>
      </c>
      <c r="G93" s="5">
        <v>8</v>
      </c>
      <c r="H93">
        <v>179.9</v>
      </c>
      <c r="I93" t="s">
        <v>78</v>
      </c>
      <c r="J93" t="s">
        <v>65</v>
      </c>
      <c r="K93" s="7">
        <v>0.05</v>
      </c>
      <c r="L93" t="s">
        <v>21</v>
      </c>
      <c r="M93" s="5">
        <v>1367.24</v>
      </c>
      <c r="N93" t="s">
        <v>59</v>
      </c>
      <c r="O93" t="s">
        <v>67</v>
      </c>
      <c r="P93" s="5">
        <v>0</v>
      </c>
      <c r="Q93" t="s">
        <v>258</v>
      </c>
      <c r="R93" t="s">
        <v>259</v>
      </c>
      <c r="S93" s="5">
        <v>14.8</v>
      </c>
      <c r="T93" s="3">
        <v>45717</v>
      </c>
      <c r="U93" s="3">
        <v>45721</v>
      </c>
      <c r="V93" t="s">
        <v>74</v>
      </c>
      <c r="W93">
        <f t="shared" si="7"/>
        <v>1298.8779999999999</v>
      </c>
      <c r="X93">
        <f t="shared" si="8"/>
        <v>1439.2</v>
      </c>
      <c r="Y93">
        <f t="shared" si="9"/>
        <v>140.32200000000012</v>
      </c>
      <c r="Z93" s="8" t="str">
        <f t="shared" si="6"/>
        <v>Medium</v>
      </c>
      <c r="AA93" s="12">
        <f>DATE(YEAR(Table1[[#This Row],[OrderDate]]),MONTH(Table1[[#This Row],[OrderDate]]),1)</f>
        <v>45717</v>
      </c>
    </row>
    <row r="94" spans="1:27" x14ac:dyDescent="0.3">
      <c r="A94" s="3">
        <v>45217</v>
      </c>
      <c r="B94" t="s">
        <v>11</v>
      </c>
      <c r="C94" t="s">
        <v>29</v>
      </c>
      <c r="D94" t="str">
        <f>TRIM(Table1[[#This Row],[Product]])</f>
        <v>Chair</v>
      </c>
      <c r="E94" t="str">
        <f>PROPER(Table1[[#This Row],[Column1]])</f>
        <v>Chair</v>
      </c>
      <c r="F94" s="8" t="str">
        <f t="shared" si="5"/>
        <v>Furniture</v>
      </c>
      <c r="G94" s="5">
        <v>12</v>
      </c>
      <c r="H94">
        <v>494.15</v>
      </c>
      <c r="I94" t="s">
        <v>57</v>
      </c>
      <c r="J94" t="s">
        <v>58</v>
      </c>
      <c r="K94" s="7">
        <v>0.15</v>
      </c>
      <c r="L94" t="s">
        <v>23</v>
      </c>
      <c r="M94" s="5">
        <v>5040.329999999999</v>
      </c>
      <c r="N94" t="s">
        <v>59</v>
      </c>
      <c r="O94" t="s">
        <v>67</v>
      </c>
      <c r="P94" s="5">
        <v>1</v>
      </c>
      <c r="Q94" t="s">
        <v>260</v>
      </c>
      <c r="R94" t="s">
        <v>261</v>
      </c>
      <c r="S94" s="5">
        <v>18.05</v>
      </c>
      <c r="T94" s="3">
        <v>45217</v>
      </c>
      <c r="U94" s="3">
        <v>45219</v>
      </c>
      <c r="V94" t="s">
        <v>74</v>
      </c>
      <c r="W94">
        <f t="shared" si="7"/>
        <v>4284.2804999999989</v>
      </c>
      <c r="X94">
        <f t="shared" si="8"/>
        <v>5929.7999999999993</v>
      </c>
      <c r="Y94">
        <f t="shared" si="9"/>
        <v>1645.5195000000003</v>
      </c>
      <c r="Z94" s="8" t="str">
        <f t="shared" si="6"/>
        <v>High</v>
      </c>
      <c r="AA94" s="12">
        <f>DATE(YEAR(Table1[[#This Row],[OrderDate]]),MONTH(Table1[[#This Row],[OrderDate]]),1)</f>
        <v>45200</v>
      </c>
    </row>
    <row r="95" spans="1:27" x14ac:dyDescent="0.3">
      <c r="A95" s="3">
        <v>45760</v>
      </c>
      <c r="B95" t="s">
        <v>9</v>
      </c>
      <c r="C95" t="s">
        <v>30</v>
      </c>
      <c r="D95" t="str">
        <f>TRIM(Table1[[#This Row],[Product]])</f>
        <v>Desk</v>
      </c>
      <c r="E95" t="str">
        <f>PROPER(Table1[[#This Row],[Column1]])</f>
        <v>Desk</v>
      </c>
      <c r="F95" s="8" t="str">
        <f t="shared" si="5"/>
        <v>Furniture</v>
      </c>
      <c r="G95" s="5">
        <v>10</v>
      </c>
      <c r="H95">
        <v>462.99</v>
      </c>
      <c r="I95" t="s">
        <v>78</v>
      </c>
      <c r="J95" t="s">
        <v>58</v>
      </c>
      <c r="K95" s="7">
        <v>0</v>
      </c>
      <c r="L95" t="s">
        <v>19</v>
      </c>
      <c r="M95" s="5">
        <v>4629.8999999999996</v>
      </c>
      <c r="N95" t="s">
        <v>82</v>
      </c>
      <c r="O95" t="s">
        <v>71</v>
      </c>
      <c r="P95" s="5">
        <v>0</v>
      </c>
      <c r="Q95" t="s">
        <v>262</v>
      </c>
      <c r="R95" t="s">
        <v>263</v>
      </c>
      <c r="S95" s="5">
        <v>5.01</v>
      </c>
      <c r="T95" s="3">
        <v>45760</v>
      </c>
      <c r="U95" s="3">
        <v>45762</v>
      </c>
      <c r="V95" t="s">
        <v>63</v>
      </c>
      <c r="W95">
        <f t="shared" si="7"/>
        <v>4629.8999999999996</v>
      </c>
      <c r="X95">
        <f t="shared" si="8"/>
        <v>4629.8999999999996</v>
      </c>
      <c r="Y95">
        <f t="shared" si="9"/>
        <v>0</v>
      </c>
      <c r="Z95" s="8" t="str">
        <f t="shared" si="6"/>
        <v>No Discount</v>
      </c>
      <c r="AA95" s="12">
        <f>DATE(YEAR(Table1[[#This Row],[OrderDate]]),MONTH(Table1[[#This Row],[OrderDate]]),1)</f>
        <v>45748</v>
      </c>
    </row>
    <row r="96" spans="1:27" x14ac:dyDescent="0.3">
      <c r="A96" s="3">
        <v>45790</v>
      </c>
      <c r="B96" t="s">
        <v>7</v>
      </c>
      <c r="C96" t="s">
        <v>31</v>
      </c>
      <c r="D96" t="str">
        <f>TRIM(Table1[[#This Row],[Product]])</f>
        <v>Laptop</v>
      </c>
      <c r="E96" t="str">
        <f>PROPER(Table1[[#This Row],[Column1]])</f>
        <v>Laptop</v>
      </c>
      <c r="F96" s="8" t="str">
        <f t="shared" si="5"/>
        <v>Technology</v>
      </c>
      <c r="G96" s="5">
        <v>7</v>
      </c>
      <c r="H96">
        <v>460.24</v>
      </c>
      <c r="I96" t="s">
        <v>64</v>
      </c>
      <c r="J96" t="s">
        <v>65</v>
      </c>
      <c r="K96" s="7">
        <v>0.05</v>
      </c>
      <c r="L96" t="s">
        <v>18</v>
      </c>
      <c r="M96" s="5">
        <v>3060.596</v>
      </c>
      <c r="N96" t="s">
        <v>88</v>
      </c>
      <c r="O96" t="s">
        <v>67</v>
      </c>
      <c r="P96" s="5">
        <v>1</v>
      </c>
      <c r="Q96" t="s">
        <v>264</v>
      </c>
      <c r="R96" t="s">
        <v>265</v>
      </c>
      <c r="S96" s="5">
        <v>11.54</v>
      </c>
      <c r="T96" s="3">
        <v>45790</v>
      </c>
      <c r="U96" s="3">
        <v>45800</v>
      </c>
      <c r="V96" t="s">
        <v>77</v>
      </c>
      <c r="W96">
        <f t="shared" si="7"/>
        <v>2907.5661999999998</v>
      </c>
      <c r="X96">
        <f t="shared" si="8"/>
        <v>3221.6800000000003</v>
      </c>
      <c r="Y96">
        <f t="shared" si="9"/>
        <v>314.11380000000054</v>
      </c>
      <c r="Z96" s="8" t="str">
        <f t="shared" si="6"/>
        <v>Medium</v>
      </c>
      <c r="AA96" s="12">
        <f>DATE(YEAR(Table1[[#This Row],[OrderDate]]),MONTH(Table1[[#This Row],[OrderDate]]),1)</f>
        <v>45778</v>
      </c>
    </row>
    <row r="97" spans="1:27" x14ac:dyDescent="0.3">
      <c r="A97" s="3">
        <v>45403</v>
      </c>
      <c r="B97" t="s">
        <v>16</v>
      </c>
      <c r="C97" t="s">
        <v>34</v>
      </c>
      <c r="D97" t="str">
        <f>TRIM(Table1[[#This Row],[Product]])</f>
        <v>Printer</v>
      </c>
      <c r="E97" t="str">
        <f>PROPER(Table1[[#This Row],[Column1]])</f>
        <v>Printer</v>
      </c>
      <c r="F97" s="8" t="str">
        <f t="shared" si="5"/>
        <v>Office Supplies</v>
      </c>
      <c r="G97" s="5">
        <v>17</v>
      </c>
      <c r="H97">
        <v>309.52</v>
      </c>
      <c r="I97" t="s">
        <v>57</v>
      </c>
      <c r="J97" t="s">
        <v>58</v>
      </c>
      <c r="K97" s="7">
        <v>0.05</v>
      </c>
      <c r="L97" t="s">
        <v>25</v>
      </c>
      <c r="M97" s="5">
        <v>4998.7479999999996</v>
      </c>
      <c r="N97" t="s">
        <v>59</v>
      </c>
      <c r="O97" t="s">
        <v>60</v>
      </c>
      <c r="P97" s="5">
        <v>0</v>
      </c>
      <c r="Q97" t="s">
        <v>266</v>
      </c>
      <c r="R97" t="s">
        <v>267</v>
      </c>
      <c r="S97" s="5">
        <v>6.11</v>
      </c>
      <c r="T97" s="3">
        <v>45403</v>
      </c>
      <c r="U97" s="3">
        <v>45409</v>
      </c>
      <c r="V97" t="s">
        <v>95</v>
      </c>
      <c r="W97">
        <f t="shared" si="7"/>
        <v>4748.8105999999998</v>
      </c>
      <c r="X97">
        <f t="shared" si="8"/>
        <v>5261.84</v>
      </c>
      <c r="Y97">
        <f t="shared" si="9"/>
        <v>513.02940000000035</v>
      </c>
      <c r="Z97" s="8" t="str">
        <f t="shared" si="6"/>
        <v>Medium</v>
      </c>
      <c r="AA97" s="12">
        <f>DATE(YEAR(Table1[[#This Row],[OrderDate]]),MONTH(Table1[[#This Row],[OrderDate]]),1)</f>
        <v>45383</v>
      </c>
    </row>
    <row r="98" spans="1:27" x14ac:dyDescent="0.3">
      <c r="A98" s="3">
        <v>45688</v>
      </c>
      <c r="B98" t="s">
        <v>7</v>
      </c>
      <c r="C98" t="s">
        <v>32</v>
      </c>
      <c r="D98" t="str">
        <f>TRIM(Table1[[#This Row],[Product]])</f>
        <v>Monitor</v>
      </c>
      <c r="E98" t="str">
        <f>PROPER(Table1[[#This Row],[Column1]])</f>
        <v>Monitor</v>
      </c>
      <c r="F98" s="8" t="str">
        <f t="shared" si="5"/>
        <v>Technology</v>
      </c>
      <c r="G98" s="5">
        <v>1</v>
      </c>
      <c r="H98">
        <v>323.83</v>
      </c>
      <c r="I98" t="s">
        <v>57</v>
      </c>
      <c r="J98" t="s">
        <v>58</v>
      </c>
      <c r="K98" s="7">
        <v>0.05</v>
      </c>
      <c r="L98" t="s">
        <v>25</v>
      </c>
      <c r="M98" s="5">
        <v>307.63850000000002</v>
      </c>
      <c r="N98" t="s">
        <v>82</v>
      </c>
      <c r="O98" t="s">
        <v>71</v>
      </c>
      <c r="P98" s="5">
        <v>0</v>
      </c>
      <c r="Q98" t="s">
        <v>268</v>
      </c>
      <c r="R98" t="s">
        <v>269</v>
      </c>
      <c r="S98" s="5">
        <v>27.48</v>
      </c>
      <c r="T98" s="3">
        <v>45688</v>
      </c>
      <c r="U98" s="3">
        <v>45696</v>
      </c>
      <c r="V98" t="s">
        <v>77</v>
      </c>
      <c r="W98">
        <f t="shared" si="7"/>
        <v>292.256575</v>
      </c>
      <c r="X98">
        <f t="shared" si="8"/>
        <v>323.83</v>
      </c>
      <c r="Y98">
        <f t="shared" si="9"/>
        <v>31.573424999999986</v>
      </c>
      <c r="Z98" s="8" t="str">
        <f t="shared" si="6"/>
        <v>Medium</v>
      </c>
      <c r="AA98" s="12">
        <f>DATE(YEAR(Table1[[#This Row],[OrderDate]]),MONTH(Table1[[#This Row],[OrderDate]]),1)</f>
        <v>45658</v>
      </c>
    </row>
    <row r="99" spans="1:27" x14ac:dyDescent="0.3">
      <c r="A99" s="3">
        <v>45730</v>
      </c>
      <c r="B99" t="s">
        <v>7</v>
      </c>
      <c r="C99" t="s">
        <v>29</v>
      </c>
      <c r="D99" t="str">
        <f>TRIM(Table1[[#This Row],[Product]])</f>
        <v>Chair</v>
      </c>
      <c r="E99" t="str">
        <f>PROPER(Table1[[#This Row],[Column1]])</f>
        <v>Chair</v>
      </c>
      <c r="F99" s="8" t="str">
        <f t="shared" si="5"/>
        <v>Furniture</v>
      </c>
      <c r="G99" s="5">
        <v>10</v>
      </c>
      <c r="H99">
        <v>503.07</v>
      </c>
      <c r="I99" t="s">
        <v>78</v>
      </c>
      <c r="J99" t="s">
        <v>65</v>
      </c>
      <c r="K99" s="7">
        <v>0</v>
      </c>
      <c r="L99" t="s">
        <v>19</v>
      </c>
      <c r="M99" s="5">
        <v>5030.7</v>
      </c>
      <c r="N99" t="s">
        <v>82</v>
      </c>
      <c r="O99" t="s">
        <v>60</v>
      </c>
      <c r="P99" s="5">
        <v>0</v>
      </c>
      <c r="Q99" t="s">
        <v>270</v>
      </c>
      <c r="R99" t="s">
        <v>271</v>
      </c>
      <c r="S99" s="5">
        <v>44.61</v>
      </c>
      <c r="T99" s="3">
        <v>45730</v>
      </c>
      <c r="U99" s="3">
        <v>45735</v>
      </c>
      <c r="V99" t="s">
        <v>77</v>
      </c>
      <c r="W99">
        <f t="shared" si="7"/>
        <v>5030.7</v>
      </c>
      <c r="X99">
        <f t="shared" si="8"/>
        <v>5030.7</v>
      </c>
      <c r="Y99">
        <f t="shared" si="9"/>
        <v>0</v>
      </c>
      <c r="Z99" s="8" t="str">
        <f t="shared" si="6"/>
        <v>No Discount</v>
      </c>
      <c r="AA99" s="12">
        <f>DATE(YEAR(Table1[[#This Row],[OrderDate]]),MONTH(Table1[[#This Row],[OrderDate]]),1)</f>
        <v>45717</v>
      </c>
    </row>
    <row r="100" spans="1:27" x14ac:dyDescent="0.3">
      <c r="A100" s="3">
        <v>45438</v>
      </c>
      <c r="B100" t="s">
        <v>16</v>
      </c>
      <c r="C100" t="s">
        <v>31</v>
      </c>
      <c r="D100" t="str">
        <f>TRIM(Table1[[#This Row],[Product]])</f>
        <v>Laptop</v>
      </c>
      <c r="E100" t="str">
        <f>PROPER(Table1[[#This Row],[Column1]])</f>
        <v>Laptop</v>
      </c>
      <c r="F100" s="8" t="str">
        <f t="shared" si="5"/>
        <v>Technology</v>
      </c>
      <c r="G100" s="5">
        <v>20</v>
      </c>
      <c r="H100">
        <v>491.68</v>
      </c>
      <c r="I100" t="s">
        <v>81</v>
      </c>
      <c r="J100" t="s">
        <v>58</v>
      </c>
      <c r="K100" s="7">
        <v>0.15</v>
      </c>
      <c r="L100" t="s">
        <v>18</v>
      </c>
      <c r="M100" s="5">
        <v>8358.56</v>
      </c>
      <c r="N100" t="s">
        <v>59</v>
      </c>
      <c r="O100" t="s">
        <v>67</v>
      </c>
      <c r="P100" s="5">
        <v>1</v>
      </c>
      <c r="Q100" t="s">
        <v>272</v>
      </c>
      <c r="R100" t="s">
        <v>273</v>
      </c>
      <c r="S100" s="5">
        <v>43.46</v>
      </c>
      <c r="T100" s="3">
        <v>45438</v>
      </c>
      <c r="U100" s="3">
        <v>45441</v>
      </c>
      <c r="V100" t="s">
        <v>95</v>
      </c>
      <c r="W100">
        <f t="shared" si="7"/>
        <v>7104.7759999999989</v>
      </c>
      <c r="X100">
        <f t="shared" si="8"/>
        <v>9833.6</v>
      </c>
      <c r="Y100">
        <f t="shared" si="9"/>
        <v>2728.8240000000014</v>
      </c>
      <c r="Z100" s="8" t="str">
        <f t="shared" si="6"/>
        <v>High</v>
      </c>
      <c r="AA100" s="12">
        <f>DATE(YEAR(Table1[[#This Row],[OrderDate]]),MONTH(Table1[[#This Row],[OrderDate]]),1)</f>
        <v>45413</v>
      </c>
    </row>
    <row r="101" spans="1:27" x14ac:dyDescent="0.3">
      <c r="A101" s="3">
        <v>45129</v>
      </c>
      <c r="B101" t="s">
        <v>11</v>
      </c>
      <c r="C101" t="s">
        <v>33</v>
      </c>
      <c r="D101" t="str">
        <f>TRIM(Table1[[#This Row],[Product]])</f>
        <v>Phone</v>
      </c>
      <c r="E101" t="str">
        <f>PROPER(Table1[[#This Row],[Column1]])</f>
        <v>Phone</v>
      </c>
      <c r="F101" s="8" t="str">
        <f t="shared" si="5"/>
        <v>Technology</v>
      </c>
      <c r="G101" s="5">
        <v>17</v>
      </c>
      <c r="H101">
        <v>468.45</v>
      </c>
      <c r="I101" t="s">
        <v>64</v>
      </c>
      <c r="J101" t="s">
        <v>65</v>
      </c>
      <c r="K101" s="7">
        <v>0.05</v>
      </c>
      <c r="L101" t="s">
        <v>21</v>
      </c>
      <c r="M101" s="5">
        <v>7565.4674999999997</v>
      </c>
      <c r="N101" t="s">
        <v>82</v>
      </c>
      <c r="O101" t="s">
        <v>60</v>
      </c>
      <c r="P101" s="5">
        <v>0</v>
      </c>
      <c r="Q101" t="s">
        <v>274</v>
      </c>
      <c r="R101" t="s">
        <v>275</v>
      </c>
      <c r="S101" s="5">
        <v>17.88</v>
      </c>
      <c r="T101" s="3">
        <v>45129</v>
      </c>
      <c r="U101" s="3">
        <v>45133</v>
      </c>
      <c r="V101" t="s">
        <v>74</v>
      </c>
      <c r="W101">
        <f t="shared" si="7"/>
        <v>7187.1941249999991</v>
      </c>
      <c r="X101">
        <f t="shared" si="8"/>
        <v>7963.65</v>
      </c>
      <c r="Y101">
        <f t="shared" si="9"/>
        <v>776.45587500000056</v>
      </c>
      <c r="Z101" s="8" t="str">
        <f t="shared" si="6"/>
        <v>Medium</v>
      </c>
      <c r="AA101" s="12">
        <f>DATE(YEAR(Table1[[#This Row],[OrderDate]]),MONTH(Table1[[#This Row],[OrderDate]]),1)</f>
        <v>45108</v>
      </c>
    </row>
    <row r="102" spans="1:27" x14ac:dyDescent="0.3">
      <c r="A102" s="3">
        <v>45372</v>
      </c>
      <c r="B102" t="s">
        <v>11</v>
      </c>
      <c r="C102" t="s">
        <v>31</v>
      </c>
      <c r="D102" t="str">
        <f>TRIM(Table1[[#This Row],[Product]])</f>
        <v>Laptop</v>
      </c>
      <c r="E102" t="str">
        <f>PROPER(Table1[[#This Row],[Column1]])</f>
        <v>Laptop</v>
      </c>
      <c r="F102" s="8" t="str">
        <f t="shared" si="5"/>
        <v>Technology</v>
      </c>
      <c r="G102" s="5">
        <v>11</v>
      </c>
      <c r="H102">
        <v>401.76</v>
      </c>
      <c r="I102" t="s">
        <v>81</v>
      </c>
      <c r="J102" t="s">
        <v>65</v>
      </c>
      <c r="K102" s="7">
        <v>0.15</v>
      </c>
      <c r="L102" t="s">
        <v>27</v>
      </c>
      <c r="M102" s="5">
        <v>3756.4560000000001</v>
      </c>
      <c r="N102" t="s">
        <v>66</v>
      </c>
      <c r="O102" t="s">
        <v>67</v>
      </c>
      <c r="P102" s="5">
        <v>0</v>
      </c>
      <c r="Q102" t="s">
        <v>276</v>
      </c>
      <c r="R102" t="s">
        <v>277</v>
      </c>
      <c r="S102" s="5">
        <v>48.03</v>
      </c>
      <c r="T102" s="3">
        <v>45372</v>
      </c>
      <c r="U102" s="3">
        <v>45381</v>
      </c>
      <c r="V102" t="s">
        <v>74</v>
      </c>
      <c r="W102">
        <f t="shared" si="7"/>
        <v>3192.9875999999999</v>
      </c>
      <c r="X102">
        <f t="shared" si="8"/>
        <v>4419.3599999999997</v>
      </c>
      <c r="Y102">
        <f t="shared" si="9"/>
        <v>1226.3723999999997</v>
      </c>
      <c r="Z102" s="8" t="str">
        <f t="shared" si="6"/>
        <v>High</v>
      </c>
      <c r="AA102" s="12">
        <f>DATE(YEAR(Table1[[#This Row],[OrderDate]]),MONTH(Table1[[#This Row],[OrderDate]]),1)</f>
        <v>45352</v>
      </c>
    </row>
    <row r="103" spans="1:27" x14ac:dyDescent="0.3">
      <c r="A103" s="3">
        <v>45021</v>
      </c>
      <c r="B103" t="s">
        <v>16</v>
      </c>
      <c r="C103" t="s">
        <v>34</v>
      </c>
      <c r="D103" t="str">
        <f>TRIM(Table1[[#This Row],[Product]])</f>
        <v>Printer</v>
      </c>
      <c r="E103" t="str">
        <f>PROPER(Table1[[#This Row],[Column1]])</f>
        <v>Printer</v>
      </c>
      <c r="F103" s="8" t="str">
        <f t="shared" si="5"/>
        <v>Office Supplies</v>
      </c>
      <c r="G103" s="5">
        <v>3</v>
      </c>
      <c r="H103">
        <v>221</v>
      </c>
      <c r="I103" t="s">
        <v>57</v>
      </c>
      <c r="J103" t="s">
        <v>58</v>
      </c>
      <c r="K103" s="7">
        <v>0</v>
      </c>
      <c r="L103" t="s">
        <v>27</v>
      </c>
      <c r="M103" s="5">
        <v>663</v>
      </c>
      <c r="N103" t="s">
        <v>88</v>
      </c>
      <c r="O103" t="s">
        <v>60</v>
      </c>
      <c r="P103" s="5">
        <v>0</v>
      </c>
      <c r="Q103" t="s">
        <v>278</v>
      </c>
      <c r="R103" t="s">
        <v>279</v>
      </c>
      <c r="S103" s="5">
        <v>32.31</v>
      </c>
      <c r="T103" s="3">
        <v>45021</v>
      </c>
      <c r="U103" s="3">
        <v>45024</v>
      </c>
      <c r="V103" t="s">
        <v>95</v>
      </c>
      <c r="W103">
        <f t="shared" si="7"/>
        <v>663</v>
      </c>
      <c r="X103">
        <f t="shared" si="8"/>
        <v>663</v>
      </c>
      <c r="Y103">
        <f t="shared" si="9"/>
        <v>0</v>
      </c>
      <c r="Z103" s="8" t="str">
        <f t="shared" si="6"/>
        <v>No Discount</v>
      </c>
      <c r="AA103" s="12">
        <f>DATE(YEAR(Table1[[#This Row],[OrderDate]]),MONTH(Table1[[#This Row],[OrderDate]]),1)</f>
        <v>45017</v>
      </c>
    </row>
    <row r="104" spans="1:27" x14ac:dyDescent="0.3">
      <c r="A104" s="3">
        <v>45530</v>
      </c>
      <c r="B104" t="s">
        <v>9</v>
      </c>
      <c r="C104" t="s">
        <v>32</v>
      </c>
      <c r="D104" t="str">
        <f>TRIM(Table1[[#This Row],[Product]])</f>
        <v>Monitor</v>
      </c>
      <c r="E104" t="str">
        <f>PROPER(Table1[[#This Row],[Column1]])</f>
        <v>Monitor</v>
      </c>
      <c r="F104" s="8" t="str">
        <f t="shared" si="5"/>
        <v>Technology</v>
      </c>
      <c r="G104" s="5">
        <v>6</v>
      </c>
      <c r="H104">
        <v>188.45</v>
      </c>
      <c r="I104" t="s">
        <v>78</v>
      </c>
      <c r="J104" t="s">
        <v>58</v>
      </c>
      <c r="K104" s="7">
        <v>0.05</v>
      </c>
      <c r="L104" t="s">
        <v>18</v>
      </c>
      <c r="M104" s="5">
        <v>1074.165</v>
      </c>
      <c r="N104" t="s">
        <v>66</v>
      </c>
      <c r="P104" s="5">
        <v>0</v>
      </c>
      <c r="Q104" t="s">
        <v>280</v>
      </c>
      <c r="R104" t="s">
        <v>281</v>
      </c>
      <c r="S104" s="5">
        <v>6.77</v>
      </c>
      <c r="T104" s="3">
        <v>45530</v>
      </c>
      <c r="U104" s="3">
        <v>45536</v>
      </c>
      <c r="V104" t="s">
        <v>63</v>
      </c>
      <c r="W104">
        <f t="shared" si="7"/>
        <v>1020.4567499999999</v>
      </c>
      <c r="X104">
        <f t="shared" si="8"/>
        <v>1130.6999999999998</v>
      </c>
      <c r="Y104">
        <f t="shared" si="9"/>
        <v>110.24324999999988</v>
      </c>
      <c r="Z104" s="8" t="str">
        <f t="shared" si="6"/>
        <v>Medium</v>
      </c>
      <c r="AA104" s="12">
        <f>DATE(YEAR(Table1[[#This Row],[OrderDate]]),MONTH(Table1[[#This Row],[OrderDate]]),1)</f>
        <v>45505</v>
      </c>
    </row>
    <row r="105" spans="1:27" x14ac:dyDescent="0.3">
      <c r="A105" s="3">
        <v>45480</v>
      </c>
      <c r="B105" t="s">
        <v>11</v>
      </c>
      <c r="C105" t="s">
        <v>30</v>
      </c>
      <c r="D105" t="str">
        <f>TRIM(Table1[[#This Row],[Product]])</f>
        <v>Desk</v>
      </c>
      <c r="E105" t="str">
        <f>PROPER(Table1[[#This Row],[Column1]])</f>
        <v>Desk</v>
      </c>
      <c r="F105" s="8" t="str">
        <f t="shared" si="5"/>
        <v>Furniture</v>
      </c>
      <c r="G105" s="5">
        <v>3</v>
      </c>
      <c r="H105">
        <v>566.20000000000005</v>
      </c>
      <c r="I105" t="s">
        <v>81</v>
      </c>
      <c r="J105" t="s">
        <v>65</v>
      </c>
      <c r="K105" s="7">
        <v>0</v>
      </c>
      <c r="L105" t="s">
        <v>19</v>
      </c>
      <c r="M105" s="5">
        <v>1698.6</v>
      </c>
      <c r="N105" t="s">
        <v>66</v>
      </c>
      <c r="O105" t="s">
        <v>60</v>
      </c>
      <c r="P105" s="5">
        <v>1</v>
      </c>
      <c r="Q105" t="s">
        <v>282</v>
      </c>
      <c r="R105" t="s">
        <v>283</v>
      </c>
      <c r="S105" s="5">
        <v>28.97</v>
      </c>
      <c r="T105" s="3">
        <v>45480</v>
      </c>
      <c r="U105" s="3">
        <v>45490</v>
      </c>
      <c r="V105" t="s">
        <v>74</v>
      </c>
      <c r="W105">
        <f t="shared" si="7"/>
        <v>1698.6</v>
      </c>
      <c r="X105">
        <f t="shared" si="8"/>
        <v>1698.6000000000001</v>
      </c>
      <c r="Y105">
        <f t="shared" si="9"/>
        <v>0</v>
      </c>
      <c r="Z105" s="8" t="str">
        <f t="shared" si="6"/>
        <v>No Discount</v>
      </c>
      <c r="AA105" s="12">
        <f>DATE(YEAR(Table1[[#This Row],[OrderDate]]),MONTH(Table1[[#This Row],[OrderDate]]),1)</f>
        <v>45474</v>
      </c>
    </row>
    <row r="106" spans="1:27" x14ac:dyDescent="0.3">
      <c r="A106" s="3">
        <v>45198</v>
      </c>
      <c r="B106" t="s">
        <v>9</v>
      </c>
      <c r="C106" t="s">
        <v>32</v>
      </c>
      <c r="D106" t="str">
        <f>TRIM(Table1[[#This Row],[Product]])</f>
        <v>Monitor</v>
      </c>
      <c r="E106" t="str">
        <f>PROPER(Table1[[#This Row],[Column1]])</f>
        <v>Monitor</v>
      </c>
      <c r="F106" s="8" t="str">
        <f t="shared" si="5"/>
        <v>Technology</v>
      </c>
      <c r="G106" s="5">
        <v>14</v>
      </c>
      <c r="H106">
        <v>167.09</v>
      </c>
      <c r="I106" t="s">
        <v>81</v>
      </c>
      <c r="J106" t="s">
        <v>65</v>
      </c>
      <c r="K106" s="7">
        <v>0.05</v>
      </c>
      <c r="L106" t="s">
        <v>18</v>
      </c>
      <c r="M106" s="5">
        <v>2222.297</v>
      </c>
      <c r="N106" t="s">
        <v>66</v>
      </c>
      <c r="O106" t="s">
        <v>67</v>
      </c>
      <c r="P106" s="5">
        <v>1</v>
      </c>
      <c r="Q106" t="s">
        <v>284</v>
      </c>
      <c r="R106" t="s">
        <v>285</v>
      </c>
      <c r="S106" s="5">
        <v>47.05</v>
      </c>
      <c r="T106" s="3">
        <v>45198</v>
      </c>
      <c r="U106" s="3">
        <v>45207</v>
      </c>
      <c r="V106" t="s">
        <v>63</v>
      </c>
      <c r="W106">
        <f t="shared" si="7"/>
        <v>2111.1821500000001</v>
      </c>
      <c r="X106">
        <f t="shared" si="8"/>
        <v>2339.2600000000002</v>
      </c>
      <c r="Y106">
        <f t="shared" si="9"/>
        <v>228.07785000000013</v>
      </c>
      <c r="Z106" s="8" t="str">
        <f t="shared" si="6"/>
        <v>Medium</v>
      </c>
      <c r="AA106" s="12">
        <f>DATE(YEAR(Table1[[#This Row],[OrderDate]]),MONTH(Table1[[#This Row],[OrderDate]]),1)</f>
        <v>45170</v>
      </c>
    </row>
    <row r="107" spans="1:27" x14ac:dyDescent="0.3">
      <c r="A107" s="3">
        <v>45203</v>
      </c>
      <c r="B107" t="s">
        <v>16</v>
      </c>
      <c r="C107" t="s">
        <v>32</v>
      </c>
      <c r="D107" t="str">
        <f>TRIM(Table1[[#This Row],[Product]])</f>
        <v>Monitor</v>
      </c>
      <c r="E107" t="str">
        <f>PROPER(Table1[[#This Row],[Column1]])</f>
        <v>Monitor</v>
      </c>
      <c r="F107" s="8" t="str">
        <f t="shared" si="5"/>
        <v>Technology</v>
      </c>
      <c r="G107" s="5">
        <v>16</v>
      </c>
      <c r="H107">
        <v>36.159999999999997</v>
      </c>
      <c r="I107" t="s">
        <v>78</v>
      </c>
      <c r="J107" t="s">
        <v>58</v>
      </c>
      <c r="K107" s="7">
        <v>0.1</v>
      </c>
      <c r="L107" t="s">
        <v>21</v>
      </c>
      <c r="M107" s="5">
        <v>520.70399999999995</v>
      </c>
      <c r="N107" t="s">
        <v>85</v>
      </c>
      <c r="O107" t="s">
        <v>60</v>
      </c>
      <c r="P107" s="5">
        <v>0</v>
      </c>
      <c r="Q107" t="s">
        <v>286</v>
      </c>
      <c r="R107" t="s">
        <v>287</v>
      </c>
      <c r="S107" s="5">
        <v>26.64</v>
      </c>
      <c r="T107" s="3">
        <v>45203</v>
      </c>
      <c r="U107" s="3">
        <v>45210</v>
      </c>
      <c r="V107" t="s">
        <v>95</v>
      </c>
      <c r="W107">
        <f t="shared" si="7"/>
        <v>468.63359999999994</v>
      </c>
      <c r="X107">
        <f t="shared" si="8"/>
        <v>578.55999999999995</v>
      </c>
      <c r="Y107">
        <f t="shared" si="9"/>
        <v>109.9264</v>
      </c>
      <c r="Z107" s="8" t="str">
        <f t="shared" si="6"/>
        <v>Medium</v>
      </c>
      <c r="AA107" s="12">
        <f>DATE(YEAR(Table1[[#This Row],[OrderDate]]),MONTH(Table1[[#This Row],[OrderDate]]),1)</f>
        <v>45200</v>
      </c>
    </row>
    <row r="108" spans="1:27" x14ac:dyDescent="0.3">
      <c r="A108" s="3">
        <v>45817</v>
      </c>
      <c r="B108" t="s">
        <v>7</v>
      </c>
      <c r="C108" t="s">
        <v>34</v>
      </c>
      <c r="D108" t="str">
        <f>TRIM(Table1[[#This Row],[Product]])</f>
        <v>Printer</v>
      </c>
      <c r="E108" t="str">
        <f>PROPER(Table1[[#This Row],[Column1]])</f>
        <v>Printer</v>
      </c>
      <c r="F108" s="8" t="str">
        <f t="shared" si="5"/>
        <v>Office Supplies</v>
      </c>
      <c r="G108" s="5">
        <v>2</v>
      </c>
      <c r="H108">
        <v>73.94</v>
      </c>
      <c r="I108" t="s">
        <v>57</v>
      </c>
      <c r="J108" t="s">
        <v>58</v>
      </c>
      <c r="K108" s="7">
        <v>0.05</v>
      </c>
      <c r="L108" t="s">
        <v>21</v>
      </c>
      <c r="M108" s="5">
        <v>140.48599999999999</v>
      </c>
      <c r="N108" t="s">
        <v>85</v>
      </c>
      <c r="O108" t="s">
        <v>67</v>
      </c>
      <c r="P108" s="5">
        <v>0</v>
      </c>
      <c r="Q108" t="s">
        <v>288</v>
      </c>
      <c r="R108" t="s">
        <v>289</v>
      </c>
      <c r="S108" s="5">
        <v>28.05</v>
      </c>
      <c r="T108" s="3">
        <v>45817</v>
      </c>
      <c r="U108" s="3">
        <v>45824</v>
      </c>
      <c r="V108" t="s">
        <v>77</v>
      </c>
      <c r="W108">
        <f t="shared" si="7"/>
        <v>133.46169999999998</v>
      </c>
      <c r="X108">
        <f t="shared" si="8"/>
        <v>147.88</v>
      </c>
      <c r="Y108">
        <f t="shared" si="9"/>
        <v>14.418300000000016</v>
      </c>
      <c r="Z108" s="8" t="str">
        <f t="shared" si="6"/>
        <v>Medium</v>
      </c>
      <c r="AA108" s="12">
        <f>DATE(YEAR(Table1[[#This Row],[OrderDate]]),MONTH(Table1[[#This Row],[OrderDate]]),1)</f>
        <v>45809</v>
      </c>
    </row>
    <row r="109" spans="1:27" x14ac:dyDescent="0.3">
      <c r="A109" s="3">
        <v>45820</v>
      </c>
      <c r="B109" t="s">
        <v>9</v>
      </c>
      <c r="C109" t="s">
        <v>34</v>
      </c>
      <c r="D109" t="str">
        <f>TRIM(Table1[[#This Row],[Product]])</f>
        <v>Printer</v>
      </c>
      <c r="E109" t="str">
        <f>PROPER(Table1[[#This Row],[Column1]])</f>
        <v>Printer</v>
      </c>
      <c r="F109" s="8" t="str">
        <f t="shared" si="5"/>
        <v>Office Supplies</v>
      </c>
      <c r="G109" s="5">
        <v>16</v>
      </c>
      <c r="H109">
        <v>459.49</v>
      </c>
      <c r="I109" t="s">
        <v>64</v>
      </c>
      <c r="J109" t="s">
        <v>58</v>
      </c>
      <c r="K109" s="7">
        <v>0.1</v>
      </c>
      <c r="L109" t="s">
        <v>25</v>
      </c>
      <c r="M109" s="5">
        <v>6616.6559999999999</v>
      </c>
      <c r="N109" t="s">
        <v>59</v>
      </c>
      <c r="O109" t="s">
        <v>67</v>
      </c>
      <c r="P109" s="5">
        <v>0</v>
      </c>
      <c r="Q109" t="s">
        <v>290</v>
      </c>
      <c r="R109" t="s">
        <v>291</v>
      </c>
      <c r="S109" s="5">
        <v>26.99</v>
      </c>
      <c r="T109" s="3">
        <v>45820</v>
      </c>
      <c r="U109" s="3">
        <v>45822</v>
      </c>
      <c r="V109" t="s">
        <v>63</v>
      </c>
      <c r="W109">
        <f t="shared" si="7"/>
        <v>5954.9903999999997</v>
      </c>
      <c r="X109">
        <f t="shared" si="8"/>
        <v>7351.84</v>
      </c>
      <c r="Y109">
        <f t="shared" si="9"/>
        <v>1396.8496000000005</v>
      </c>
      <c r="Z109" s="8" t="str">
        <f t="shared" si="6"/>
        <v>Medium</v>
      </c>
      <c r="AA109" s="12">
        <f>DATE(YEAR(Table1[[#This Row],[OrderDate]]),MONTH(Table1[[#This Row],[OrderDate]]),1)</f>
        <v>45809</v>
      </c>
    </row>
    <row r="110" spans="1:27" x14ac:dyDescent="0.3">
      <c r="A110" s="3">
        <v>45472</v>
      </c>
      <c r="B110" t="s">
        <v>9</v>
      </c>
      <c r="C110" t="s">
        <v>29</v>
      </c>
      <c r="D110" t="str">
        <f>TRIM(Table1[[#This Row],[Product]])</f>
        <v>Chair</v>
      </c>
      <c r="E110" t="str">
        <f>PROPER(Table1[[#This Row],[Column1]])</f>
        <v>Chair</v>
      </c>
      <c r="F110" s="8" t="str">
        <f t="shared" si="5"/>
        <v>Furniture</v>
      </c>
      <c r="G110" s="5">
        <v>3</v>
      </c>
      <c r="H110">
        <v>168.05</v>
      </c>
      <c r="I110" t="s">
        <v>64</v>
      </c>
      <c r="J110" t="s">
        <v>65</v>
      </c>
      <c r="K110" s="7">
        <v>0</v>
      </c>
      <c r="L110" t="s">
        <v>21</v>
      </c>
      <c r="M110" s="5">
        <v>504.15</v>
      </c>
      <c r="N110" t="s">
        <v>88</v>
      </c>
      <c r="P110" s="5">
        <v>1</v>
      </c>
      <c r="Q110" t="s">
        <v>292</v>
      </c>
      <c r="R110" t="s">
        <v>293</v>
      </c>
      <c r="S110" s="5">
        <v>21.08</v>
      </c>
      <c r="T110" s="3">
        <v>45472</v>
      </c>
      <c r="U110" s="3">
        <v>45479</v>
      </c>
      <c r="V110" t="s">
        <v>63</v>
      </c>
      <c r="W110">
        <f t="shared" si="7"/>
        <v>504.15</v>
      </c>
      <c r="X110">
        <f t="shared" si="8"/>
        <v>504.15000000000003</v>
      </c>
      <c r="Y110">
        <f t="shared" si="9"/>
        <v>0</v>
      </c>
      <c r="Z110" s="8" t="str">
        <f t="shared" si="6"/>
        <v>No Discount</v>
      </c>
      <c r="AA110" s="12">
        <f>DATE(YEAR(Table1[[#This Row],[OrderDate]]),MONTH(Table1[[#This Row],[OrderDate]]),1)</f>
        <v>45444</v>
      </c>
    </row>
    <row r="111" spans="1:27" x14ac:dyDescent="0.3">
      <c r="A111" s="3">
        <v>45374</v>
      </c>
      <c r="B111" t="s">
        <v>11</v>
      </c>
      <c r="C111" t="s">
        <v>34</v>
      </c>
      <c r="D111" t="str">
        <f>TRIM(Table1[[#This Row],[Product]])</f>
        <v>Printer</v>
      </c>
      <c r="E111" t="str">
        <f>PROPER(Table1[[#This Row],[Column1]])</f>
        <v>Printer</v>
      </c>
      <c r="F111" s="8" t="str">
        <f t="shared" si="5"/>
        <v>Office Supplies</v>
      </c>
      <c r="G111" s="5">
        <v>14</v>
      </c>
      <c r="H111">
        <v>37.54</v>
      </c>
      <c r="I111" t="s">
        <v>57</v>
      </c>
      <c r="J111" t="s">
        <v>65</v>
      </c>
      <c r="K111" s="7">
        <v>0.15</v>
      </c>
      <c r="L111" t="s">
        <v>18</v>
      </c>
      <c r="M111" s="5">
        <v>446.72599999999989</v>
      </c>
      <c r="N111" t="s">
        <v>82</v>
      </c>
      <c r="P111" s="5">
        <v>1</v>
      </c>
      <c r="Q111" t="s">
        <v>294</v>
      </c>
      <c r="R111" t="s">
        <v>295</v>
      </c>
      <c r="S111" s="5">
        <v>49.6</v>
      </c>
      <c r="T111" s="3">
        <v>45374</v>
      </c>
      <c r="U111" s="3">
        <v>45384</v>
      </c>
      <c r="V111" t="s">
        <v>74</v>
      </c>
      <c r="W111">
        <f t="shared" si="7"/>
        <v>379.7170999999999</v>
      </c>
      <c r="X111">
        <f t="shared" si="8"/>
        <v>525.55999999999995</v>
      </c>
      <c r="Y111">
        <f t="shared" si="9"/>
        <v>145.84290000000004</v>
      </c>
      <c r="Z111" s="8" t="str">
        <f t="shared" si="6"/>
        <v>High</v>
      </c>
      <c r="AA111" s="12">
        <f>DATE(YEAR(Table1[[#This Row],[OrderDate]]),MONTH(Table1[[#This Row],[OrderDate]]),1)</f>
        <v>45352</v>
      </c>
    </row>
    <row r="112" spans="1:27" x14ac:dyDescent="0.3">
      <c r="A112" s="3">
        <v>45487</v>
      </c>
      <c r="B112" t="s">
        <v>13</v>
      </c>
      <c r="C112" t="s">
        <v>35</v>
      </c>
      <c r="D112" t="str">
        <f>TRIM(Table1[[#This Row],[Product]])</f>
        <v>Tablet</v>
      </c>
      <c r="E112" t="str">
        <f>PROPER(Table1[[#This Row],[Column1]])</f>
        <v>Tablet</v>
      </c>
      <c r="F112" s="8" t="str">
        <f t="shared" si="5"/>
        <v>Technology</v>
      </c>
      <c r="G112" s="5">
        <v>4</v>
      </c>
      <c r="H112">
        <v>151.16</v>
      </c>
      <c r="I112" t="s">
        <v>57</v>
      </c>
      <c r="J112" t="s">
        <v>58</v>
      </c>
      <c r="K112" s="7">
        <v>0</v>
      </c>
      <c r="L112" t="s">
        <v>18</v>
      </c>
      <c r="M112" s="5">
        <v>604.64</v>
      </c>
      <c r="N112" t="s">
        <v>66</v>
      </c>
      <c r="O112" t="s">
        <v>67</v>
      </c>
      <c r="P112" s="5">
        <v>1</v>
      </c>
      <c r="Q112" t="s">
        <v>296</v>
      </c>
      <c r="R112" t="s">
        <v>297</v>
      </c>
      <c r="S112" s="5">
        <v>41.4</v>
      </c>
      <c r="T112" s="3">
        <v>45487</v>
      </c>
      <c r="U112" s="3">
        <v>45494</v>
      </c>
      <c r="V112" t="s">
        <v>70</v>
      </c>
      <c r="W112">
        <f t="shared" si="7"/>
        <v>604.64</v>
      </c>
      <c r="X112">
        <f t="shared" si="8"/>
        <v>604.64</v>
      </c>
      <c r="Y112">
        <f t="shared" si="9"/>
        <v>0</v>
      </c>
      <c r="Z112" s="8" t="str">
        <f t="shared" si="6"/>
        <v>No Discount</v>
      </c>
      <c r="AA112" s="12">
        <f>DATE(YEAR(Table1[[#This Row],[OrderDate]]),MONTH(Table1[[#This Row],[OrderDate]]),1)</f>
        <v>45474</v>
      </c>
    </row>
    <row r="113" spans="1:27" x14ac:dyDescent="0.3">
      <c r="A113" s="3">
        <v>45366</v>
      </c>
      <c r="B113" t="s">
        <v>13</v>
      </c>
      <c r="C113" t="s">
        <v>35</v>
      </c>
      <c r="D113" t="str">
        <f>TRIM(Table1[[#This Row],[Product]])</f>
        <v>Tablet</v>
      </c>
      <c r="E113" t="str">
        <f>PROPER(Table1[[#This Row],[Column1]])</f>
        <v>Tablet</v>
      </c>
      <c r="F113" s="8" t="str">
        <f t="shared" si="5"/>
        <v>Technology</v>
      </c>
      <c r="G113" s="5">
        <v>17</v>
      </c>
      <c r="H113">
        <v>78.58</v>
      </c>
      <c r="I113" t="s">
        <v>64</v>
      </c>
      <c r="J113" t="s">
        <v>58</v>
      </c>
      <c r="K113" s="7">
        <v>0.1</v>
      </c>
      <c r="L113" t="s">
        <v>19</v>
      </c>
      <c r="M113" s="5">
        <v>1202.2739999999999</v>
      </c>
      <c r="N113" t="s">
        <v>66</v>
      </c>
      <c r="O113" t="s">
        <v>71</v>
      </c>
      <c r="P113" s="5">
        <v>0</v>
      </c>
      <c r="Q113" t="s">
        <v>298</v>
      </c>
      <c r="R113" t="s">
        <v>299</v>
      </c>
      <c r="S113" s="5">
        <v>8.02</v>
      </c>
      <c r="T113" s="3">
        <v>45366</v>
      </c>
      <c r="U113" s="3">
        <v>45376</v>
      </c>
      <c r="V113" t="s">
        <v>70</v>
      </c>
      <c r="W113">
        <f t="shared" si="7"/>
        <v>1082.0465999999999</v>
      </c>
      <c r="X113">
        <f t="shared" si="8"/>
        <v>1335.86</v>
      </c>
      <c r="Y113">
        <f t="shared" si="9"/>
        <v>253.8134</v>
      </c>
      <c r="Z113" s="8" t="str">
        <f t="shared" si="6"/>
        <v>Medium</v>
      </c>
      <c r="AA113" s="12">
        <f>DATE(YEAR(Table1[[#This Row],[OrderDate]]),MONTH(Table1[[#This Row],[OrderDate]]),1)</f>
        <v>45352</v>
      </c>
    </row>
    <row r="114" spans="1:27" x14ac:dyDescent="0.3">
      <c r="A114" s="3">
        <v>45766</v>
      </c>
      <c r="B114" t="s">
        <v>7</v>
      </c>
      <c r="C114" t="s">
        <v>29</v>
      </c>
      <c r="D114" t="str">
        <f>TRIM(Table1[[#This Row],[Product]])</f>
        <v>Chair</v>
      </c>
      <c r="E114" t="str">
        <f>PROPER(Table1[[#This Row],[Column1]])</f>
        <v>Chair</v>
      </c>
      <c r="F114" s="8" t="str">
        <f t="shared" si="5"/>
        <v>Furniture</v>
      </c>
      <c r="G114" s="5">
        <v>15</v>
      </c>
      <c r="H114">
        <v>37.33</v>
      </c>
      <c r="I114" t="s">
        <v>57</v>
      </c>
      <c r="J114" t="s">
        <v>65</v>
      </c>
      <c r="K114" s="7">
        <v>0.05</v>
      </c>
      <c r="L114" t="s">
        <v>21</v>
      </c>
      <c r="M114" s="5">
        <v>531.95249999999987</v>
      </c>
      <c r="N114" t="s">
        <v>88</v>
      </c>
      <c r="P114" s="5">
        <v>1</v>
      </c>
      <c r="Q114" t="s">
        <v>300</v>
      </c>
      <c r="R114" t="s">
        <v>301</v>
      </c>
      <c r="S114" s="5">
        <v>43.69</v>
      </c>
      <c r="T114" s="3">
        <v>45766</v>
      </c>
      <c r="U114" s="3">
        <v>45771</v>
      </c>
      <c r="V114" t="s">
        <v>77</v>
      </c>
      <c r="W114">
        <f t="shared" si="7"/>
        <v>505.35487499999988</v>
      </c>
      <c r="X114">
        <f t="shared" si="8"/>
        <v>559.94999999999993</v>
      </c>
      <c r="Y114">
        <f t="shared" si="9"/>
        <v>54.595125000000053</v>
      </c>
      <c r="Z114" s="8" t="str">
        <f t="shared" si="6"/>
        <v>Medium</v>
      </c>
      <c r="AA114" s="12">
        <f>DATE(YEAR(Table1[[#This Row],[OrderDate]]),MONTH(Table1[[#This Row],[OrderDate]]),1)</f>
        <v>45748</v>
      </c>
    </row>
    <row r="115" spans="1:27" x14ac:dyDescent="0.3">
      <c r="A115" s="3">
        <v>45337</v>
      </c>
      <c r="B115" t="s">
        <v>16</v>
      </c>
      <c r="C115" t="s">
        <v>35</v>
      </c>
      <c r="D115" t="str">
        <f>TRIM(Table1[[#This Row],[Product]])</f>
        <v>Tablet</v>
      </c>
      <c r="E115" t="str">
        <f>PROPER(Table1[[#This Row],[Column1]])</f>
        <v>Tablet</v>
      </c>
      <c r="F115" s="8" t="str">
        <f t="shared" si="5"/>
        <v>Technology</v>
      </c>
      <c r="G115" s="5">
        <v>18</v>
      </c>
      <c r="H115">
        <v>537.02</v>
      </c>
      <c r="I115" t="s">
        <v>64</v>
      </c>
      <c r="J115" t="s">
        <v>58</v>
      </c>
      <c r="K115" s="7">
        <v>0.15</v>
      </c>
      <c r="L115" t="s">
        <v>21</v>
      </c>
      <c r="M115" s="5">
        <v>8216.4060000000009</v>
      </c>
      <c r="N115" t="s">
        <v>85</v>
      </c>
      <c r="O115" t="s">
        <v>67</v>
      </c>
      <c r="P115" s="5">
        <v>0</v>
      </c>
      <c r="Q115" t="s">
        <v>302</v>
      </c>
      <c r="R115" t="s">
        <v>303</v>
      </c>
      <c r="S115" s="5">
        <v>23.94</v>
      </c>
      <c r="T115" s="3">
        <v>45337</v>
      </c>
      <c r="U115" s="3">
        <v>45342</v>
      </c>
      <c r="V115" t="s">
        <v>95</v>
      </c>
      <c r="W115">
        <f t="shared" si="7"/>
        <v>6983.9451000000008</v>
      </c>
      <c r="X115">
        <f t="shared" si="8"/>
        <v>9666.36</v>
      </c>
      <c r="Y115">
        <f t="shared" si="9"/>
        <v>2682.4148999999998</v>
      </c>
      <c r="Z115" s="8" t="str">
        <f t="shared" si="6"/>
        <v>High</v>
      </c>
      <c r="AA115" s="12">
        <f>DATE(YEAR(Table1[[#This Row],[OrderDate]]),MONTH(Table1[[#This Row],[OrderDate]]),1)</f>
        <v>45323</v>
      </c>
    </row>
    <row r="116" spans="1:27" x14ac:dyDescent="0.3">
      <c r="A116" s="3">
        <v>45316</v>
      </c>
      <c r="B116" t="s">
        <v>9</v>
      </c>
      <c r="C116" t="s">
        <v>30</v>
      </c>
      <c r="D116" t="str">
        <f>TRIM(Table1[[#This Row],[Product]])</f>
        <v>Desk</v>
      </c>
      <c r="E116" t="str">
        <f>PROPER(Table1[[#This Row],[Column1]])</f>
        <v>Desk</v>
      </c>
      <c r="F116" s="8" t="str">
        <f t="shared" si="5"/>
        <v>Furniture</v>
      </c>
      <c r="G116" s="5">
        <v>5</v>
      </c>
      <c r="H116">
        <v>215.6</v>
      </c>
      <c r="I116" t="s">
        <v>78</v>
      </c>
      <c r="J116" t="s">
        <v>58</v>
      </c>
      <c r="K116" s="7">
        <v>0</v>
      </c>
      <c r="L116" t="s">
        <v>27</v>
      </c>
      <c r="M116" s="5">
        <v>1078</v>
      </c>
      <c r="N116" t="s">
        <v>59</v>
      </c>
      <c r="O116" t="s">
        <v>71</v>
      </c>
      <c r="P116" s="5">
        <v>0</v>
      </c>
      <c r="Q116" t="s">
        <v>304</v>
      </c>
      <c r="R116" t="s">
        <v>305</v>
      </c>
      <c r="S116" s="5">
        <v>28.36</v>
      </c>
      <c r="T116" s="3">
        <v>45316</v>
      </c>
      <c r="U116" s="3">
        <v>45326</v>
      </c>
      <c r="V116" t="s">
        <v>63</v>
      </c>
      <c r="W116">
        <f t="shared" si="7"/>
        <v>1078</v>
      </c>
      <c r="X116">
        <f t="shared" si="8"/>
        <v>1078</v>
      </c>
      <c r="Y116">
        <f t="shared" si="9"/>
        <v>0</v>
      </c>
      <c r="Z116" s="8" t="str">
        <f t="shared" si="6"/>
        <v>No Discount</v>
      </c>
      <c r="AA116" s="12">
        <f>DATE(YEAR(Table1[[#This Row],[OrderDate]]),MONTH(Table1[[#This Row],[OrderDate]]),1)</f>
        <v>45292</v>
      </c>
    </row>
    <row r="117" spans="1:27" x14ac:dyDescent="0.3">
      <c r="A117" s="3">
        <v>45762</v>
      </c>
      <c r="B117" t="s">
        <v>7</v>
      </c>
      <c r="C117" t="s">
        <v>31</v>
      </c>
      <c r="D117" t="str">
        <f>TRIM(Table1[[#This Row],[Product]])</f>
        <v>Laptop</v>
      </c>
      <c r="E117" t="str">
        <f>PROPER(Table1[[#This Row],[Column1]])</f>
        <v>Laptop</v>
      </c>
      <c r="F117" s="8" t="str">
        <f t="shared" si="5"/>
        <v>Technology</v>
      </c>
      <c r="G117" s="5">
        <v>18</v>
      </c>
      <c r="H117">
        <v>209.5</v>
      </c>
      <c r="I117" t="s">
        <v>81</v>
      </c>
      <c r="J117" t="s">
        <v>58</v>
      </c>
      <c r="K117" s="7">
        <v>0</v>
      </c>
      <c r="L117" t="s">
        <v>21</v>
      </c>
      <c r="M117" s="5">
        <v>3771</v>
      </c>
      <c r="N117" t="s">
        <v>82</v>
      </c>
      <c r="O117" t="s">
        <v>60</v>
      </c>
      <c r="P117" s="5">
        <v>0</v>
      </c>
      <c r="Q117" t="s">
        <v>306</v>
      </c>
      <c r="R117" t="s">
        <v>307</v>
      </c>
      <c r="S117" s="5">
        <v>38.229999999999997</v>
      </c>
      <c r="T117" s="3">
        <v>45762</v>
      </c>
      <c r="U117" s="3">
        <v>45770</v>
      </c>
      <c r="V117" t="s">
        <v>77</v>
      </c>
      <c r="W117">
        <f t="shared" si="7"/>
        <v>3771</v>
      </c>
      <c r="X117">
        <f t="shared" si="8"/>
        <v>3771</v>
      </c>
      <c r="Y117">
        <f t="shared" si="9"/>
        <v>0</v>
      </c>
      <c r="Z117" s="8" t="str">
        <f t="shared" si="6"/>
        <v>No Discount</v>
      </c>
      <c r="AA117" s="12">
        <f>DATE(YEAR(Table1[[#This Row],[OrderDate]]),MONTH(Table1[[#This Row],[OrderDate]]),1)</f>
        <v>45748</v>
      </c>
    </row>
    <row r="118" spans="1:27" x14ac:dyDescent="0.3">
      <c r="A118" s="3">
        <v>45762</v>
      </c>
      <c r="B118" t="s">
        <v>7</v>
      </c>
      <c r="C118" t="s">
        <v>29</v>
      </c>
      <c r="D118" t="str">
        <f>TRIM(Table1[[#This Row],[Product]])</f>
        <v>Chair</v>
      </c>
      <c r="E118" t="str">
        <f>PROPER(Table1[[#This Row],[Column1]])</f>
        <v>Chair</v>
      </c>
      <c r="F118" s="8" t="str">
        <f t="shared" si="5"/>
        <v>Furniture</v>
      </c>
      <c r="G118" s="5">
        <v>8</v>
      </c>
      <c r="H118">
        <v>348.98</v>
      </c>
      <c r="I118" t="s">
        <v>64</v>
      </c>
      <c r="J118" t="s">
        <v>65</v>
      </c>
      <c r="K118" s="7">
        <v>0.1</v>
      </c>
      <c r="L118" t="s">
        <v>27</v>
      </c>
      <c r="M118" s="5">
        <v>2512.6559999999999</v>
      </c>
      <c r="N118" t="s">
        <v>59</v>
      </c>
      <c r="O118" t="s">
        <v>60</v>
      </c>
      <c r="P118" s="5">
        <v>0</v>
      </c>
      <c r="Q118" t="s">
        <v>308</v>
      </c>
      <c r="R118" t="s">
        <v>309</v>
      </c>
      <c r="S118" s="5">
        <v>19.170000000000002</v>
      </c>
      <c r="T118" s="3">
        <v>45762</v>
      </c>
      <c r="U118" s="3">
        <v>45767</v>
      </c>
      <c r="V118" t="s">
        <v>77</v>
      </c>
      <c r="W118">
        <f t="shared" si="7"/>
        <v>2261.3904000000002</v>
      </c>
      <c r="X118">
        <f t="shared" si="8"/>
        <v>2791.84</v>
      </c>
      <c r="Y118">
        <f t="shared" si="9"/>
        <v>530.44959999999992</v>
      </c>
      <c r="Z118" s="8" t="str">
        <f t="shared" si="6"/>
        <v>Medium</v>
      </c>
      <c r="AA118" s="12">
        <f>DATE(YEAR(Table1[[#This Row],[OrderDate]]),MONTH(Table1[[#This Row],[OrderDate]]),1)</f>
        <v>45748</v>
      </c>
    </row>
    <row r="119" spans="1:27" x14ac:dyDescent="0.3">
      <c r="A119" s="3">
        <v>45515</v>
      </c>
      <c r="B119" t="s">
        <v>16</v>
      </c>
      <c r="C119" t="s">
        <v>34</v>
      </c>
      <c r="D119" t="str">
        <f>TRIM(Table1[[#This Row],[Product]])</f>
        <v>Printer</v>
      </c>
      <c r="E119" t="str">
        <f>PROPER(Table1[[#This Row],[Column1]])</f>
        <v>Printer</v>
      </c>
      <c r="F119" s="8" t="str">
        <f t="shared" si="5"/>
        <v>Office Supplies</v>
      </c>
      <c r="G119" s="5">
        <v>2</v>
      </c>
      <c r="H119">
        <v>289.14</v>
      </c>
      <c r="I119" t="s">
        <v>78</v>
      </c>
      <c r="J119" t="s">
        <v>65</v>
      </c>
      <c r="K119" s="7">
        <v>0.05</v>
      </c>
      <c r="L119" t="s">
        <v>23</v>
      </c>
      <c r="M119" s="5">
        <v>549.36599999999999</v>
      </c>
      <c r="N119" t="s">
        <v>59</v>
      </c>
      <c r="O119" t="s">
        <v>67</v>
      </c>
      <c r="P119" s="5">
        <v>0</v>
      </c>
      <c r="Q119" t="s">
        <v>310</v>
      </c>
      <c r="R119" t="s">
        <v>311</v>
      </c>
      <c r="S119" s="5">
        <v>5.13</v>
      </c>
      <c r="T119" s="3">
        <v>45515</v>
      </c>
      <c r="U119" s="3">
        <v>45517</v>
      </c>
      <c r="V119" t="s">
        <v>95</v>
      </c>
      <c r="W119">
        <f t="shared" si="7"/>
        <v>521.89769999999999</v>
      </c>
      <c r="X119">
        <f t="shared" si="8"/>
        <v>578.28</v>
      </c>
      <c r="Y119">
        <f t="shared" si="9"/>
        <v>56.382299999999987</v>
      </c>
      <c r="Z119" s="8" t="str">
        <f t="shared" si="6"/>
        <v>Medium</v>
      </c>
      <c r="AA119" s="12">
        <f>DATE(YEAR(Table1[[#This Row],[OrderDate]]),MONTH(Table1[[#This Row],[OrderDate]]),1)</f>
        <v>45505</v>
      </c>
    </row>
    <row r="120" spans="1:27" x14ac:dyDescent="0.3">
      <c r="A120" s="3">
        <v>45261</v>
      </c>
      <c r="B120" t="s">
        <v>13</v>
      </c>
      <c r="C120" t="s">
        <v>30</v>
      </c>
      <c r="D120" t="str">
        <f>TRIM(Table1[[#This Row],[Product]])</f>
        <v>Desk</v>
      </c>
      <c r="E120" t="str">
        <f>PROPER(Table1[[#This Row],[Column1]])</f>
        <v>Desk</v>
      </c>
      <c r="F120" s="8" t="str">
        <f t="shared" si="5"/>
        <v>Furniture</v>
      </c>
      <c r="G120" s="5">
        <v>5</v>
      </c>
      <c r="H120">
        <v>396.93</v>
      </c>
      <c r="I120" t="s">
        <v>57</v>
      </c>
      <c r="J120" t="s">
        <v>58</v>
      </c>
      <c r="K120" s="7">
        <v>0</v>
      </c>
      <c r="L120" t="s">
        <v>23</v>
      </c>
      <c r="M120" s="5">
        <v>1984.65</v>
      </c>
      <c r="N120" t="s">
        <v>82</v>
      </c>
      <c r="O120" t="s">
        <v>60</v>
      </c>
      <c r="P120" s="5">
        <v>0</v>
      </c>
      <c r="Q120" t="s">
        <v>312</v>
      </c>
      <c r="R120" t="s">
        <v>313</v>
      </c>
      <c r="S120" s="5">
        <v>48.63</v>
      </c>
      <c r="T120" s="3">
        <v>45261</v>
      </c>
      <c r="U120" s="3">
        <v>45268</v>
      </c>
      <c r="V120" t="s">
        <v>70</v>
      </c>
      <c r="W120">
        <f t="shared" si="7"/>
        <v>1984.65</v>
      </c>
      <c r="X120">
        <f t="shared" si="8"/>
        <v>1984.65</v>
      </c>
      <c r="Y120">
        <f t="shared" si="9"/>
        <v>0</v>
      </c>
      <c r="Z120" s="8" t="str">
        <f t="shared" si="6"/>
        <v>No Discount</v>
      </c>
      <c r="AA120" s="12">
        <f>DATE(YEAR(Table1[[#This Row],[OrderDate]]),MONTH(Table1[[#This Row],[OrderDate]]),1)</f>
        <v>45261</v>
      </c>
    </row>
    <row r="121" spans="1:27" x14ac:dyDescent="0.3">
      <c r="A121" s="3">
        <v>45144</v>
      </c>
      <c r="B121" t="s">
        <v>7</v>
      </c>
      <c r="C121" t="s">
        <v>31</v>
      </c>
      <c r="D121" t="str">
        <f>TRIM(Table1[[#This Row],[Product]])</f>
        <v>Laptop</v>
      </c>
      <c r="E121" t="str">
        <f>PROPER(Table1[[#This Row],[Column1]])</f>
        <v>Laptop</v>
      </c>
      <c r="F121" s="8" t="str">
        <f t="shared" si="5"/>
        <v>Technology</v>
      </c>
      <c r="G121" s="5">
        <v>10</v>
      </c>
      <c r="H121">
        <v>508.57</v>
      </c>
      <c r="I121" t="s">
        <v>81</v>
      </c>
      <c r="J121" t="s">
        <v>65</v>
      </c>
      <c r="K121" s="7">
        <v>0.05</v>
      </c>
      <c r="L121" t="s">
        <v>19</v>
      </c>
      <c r="M121" s="5">
        <v>4831.415</v>
      </c>
      <c r="N121" t="s">
        <v>59</v>
      </c>
      <c r="O121" t="s">
        <v>67</v>
      </c>
      <c r="P121" s="5">
        <v>0</v>
      </c>
      <c r="Q121" t="s">
        <v>314</v>
      </c>
      <c r="R121" t="s">
        <v>315</v>
      </c>
      <c r="S121" s="5">
        <v>9.35</v>
      </c>
      <c r="T121" s="3">
        <v>45144</v>
      </c>
      <c r="U121" s="3">
        <v>45149</v>
      </c>
      <c r="V121" t="s">
        <v>77</v>
      </c>
      <c r="W121">
        <f t="shared" si="7"/>
        <v>4589.8442500000001</v>
      </c>
      <c r="X121">
        <f t="shared" si="8"/>
        <v>5085.7</v>
      </c>
      <c r="Y121">
        <f t="shared" si="9"/>
        <v>495.85574999999972</v>
      </c>
      <c r="Z121" s="8" t="str">
        <f t="shared" si="6"/>
        <v>Medium</v>
      </c>
      <c r="AA121" s="12">
        <f>DATE(YEAR(Table1[[#This Row],[OrderDate]]),MONTH(Table1[[#This Row],[OrderDate]]),1)</f>
        <v>45139</v>
      </c>
    </row>
    <row r="122" spans="1:27" x14ac:dyDescent="0.3">
      <c r="A122" s="3">
        <v>45315</v>
      </c>
      <c r="B122" t="s">
        <v>7</v>
      </c>
      <c r="C122" t="s">
        <v>31</v>
      </c>
      <c r="D122" t="str">
        <f>TRIM(Table1[[#This Row],[Product]])</f>
        <v>Laptop</v>
      </c>
      <c r="E122" t="str">
        <f>PROPER(Table1[[#This Row],[Column1]])</f>
        <v>Laptop</v>
      </c>
      <c r="F122" s="8" t="str">
        <f t="shared" si="5"/>
        <v>Technology</v>
      </c>
      <c r="G122" s="5">
        <v>11</v>
      </c>
      <c r="H122">
        <v>259.61</v>
      </c>
      <c r="I122" t="s">
        <v>78</v>
      </c>
      <c r="J122" t="s">
        <v>58</v>
      </c>
      <c r="K122" s="7">
        <v>0.1</v>
      </c>
      <c r="L122" t="s">
        <v>21</v>
      </c>
      <c r="M122" s="5">
        <v>2570.1390000000001</v>
      </c>
      <c r="N122" t="s">
        <v>88</v>
      </c>
      <c r="O122" t="s">
        <v>60</v>
      </c>
      <c r="P122" s="5">
        <v>0</v>
      </c>
      <c r="Q122" t="s">
        <v>316</v>
      </c>
      <c r="R122" t="s">
        <v>317</v>
      </c>
      <c r="S122" s="5">
        <v>13.73</v>
      </c>
      <c r="T122" s="3">
        <v>45315</v>
      </c>
      <c r="U122" s="3">
        <v>45322</v>
      </c>
      <c r="V122" t="s">
        <v>77</v>
      </c>
      <c r="W122">
        <f t="shared" si="7"/>
        <v>2313.1251000000002</v>
      </c>
      <c r="X122">
        <f t="shared" si="8"/>
        <v>2855.71</v>
      </c>
      <c r="Y122">
        <f t="shared" si="9"/>
        <v>542.58489999999983</v>
      </c>
      <c r="Z122" s="8" t="str">
        <f t="shared" si="6"/>
        <v>Medium</v>
      </c>
      <c r="AA122" s="12">
        <f>DATE(YEAR(Table1[[#This Row],[OrderDate]]),MONTH(Table1[[#This Row],[OrderDate]]),1)</f>
        <v>45292</v>
      </c>
    </row>
    <row r="123" spans="1:27" x14ac:dyDescent="0.3">
      <c r="A123" s="3">
        <v>45358</v>
      </c>
      <c r="B123" t="s">
        <v>7</v>
      </c>
      <c r="C123" t="s">
        <v>29</v>
      </c>
      <c r="D123" t="str">
        <f>TRIM(Table1[[#This Row],[Product]])</f>
        <v>Chair</v>
      </c>
      <c r="E123" t="str">
        <f>PROPER(Table1[[#This Row],[Column1]])</f>
        <v>Chair</v>
      </c>
      <c r="F123" s="8" t="str">
        <f t="shared" si="5"/>
        <v>Furniture</v>
      </c>
      <c r="G123" s="5">
        <v>9</v>
      </c>
      <c r="H123">
        <v>313.29000000000002</v>
      </c>
      <c r="I123" t="s">
        <v>81</v>
      </c>
      <c r="J123" t="s">
        <v>65</v>
      </c>
      <c r="K123" s="7">
        <v>0</v>
      </c>
      <c r="L123" t="s">
        <v>21</v>
      </c>
      <c r="M123" s="5">
        <v>2819.61</v>
      </c>
      <c r="N123" t="s">
        <v>59</v>
      </c>
      <c r="O123" t="s">
        <v>60</v>
      </c>
      <c r="P123" s="5">
        <v>0</v>
      </c>
      <c r="Q123" t="s">
        <v>318</v>
      </c>
      <c r="R123" t="s">
        <v>319</v>
      </c>
      <c r="S123" s="5">
        <v>14.04</v>
      </c>
      <c r="T123" s="3">
        <v>45358</v>
      </c>
      <c r="U123" s="3">
        <v>45364</v>
      </c>
      <c r="V123" t="s">
        <v>77</v>
      </c>
      <c r="W123">
        <f t="shared" si="7"/>
        <v>2819.61</v>
      </c>
      <c r="X123">
        <f t="shared" si="8"/>
        <v>2819.61</v>
      </c>
      <c r="Y123">
        <f t="shared" si="9"/>
        <v>0</v>
      </c>
      <c r="Z123" s="8" t="str">
        <f t="shared" si="6"/>
        <v>No Discount</v>
      </c>
      <c r="AA123" s="12">
        <f>DATE(YEAR(Table1[[#This Row],[OrderDate]]),MONTH(Table1[[#This Row],[OrderDate]]),1)</f>
        <v>45352</v>
      </c>
    </row>
    <row r="124" spans="1:27" x14ac:dyDescent="0.3">
      <c r="A124" s="3">
        <v>45313</v>
      </c>
      <c r="B124" t="s">
        <v>13</v>
      </c>
      <c r="C124" t="s">
        <v>35</v>
      </c>
      <c r="D124" t="str">
        <f>TRIM(Table1[[#This Row],[Product]])</f>
        <v>Tablet</v>
      </c>
      <c r="E124" t="str">
        <f>PROPER(Table1[[#This Row],[Column1]])</f>
        <v>Tablet</v>
      </c>
      <c r="F124" s="8" t="str">
        <f t="shared" si="5"/>
        <v>Technology</v>
      </c>
      <c r="G124" s="5">
        <v>5</v>
      </c>
      <c r="H124">
        <v>106.57</v>
      </c>
      <c r="I124" t="s">
        <v>78</v>
      </c>
      <c r="J124" t="s">
        <v>58</v>
      </c>
      <c r="K124" s="7">
        <v>0.1</v>
      </c>
      <c r="L124" t="s">
        <v>21</v>
      </c>
      <c r="M124" s="5">
        <v>479.56499999999988</v>
      </c>
      <c r="N124" t="s">
        <v>85</v>
      </c>
      <c r="O124" t="s">
        <v>67</v>
      </c>
      <c r="P124" s="5">
        <v>1</v>
      </c>
      <c r="Q124" t="s">
        <v>320</v>
      </c>
      <c r="R124" t="s">
        <v>321</v>
      </c>
      <c r="S124" s="5">
        <v>25.24</v>
      </c>
      <c r="T124" s="3">
        <v>45313</v>
      </c>
      <c r="U124" s="3">
        <v>45319</v>
      </c>
      <c r="V124" t="s">
        <v>70</v>
      </c>
      <c r="W124">
        <f t="shared" si="7"/>
        <v>431.60849999999988</v>
      </c>
      <c r="X124">
        <f t="shared" si="8"/>
        <v>532.84999999999991</v>
      </c>
      <c r="Y124">
        <f t="shared" si="9"/>
        <v>101.24150000000003</v>
      </c>
      <c r="Z124" s="8" t="str">
        <f t="shared" si="6"/>
        <v>Medium</v>
      </c>
      <c r="AA124" s="12">
        <f>DATE(YEAR(Table1[[#This Row],[OrderDate]]),MONTH(Table1[[#This Row],[OrderDate]]),1)</f>
        <v>45292</v>
      </c>
    </row>
    <row r="125" spans="1:27" x14ac:dyDescent="0.3">
      <c r="A125" s="3">
        <v>44980</v>
      </c>
      <c r="B125" t="s">
        <v>9</v>
      </c>
      <c r="C125" t="s">
        <v>34</v>
      </c>
      <c r="D125" t="str">
        <f>TRIM(Table1[[#This Row],[Product]])</f>
        <v>Printer</v>
      </c>
      <c r="E125" t="str">
        <f>PROPER(Table1[[#This Row],[Column1]])</f>
        <v>Printer</v>
      </c>
      <c r="F125" s="8" t="str">
        <f t="shared" si="5"/>
        <v>Office Supplies</v>
      </c>
      <c r="G125" s="5">
        <v>1</v>
      </c>
      <c r="H125">
        <v>109</v>
      </c>
      <c r="I125" t="s">
        <v>57</v>
      </c>
      <c r="J125" t="s">
        <v>65</v>
      </c>
      <c r="K125" s="7">
        <v>0.15</v>
      </c>
      <c r="L125" t="s">
        <v>27</v>
      </c>
      <c r="M125" s="5">
        <v>92.649999999999991</v>
      </c>
      <c r="N125" t="s">
        <v>88</v>
      </c>
      <c r="O125" t="s">
        <v>71</v>
      </c>
      <c r="P125" s="5">
        <v>1</v>
      </c>
      <c r="Q125" t="s">
        <v>322</v>
      </c>
      <c r="R125" t="s">
        <v>323</v>
      </c>
      <c r="S125" s="5">
        <v>8.0299999999999994</v>
      </c>
      <c r="T125" s="3">
        <v>44980</v>
      </c>
      <c r="U125" s="3">
        <v>44984</v>
      </c>
      <c r="V125" t="s">
        <v>63</v>
      </c>
      <c r="W125">
        <f t="shared" si="7"/>
        <v>78.752499999999998</v>
      </c>
      <c r="X125">
        <f t="shared" si="8"/>
        <v>109</v>
      </c>
      <c r="Y125">
        <f t="shared" si="9"/>
        <v>30.247500000000002</v>
      </c>
      <c r="Z125" s="8" t="str">
        <f t="shared" si="6"/>
        <v>High</v>
      </c>
      <c r="AA125" s="12">
        <f>DATE(YEAR(Table1[[#This Row],[OrderDate]]),MONTH(Table1[[#This Row],[OrderDate]]),1)</f>
        <v>44958</v>
      </c>
    </row>
    <row r="126" spans="1:27" x14ac:dyDescent="0.3">
      <c r="A126" s="3">
        <v>45091</v>
      </c>
      <c r="B126" t="s">
        <v>11</v>
      </c>
      <c r="C126" t="s">
        <v>35</v>
      </c>
      <c r="D126" t="str">
        <f>TRIM(Table1[[#This Row],[Product]])</f>
        <v>Tablet</v>
      </c>
      <c r="E126" t="str">
        <f>PROPER(Table1[[#This Row],[Column1]])</f>
        <v>Tablet</v>
      </c>
      <c r="F126" s="8" t="str">
        <f t="shared" si="5"/>
        <v>Technology</v>
      </c>
      <c r="G126" s="5">
        <v>8</v>
      </c>
      <c r="H126">
        <v>323.8</v>
      </c>
      <c r="I126" t="s">
        <v>57</v>
      </c>
      <c r="J126" t="s">
        <v>65</v>
      </c>
      <c r="K126" s="7">
        <v>0</v>
      </c>
      <c r="L126" t="s">
        <v>23</v>
      </c>
      <c r="M126" s="5">
        <v>2590.4</v>
      </c>
      <c r="N126" t="s">
        <v>88</v>
      </c>
      <c r="O126" t="s">
        <v>67</v>
      </c>
      <c r="P126" s="5">
        <v>1</v>
      </c>
      <c r="Q126" t="s">
        <v>324</v>
      </c>
      <c r="R126" t="s">
        <v>325</v>
      </c>
      <c r="S126" s="5">
        <v>35.229999999999997</v>
      </c>
      <c r="T126" s="3">
        <v>45091</v>
      </c>
      <c r="U126" s="3">
        <v>45099</v>
      </c>
      <c r="V126" t="s">
        <v>74</v>
      </c>
      <c r="W126">
        <f t="shared" si="7"/>
        <v>2590.4</v>
      </c>
      <c r="X126">
        <f t="shared" si="8"/>
        <v>2590.4</v>
      </c>
      <c r="Y126">
        <f t="shared" si="9"/>
        <v>0</v>
      </c>
      <c r="Z126" s="8" t="str">
        <f t="shared" si="6"/>
        <v>No Discount</v>
      </c>
      <c r="AA126" s="12">
        <f>DATE(YEAR(Table1[[#This Row],[OrderDate]]),MONTH(Table1[[#This Row],[OrderDate]]),1)</f>
        <v>45078</v>
      </c>
    </row>
    <row r="127" spans="1:27" x14ac:dyDescent="0.3">
      <c r="A127" s="3">
        <v>45790</v>
      </c>
      <c r="B127" t="s">
        <v>11</v>
      </c>
      <c r="C127" t="s">
        <v>31</v>
      </c>
      <c r="D127" t="str">
        <f>TRIM(Table1[[#This Row],[Product]])</f>
        <v>Laptop</v>
      </c>
      <c r="E127" t="str">
        <f>PROPER(Table1[[#This Row],[Column1]])</f>
        <v>Laptop</v>
      </c>
      <c r="F127" s="8" t="str">
        <f t="shared" si="5"/>
        <v>Technology</v>
      </c>
      <c r="G127" s="5">
        <v>16</v>
      </c>
      <c r="H127">
        <v>384.32</v>
      </c>
      <c r="I127" t="s">
        <v>64</v>
      </c>
      <c r="J127" t="s">
        <v>65</v>
      </c>
      <c r="K127" s="7">
        <v>0.05</v>
      </c>
      <c r="L127" t="s">
        <v>27</v>
      </c>
      <c r="M127" s="5">
        <v>5841.6639999999998</v>
      </c>
      <c r="N127" t="s">
        <v>88</v>
      </c>
      <c r="O127" t="s">
        <v>60</v>
      </c>
      <c r="P127" s="5">
        <v>0</v>
      </c>
      <c r="Q127" t="s">
        <v>326</v>
      </c>
      <c r="R127" t="s">
        <v>327</v>
      </c>
      <c r="S127" s="5">
        <v>21.5</v>
      </c>
      <c r="T127" s="3">
        <v>45790</v>
      </c>
      <c r="U127" s="3">
        <v>45792</v>
      </c>
      <c r="V127" t="s">
        <v>74</v>
      </c>
      <c r="W127">
        <f t="shared" si="7"/>
        <v>5549.5807999999997</v>
      </c>
      <c r="X127">
        <f t="shared" si="8"/>
        <v>6149.12</v>
      </c>
      <c r="Y127">
        <f t="shared" si="9"/>
        <v>599.53920000000016</v>
      </c>
      <c r="Z127" s="8" t="str">
        <f t="shared" si="6"/>
        <v>Medium</v>
      </c>
      <c r="AA127" s="12">
        <f>DATE(YEAR(Table1[[#This Row],[OrderDate]]),MONTH(Table1[[#This Row],[OrderDate]]),1)</f>
        <v>45778</v>
      </c>
    </row>
    <row r="128" spans="1:27" x14ac:dyDescent="0.3">
      <c r="A128" s="3">
        <v>45503</v>
      </c>
      <c r="B128" t="s">
        <v>7</v>
      </c>
      <c r="C128" t="s">
        <v>34</v>
      </c>
      <c r="D128" t="str">
        <f>TRIM(Table1[[#This Row],[Product]])</f>
        <v>Printer</v>
      </c>
      <c r="E128" t="str">
        <f>PROPER(Table1[[#This Row],[Column1]])</f>
        <v>Printer</v>
      </c>
      <c r="F128" s="8" t="str">
        <f t="shared" si="5"/>
        <v>Office Supplies</v>
      </c>
      <c r="G128" s="5">
        <v>16</v>
      </c>
      <c r="H128">
        <v>163.86</v>
      </c>
      <c r="I128" t="s">
        <v>78</v>
      </c>
      <c r="J128" t="s">
        <v>65</v>
      </c>
      <c r="K128" s="7">
        <v>0.15</v>
      </c>
      <c r="L128" t="s">
        <v>23</v>
      </c>
      <c r="M128" s="5">
        <v>2228.4960000000001</v>
      </c>
      <c r="N128" t="s">
        <v>66</v>
      </c>
      <c r="O128" t="s">
        <v>60</v>
      </c>
      <c r="P128" s="5">
        <v>0</v>
      </c>
      <c r="Q128" t="s">
        <v>328</v>
      </c>
      <c r="R128" t="s">
        <v>329</v>
      </c>
      <c r="S128" s="5">
        <v>37.950000000000003</v>
      </c>
      <c r="T128" s="3">
        <v>45503</v>
      </c>
      <c r="U128" s="3">
        <v>45510</v>
      </c>
      <c r="V128" t="s">
        <v>77</v>
      </c>
      <c r="W128">
        <f t="shared" si="7"/>
        <v>1894.2216000000001</v>
      </c>
      <c r="X128">
        <f t="shared" si="8"/>
        <v>2621.76</v>
      </c>
      <c r="Y128">
        <f t="shared" si="9"/>
        <v>727.53840000000014</v>
      </c>
      <c r="Z128" s="8" t="str">
        <f t="shared" si="6"/>
        <v>High</v>
      </c>
      <c r="AA128" s="12">
        <f>DATE(YEAR(Table1[[#This Row],[OrderDate]]),MONTH(Table1[[#This Row],[OrderDate]]),1)</f>
        <v>45474</v>
      </c>
    </row>
    <row r="129" spans="1:27" x14ac:dyDescent="0.3">
      <c r="A129" s="3">
        <v>45491</v>
      </c>
      <c r="B129" t="s">
        <v>9</v>
      </c>
      <c r="C129" t="s">
        <v>35</v>
      </c>
      <c r="D129" t="str">
        <f>TRIM(Table1[[#This Row],[Product]])</f>
        <v>Tablet</v>
      </c>
      <c r="E129" t="str">
        <f>PROPER(Table1[[#This Row],[Column1]])</f>
        <v>Tablet</v>
      </c>
      <c r="F129" s="8" t="str">
        <f t="shared" si="5"/>
        <v>Technology</v>
      </c>
      <c r="G129" s="5">
        <v>5</v>
      </c>
      <c r="H129">
        <v>23.41</v>
      </c>
      <c r="I129" t="s">
        <v>57</v>
      </c>
      <c r="J129" t="s">
        <v>58</v>
      </c>
      <c r="K129" s="7">
        <v>0</v>
      </c>
      <c r="L129" t="s">
        <v>27</v>
      </c>
      <c r="M129" s="5">
        <v>117.05</v>
      </c>
      <c r="N129" t="s">
        <v>82</v>
      </c>
      <c r="O129" t="s">
        <v>71</v>
      </c>
      <c r="P129" s="5">
        <v>0</v>
      </c>
      <c r="Q129" t="s">
        <v>330</v>
      </c>
      <c r="R129" t="s">
        <v>331</v>
      </c>
      <c r="S129" s="5">
        <v>26.44</v>
      </c>
      <c r="T129" s="3">
        <v>45491</v>
      </c>
      <c r="U129" s="3">
        <v>45500</v>
      </c>
      <c r="V129" t="s">
        <v>63</v>
      </c>
      <c r="W129">
        <f t="shared" si="7"/>
        <v>117.05</v>
      </c>
      <c r="X129">
        <f t="shared" si="8"/>
        <v>117.05</v>
      </c>
      <c r="Y129">
        <f t="shared" si="9"/>
        <v>0</v>
      </c>
      <c r="Z129" s="8" t="str">
        <f t="shared" si="6"/>
        <v>No Discount</v>
      </c>
      <c r="AA129" s="12">
        <f>DATE(YEAR(Table1[[#This Row],[OrderDate]]),MONTH(Table1[[#This Row],[OrderDate]]),1)</f>
        <v>45474</v>
      </c>
    </row>
    <row r="130" spans="1:27" x14ac:dyDescent="0.3">
      <c r="A130" s="3">
        <v>45530</v>
      </c>
      <c r="B130" t="s">
        <v>9</v>
      </c>
      <c r="C130" t="s">
        <v>34</v>
      </c>
      <c r="D130" t="str">
        <f>TRIM(Table1[[#This Row],[Product]])</f>
        <v>Printer</v>
      </c>
      <c r="E130" t="str">
        <f>PROPER(Table1[[#This Row],[Column1]])</f>
        <v>Printer</v>
      </c>
      <c r="F130" s="8" t="str">
        <f t="shared" ref="F130:F193" si="10">IF(OR(E130="Chair",E130="Desk"),"Furniture",IF(OR(E130="Laptop",E130="Monitor",E130="Phone",E130="Tablet"),"Technology",IF(E130="Printer","Office Supplies","Other")))</f>
        <v>Office Supplies</v>
      </c>
      <c r="G130" s="5">
        <v>20</v>
      </c>
      <c r="H130">
        <v>488.9</v>
      </c>
      <c r="I130" t="s">
        <v>78</v>
      </c>
      <c r="J130" t="s">
        <v>58</v>
      </c>
      <c r="K130" s="7">
        <v>0.15</v>
      </c>
      <c r="L130" t="s">
        <v>25</v>
      </c>
      <c r="M130" s="5">
        <v>8311.2999999999993</v>
      </c>
      <c r="N130" t="s">
        <v>66</v>
      </c>
      <c r="O130" t="s">
        <v>60</v>
      </c>
      <c r="P130" s="5">
        <v>0</v>
      </c>
      <c r="Q130" t="s">
        <v>332</v>
      </c>
      <c r="R130" t="s">
        <v>333</v>
      </c>
      <c r="S130" s="5">
        <v>21.77</v>
      </c>
      <c r="T130" s="3">
        <v>45530</v>
      </c>
      <c r="U130" s="3">
        <v>45536</v>
      </c>
      <c r="V130" t="s">
        <v>63</v>
      </c>
      <c r="W130">
        <f t="shared" si="7"/>
        <v>7064.6049999999996</v>
      </c>
      <c r="X130">
        <f t="shared" si="8"/>
        <v>9778</v>
      </c>
      <c r="Y130">
        <f t="shared" si="9"/>
        <v>2713.3950000000004</v>
      </c>
      <c r="Z130" s="8" t="str">
        <f t="shared" ref="Z130:Z193" si="11">IF(K130=0,"No Discount",IF(K130&lt;5%,"Low",IF(K130&lt;15%,"Medium","High")))</f>
        <v>High</v>
      </c>
      <c r="AA130" s="12">
        <f>DATE(YEAR(Table1[[#This Row],[OrderDate]]),MONTH(Table1[[#This Row],[OrderDate]]),1)</f>
        <v>45505</v>
      </c>
    </row>
    <row r="131" spans="1:27" x14ac:dyDescent="0.3">
      <c r="A131" s="3">
        <v>45816</v>
      </c>
      <c r="B131" t="s">
        <v>16</v>
      </c>
      <c r="C131" t="s">
        <v>35</v>
      </c>
      <c r="D131" t="str">
        <f>TRIM(Table1[[#This Row],[Product]])</f>
        <v>Tablet</v>
      </c>
      <c r="E131" t="str">
        <f>PROPER(Table1[[#This Row],[Column1]])</f>
        <v>Tablet</v>
      </c>
      <c r="F131" s="8" t="str">
        <f t="shared" si="10"/>
        <v>Technology</v>
      </c>
      <c r="G131" s="5">
        <v>7</v>
      </c>
      <c r="H131">
        <v>452.56</v>
      </c>
      <c r="I131" t="s">
        <v>64</v>
      </c>
      <c r="J131" t="s">
        <v>58</v>
      </c>
      <c r="K131" s="7">
        <v>0.05</v>
      </c>
      <c r="L131" t="s">
        <v>27</v>
      </c>
      <c r="M131" s="5">
        <v>3009.5239999999999</v>
      </c>
      <c r="N131" t="s">
        <v>66</v>
      </c>
      <c r="O131" t="s">
        <v>60</v>
      </c>
      <c r="P131" s="5">
        <v>0</v>
      </c>
      <c r="Q131" t="s">
        <v>334</v>
      </c>
      <c r="R131" t="s">
        <v>335</v>
      </c>
      <c r="S131" s="5">
        <v>46.97</v>
      </c>
      <c r="T131" s="3">
        <v>45816</v>
      </c>
      <c r="U131" s="3">
        <v>45823</v>
      </c>
      <c r="V131" t="s">
        <v>95</v>
      </c>
      <c r="W131">
        <f t="shared" ref="W131:W194" si="12">M131*(1-K131)</f>
        <v>2859.0477999999998</v>
      </c>
      <c r="X131">
        <f t="shared" ref="X131:X194" si="13">G131*H131</f>
        <v>3167.92</v>
      </c>
      <c r="Y131">
        <f t="shared" ref="Y131:Y194" si="14">X131-W131</f>
        <v>308.87220000000025</v>
      </c>
      <c r="Z131" s="8" t="str">
        <f t="shared" si="11"/>
        <v>Medium</v>
      </c>
      <c r="AA131" s="12">
        <f>DATE(YEAR(Table1[[#This Row],[OrderDate]]),MONTH(Table1[[#This Row],[OrderDate]]),1)</f>
        <v>45809</v>
      </c>
    </row>
    <row r="132" spans="1:27" x14ac:dyDescent="0.3">
      <c r="A132" s="3">
        <v>45793</v>
      </c>
      <c r="B132" t="s">
        <v>11</v>
      </c>
      <c r="C132" t="s">
        <v>30</v>
      </c>
      <c r="D132" t="str">
        <f>TRIM(Table1[[#This Row],[Product]])</f>
        <v>Desk</v>
      </c>
      <c r="E132" t="str">
        <f>PROPER(Table1[[#This Row],[Column1]])</f>
        <v>Desk</v>
      </c>
      <c r="F132" s="8" t="str">
        <f t="shared" si="10"/>
        <v>Furniture</v>
      </c>
      <c r="G132" s="5">
        <v>11</v>
      </c>
      <c r="H132">
        <v>465.24</v>
      </c>
      <c r="I132" t="s">
        <v>64</v>
      </c>
      <c r="J132" t="s">
        <v>58</v>
      </c>
      <c r="K132" s="7">
        <v>0</v>
      </c>
      <c r="L132" t="s">
        <v>21</v>
      </c>
      <c r="M132" s="5">
        <v>5117.6400000000003</v>
      </c>
      <c r="N132" t="s">
        <v>85</v>
      </c>
      <c r="P132" s="5">
        <v>1</v>
      </c>
      <c r="Q132" t="s">
        <v>336</v>
      </c>
      <c r="R132" t="s">
        <v>337</v>
      </c>
      <c r="S132" s="5">
        <v>17.59</v>
      </c>
      <c r="T132" s="3">
        <v>45793</v>
      </c>
      <c r="U132" s="3">
        <v>45800</v>
      </c>
      <c r="V132" t="s">
        <v>74</v>
      </c>
      <c r="W132">
        <f t="shared" si="12"/>
        <v>5117.6400000000003</v>
      </c>
      <c r="X132">
        <f t="shared" si="13"/>
        <v>5117.6400000000003</v>
      </c>
      <c r="Y132">
        <f t="shared" si="14"/>
        <v>0</v>
      </c>
      <c r="Z132" s="8" t="str">
        <f t="shared" si="11"/>
        <v>No Discount</v>
      </c>
      <c r="AA132" s="12">
        <f>DATE(YEAR(Table1[[#This Row],[OrderDate]]),MONTH(Table1[[#This Row],[OrderDate]]),1)</f>
        <v>45778</v>
      </c>
    </row>
    <row r="133" spans="1:27" x14ac:dyDescent="0.3">
      <c r="A133" s="3">
        <v>45491</v>
      </c>
      <c r="B133" t="s">
        <v>9</v>
      </c>
      <c r="C133" t="s">
        <v>33</v>
      </c>
      <c r="D133" t="str">
        <f>TRIM(Table1[[#This Row],[Product]])</f>
        <v>Phone</v>
      </c>
      <c r="E133" t="str">
        <f>PROPER(Table1[[#This Row],[Column1]])</f>
        <v>Phone</v>
      </c>
      <c r="F133" s="8" t="str">
        <f t="shared" si="10"/>
        <v>Technology</v>
      </c>
      <c r="G133" s="5">
        <v>14</v>
      </c>
      <c r="H133">
        <v>442.65</v>
      </c>
      <c r="I133" t="s">
        <v>57</v>
      </c>
      <c r="J133" t="s">
        <v>65</v>
      </c>
      <c r="K133" s="7">
        <v>0</v>
      </c>
      <c r="L133" t="s">
        <v>25</v>
      </c>
      <c r="M133" s="5">
        <v>6197.0999999999995</v>
      </c>
      <c r="N133" t="s">
        <v>66</v>
      </c>
      <c r="O133" t="s">
        <v>67</v>
      </c>
      <c r="P133" s="5">
        <v>0</v>
      </c>
      <c r="Q133" t="s">
        <v>338</v>
      </c>
      <c r="R133" t="s">
        <v>339</v>
      </c>
      <c r="S133" s="5">
        <v>28.76</v>
      </c>
      <c r="T133" s="3">
        <v>45491</v>
      </c>
      <c r="U133" s="3">
        <v>45497</v>
      </c>
      <c r="V133" t="s">
        <v>63</v>
      </c>
      <c r="W133">
        <f t="shared" si="12"/>
        <v>6197.0999999999995</v>
      </c>
      <c r="X133">
        <f t="shared" si="13"/>
        <v>6197.0999999999995</v>
      </c>
      <c r="Y133">
        <f t="shared" si="14"/>
        <v>0</v>
      </c>
      <c r="Z133" s="8" t="str">
        <f t="shared" si="11"/>
        <v>No Discount</v>
      </c>
      <c r="AA133" s="12">
        <f>DATE(YEAR(Table1[[#This Row],[OrderDate]]),MONTH(Table1[[#This Row],[OrderDate]]),1)</f>
        <v>45474</v>
      </c>
    </row>
    <row r="134" spans="1:27" x14ac:dyDescent="0.3">
      <c r="A134" s="3">
        <v>45186</v>
      </c>
      <c r="B134" t="s">
        <v>16</v>
      </c>
      <c r="C134" t="s">
        <v>31</v>
      </c>
      <c r="D134" t="str">
        <f>TRIM(Table1[[#This Row],[Product]])</f>
        <v>Laptop</v>
      </c>
      <c r="E134" t="str">
        <f>PROPER(Table1[[#This Row],[Column1]])</f>
        <v>Laptop</v>
      </c>
      <c r="F134" s="8" t="str">
        <f t="shared" si="10"/>
        <v>Technology</v>
      </c>
      <c r="G134" s="5">
        <v>12</v>
      </c>
      <c r="H134">
        <v>469.44</v>
      </c>
      <c r="I134" t="s">
        <v>57</v>
      </c>
      <c r="J134" t="s">
        <v>58</v>
      </c>
      <c r="K134" s="7">
        <v>0</v>
      </c>
      <c r="L134" t="s">
        <v>19</v>
      </c>
      <c r="M134" s="5">
        <v>5633.28</v>
      </c>
      <c r="N134" t="s">
        <v>59</v>
      </c>
      <c r="O134" t="s">
        <v>60</v>
      </c>
      <c r="P134" s="5">
        <v>0</v>
      </c>
      <c r="Q134" t="s">
        <v>340</v>
      </c>
      <c r="R134" t="s">
        <v>341</v>
      </c>
      <c r="S134" s="5">
        <v>33.299999999999997</v>
      </c>
      <c r="T134" s="3">
        <v>45186</v>
      </c>
      <c r="U134" s="3">
        <v>45195</v>
      </c>
      <c r="V134" t="s">
        <v>95</v>
      </c>
      <c r="W134">
        <f t="shared" si="12"/>
        <v>5633.28</v>
      </c>
      <c r="X134">
        <f t="shared" si="13"/>
        <v>5633.28</v>
      </c>
      <c r="Y134">
        <f t="shared" si="14"/>
        <v>0</v>
      </c>
      <c r="Z134" s="8" t="str">
        <f t="shared" si="11"/>
        <v>No Discount</v>
      </c>
      <c r="AA134" s="12">
        <f>DATE(YEAR(Table1[[#This Row],[OrderDate]]),MONTH(Table1[[#This Row],[OrderDate]]),1)</f>
        <v>45170</v>
      </c>
    </row>
    <row r="135" spans="1:27" x14ac:dyDescent="0.3">
      <c r="A135" s="3">
        <v>44998</v>
      </c>
      <c r="B135" t="s">
        <v>9</v>
      </c>
      <c r="C135" t="s">
        <v>32</v>
      </c>
      <c r="D135" t="str">
        <f>TRIM(Table1[[#This Row],[Product]])</f>
        <v>Monitor</v>
      </c>
      <c r="E135" t="str">
        <f>PROPER(Table1[[#This Row],[Column1]])</f>
        <v>Monitor</v>
      </c>
      <c r="F135" s="8" t="str">
        <f t="shared" si="10"/>
        <v>Technology</v>
      </c>
      <c r="G135" s="5">
        <v>14</v>
      </c>
      <c r="H135">
        <v>248.77</v>
      </c>
      <c r="I135" t="s">
        <v>78</v>
      </c>
      <c r="J135" t="s">
        <v>58</v>
      </c>
      <c r="K135" s="7">
        <v>0.05</v>
      </c>
      <c r="L135" t="s">
        <v>19</v>
      </c>
      <c r="M135" s="5">
        <v>3308.6410000000001</v>
      </c>
      <c r="N135" t="s">
        <v>85</v>
      </c>
      <c r="O135" t="s">
        <v>60</v>
      </c>
      <c r="P135" s="5">
        <v>1</v>
      </c>
      <c r="Q135" t="s">
        <v>342</v>
      </c>
      <c r="R135" t="s">
        <v>343</v>
      </c>
      <c r="S135" s="5">
        <v>21.76</v>
      </c>
      <c r="T135" s="3">
        <v>44998</v>
      </c>
      <c r="U135" s="3">
        <v>45004</v>
      </c>
      <c r="V135" t="s">
        <v>63</v>
      </c>
      <c r="W135">
        <f t="shared" si="12"/>
        <v>3143.2089499999997</v>
      </c>
      <c r="X135">
        <f t="shared" si="13"/>
        <v>3482.78</v>
      </c>
      <c r="Y135">
        <f t="shared" si="14"/>
        <v>339.57105000000047</v>
      </c>
      <c r="Z135" s="8" t="str">
        <f t="shared" si="11"/>
        <v>Medium</v>
      </c>
      <c r="AA135" s="12">
        <f>DATE(YEAR(Table1[[#This Row],[OrderDate]]),MONTH(Table1[[#This Row],[OrderDate]]),1)</f>
        <v>44986</v>
      </c>
    </row>
    <row r="136" spans="1:27" x14ac:dyDescent="0.3">
      <c r="A136" s="3">
        <v>45014</v>
      </c>
      <c r="B136" t="s">
        <v>13</v>
      </c>
      <c r="C136" t="s">
        <v>29</v>
      </c>
      <c r="D136" t="str">
        <f>TRIM(Table1[[#This Row],[Product]])</f>
        <v>Chair</v>
      </c>
      <c r="E136" t="str">
        <f>PROPER(Table1[[#This Row],[Column1]])</f>
        <v>Chair</v>
      </c>
      <c r="F136" s="8" t="str">
        <f t="shared" si="10"/>
        <v>Furniture</v>
      </c>
      <c r="G136" s="5">
        <v>4</v>
      </c>
      <c r="H136">
        <v>565.29</v>
      </c>
      <c r="I136" t="s">
        <v>81</v>
      </c>
      <c r="J136" t="s">
        <v>58</v>
      </c>
      <c r="K136" s="7">
        <v>0.05</v>
      </c>
      <c r="L136" t="s">
        <v>18</v>
      </c>
      <c r="M136" s="5">
        <v>2148.1019999999999</v>
      </c>
      <c r="N136" t="s">
        <v>88</v>
      </c>
      <c r="P136" s="5">
        <v>0</v>
      </c>
      <c r="Q136" t="s">
        <v>344</v>
      </c>
      <c r="R136" t="s">
        <v>345</v>
      </c>
      <c r="S136" s="5">
        <v>27.04</v>
      </c>
      <c r="T136" s="3">
        <v>45014</v>
      </c>
      <c r="U136" s="3">
        <v>45019</v>
      </c>
      <c r="V136" t="s">
        <v>70</v>
      </c>
      <c r="W136">
        <f t="shared" si="12"/>
        <v>2040.6968999999997</v>
      </c>
      <c r="X136">
        <f t="shared" si="13"/>
        <v>2261.16</v>
      </c>
      <c r="Y136">
        <f t="shared" si="14"/>
        <v>220.46310000000017</v>
      </c>
      <c r="Z136" s="8" t="str">
        <f t="shared" si="11"/>
        <v>Medium</v>
      </c>
      <c r="AA136" s="12">
        <f>DATE(YEAR(Table1[[#This Row],[OrderDate]]),MONTH(Table1[[#This Row],[OrderDate]]),1)</f>
        <v>44986</v>
      </c>
    </row>
    <row r="137" spans="1:27" x14ac:dyDescent="0.3">
      <c r="A137" s="3">
        <v>45121</v>
      </c>
      <c r="B137" t="s">
        <v>7</v>
      </c>
      <c r="C137" t="s">
        <v>30</v>
      </c>
      <c r="D137" t="str">
        <f>TRIM(Table1[[#This Row],[Product]])</f>
        <v>Desk</v>
      </c>
      <c r="E137" t="str">
        <f>PROPER(Table1[[#This Row],[Column1]])</f>
        <v>Desk</v>
      </c>
      <c r="F137" s="8" t="str">
        <f t="shared" si="10"/>
        <v>Furniture</v>
      </c>
      <c r="G137" s="5">
        <v>12</v>
      </c>
      <c r="H137">
        <v>244.8</v>
      </c>
      <c r="I137" t="s">
        <v>57</v>
      </c>
      <c r="J137" t="s">
        <v>58</v>
      </c>
      <c r="K137" s="7">
        <v>0.05</v>
      </c>
      <c r="L137" t="s">
        <v>27</v>
      </c>
      <c r="M137" s="5">
        <v>2790.72</v>
      </c>
      <c r="N137" t="s">
        <v>59</v>
      </c>
      <c r="O137" t="s">
        <v>60</v>
      </c>
      <c r="P137" s="5">
        <v>0</v>
      </c>
      <c r="Q137" t="s">
        <v>346</v>
      </c>
      <c r="R137" t="s">
        <v>347</v>
      </c>
      <c r="S137" s="5">
        <v>44.75</v>
      </c>
      <c r="T137" s="3">
        <v>45121</v>
      </c>
      <c r="U137" s="3">
        <v>45130</v>
      </c>
      <c r="V137" t="s">
        <v>77</v>
      </c>
      <c r="W137">
        <f t="shared" si="12"/>
        <v>2651.1839999999997</v>
      </c>
      <c r="X137">
        <f t="shared" si="13"/>
        <v>2937.6000000000004</v>
      </c>
      <c r="Y137">
        <f t="shared" si="14"/>
        <v>286.41600000000062</v>
      </c>
      <c r="Z137" s="8" t="str">
        <f t="shared" si="11"/>
        <v>Medium</v>
      </c>
      <c r="AA137" s="12">
        <f>DATE(YEAR(Table1[[#This Row],[OrderDate]]),MONTH(Table1[[#This Row],[OrderDate]]),1)</f>
        <v>45108</v>
      </c>
    </row>
    <row r="138" spans="1:27" x14ac:dyDescent="0.3">
      <c r="A138" s="3">
        <v>45373</v>
      </c>
      <c r="B138" t="s">
        <v>16</v>
      </c>
      <c r="C138" t="s">
        <v>31</v>
      </c>
      <c r="D138" t="str">
        <f>TRIM(Table1[[#This Row],[Product]])</f>
        <v>Laptop</v>
      </c>
      <c r="E138" t="str">
        <f>PROPER(Table1[[#This Row],[Column1]])</f>
        <v>Laptop</v>
      </c>
      <c r="F138" s="8" t="str">
        <f t="shared" si="10"/>
        <v>Technology</v>
      </c>
      <c r="G138" s="5">
        <v>13</v>
      </c>
      <c r="H138">
        <v>290.93</v>
      </c>
      <c r="I138" t="s">
        <v>78</v>
      </c>
      <c r="J138" t="s">
        <v>65</v>
      </c>
      <c r="K138" s="7">
        <v>0.05</v>
      </c>
      <c r="L138" t="s">
        <v>23</v>
      </c>
      <c r="M138" s="5">
        <v>3592.9854999999998</v>
      </c>
      <c r="N138" t="s">
        <v>82</v>
      </c>
      <c r="O138" t="s">
        <v>60</v>
      </c>
      <c r="P138" s="5">
        <v>0</v>
      </c>
      <c r="Q138" t="s">
        <v>348</v>
      </c>
      <c r="R138" t="s">
        <v>349</v>
      </c>
      <c r="S138" s="5">
        <v>26.09</v>
      </c>
      <c r="T138" s="3">
        <v>45373</v>
      </c>
      <c r="U138" s="3">
        <v>45382</v>
      </c>
      <c r="V138" t="s">
        <v>95</v>
      </c>
      <c r="W138">
        <f t="shared" si="12"/>
        <v>3413.3362249999996</v>
      </c>
      <c r="X138">
        <f t="shared" si="13"/>
        <v>3782.09</v>
      </c>
      <c r="Y138">
        <f t="shared" si="14"/>
        <v>368.75377500000059</v>
      </c>
      <c r="Z138" s="8" t="str">
        <f t="shared" si="11"/>
        <v>Medium</v>
      </c>
      <c r="AA138" s="12">
        <f>DATE(YEAR(Table1[[#This Row],[OrderDate]]),MONTH(Table1[[#This Row],[OrderDate]]),1)</f>
        <v>45352</v>
      </c>
    </row>
    <row r="139" spans="1:27" x14ac:dyDescent="0.3">
      <c r="A139" s="3">
        <v>45426</v>
      </c>
      <c r="B139" t="s">
        <v>7</v>
      </c>
      <c r="C139" t="s">
        <v>31</v>
      </c>
      <c r="D139" t="str">
        <f>TRIM(Table1[[#This Row],[Product]])</f>
        <v>Laptop</v>
      </c>
      <c r="E139" t="str">
        <f>PROPER(Table1[[#This Row],[Column1]])</f>
        <v>Laptop</v>
      </c>
      <c r="F139" s="8" t="str">
        <f t="shared" si="10"/>
        <v>Technology</v>
      </c>
      <c r="G139" s="5">
        <v>11</v>
      </c>
      <c r="H139">
        <v>229.49</v>
      </c>
      <c r="I139" t="s">
        <v>78</v>
      </c>
      <c r="J139" t="s">
        <v>65</v>
      </c>
      <c r="K139" s="7">
        <v>0.1</v>
      </c>
      <c r="L139" t="s">
        <v>19</v>
      </c>
      <c r="M139" s="5">
        <v>2271.951</v>
      </c>
      <c r="N139" t="s">
        <v>88</v>
      </c>
      <c r="P139" s="5">
        <v>0</v>
      </c>
      <c r="Q139" t="s">
        <v>350</v>
      </c>
      <c r="R139" t="s">
        <v>351</v>
      </c>
      <c r="S139" s="5">
        <v>35.39</v>
      </c>
      <c r="T139" s="3">
        <v>45426</v>
      </c>
      <c r="U139" s="3">
        <v>45429</v>
      </c>
      <c r="V139" t="s">
        <v>77</v>
      </c>
      <c r="W139">
        <f t="shared" si="12"/>
        <v>2044.7559000000001</v>
      </c>
      <c r="X139">
        <f t="shared" si="13"/>
        <v>2524.3900000000003</v>
      </c>
      <c r="Y139">
        <f t="shared" si="14"/>
        <v>479.63410000000022</v>
      </c>
      <c r="Z139" s="8" t="str">
        <f t="shared" si="11"/>
        <v>Medium</v>
      </c>
      <c r="AA139" s="12">
        <f>DATE(YEAR(Table1[[#This Row],[OrderDate]]),MONTH(Table1[[#This Row],[OrderDate]]),1)</f>
        <v>45413</v>
      </c>
    </row>
    <row r="140" spans="1:27" x14ac:dyDescent="0.3">
      <c r="A140" s="3">
        <v>45076</v>
      </c>
      <c r="B140" t="s">
        <v>7</v>
      </c>
      <c r="C140" t="s">
        <v>32</v>
      </c>
      <c r="D140" t="str">
        <f>TRIM(Table1[[#This Row],[Product]])</f>
        <v>Monitor</v>
      </c>
      <c r="E140" t="str">
        <f>PROPER(Table1[[#This Row],[Column1]])</f>
        <v>Monitor</v>
      </c>
      <c r="F140" s="8" t="str">
        <f t="shared" si="10"/>
        <v>Technology</v>
      </c>
      <c r="G140" s="5">
        <v>2</v>
      </c>
      <c r="H140">
        <v>427.36</v>
      </c>
      <c r="I140" t="s">
        <v>64</v>
      </c>
      <c r="J140" t="s">
        <v>58</v>
      </c>
      <c r="K140" s="7">
        <v>0.05</v>
      </c>
      <c r="L140" t="s">
        <v>23</v>
      </c>
      <c r="M140" s="5">
        <v>811.98400000000004</v>
      </c>
      <c r="N140" t="s">
        <v>59</v>
      </c>
      <c r="O140" t="s">
        <v>67</v>
      </c>
      <c r="P140" s="5">
        <v>0</v>
      </c>
      <c r="Q140" t="s">
        <v>352</v>
      </c>
      <c r="R140" t="s">
        <v>353</v>
      </c>
      <c r="S140" s="5">
        <v>19.420000000000002</v>
      </c>
      <c r="T140" s="3">
        <v>45076</v>
      </c>
      <c r="U140" s="3">
        <v>45079</v>
      </c>
      <c r="V140" t="s">
        <v>77</v>
      </c>
      <c r="W140">
        <f t="shared" si="12"/>
        <v>771.38480000000004</v>
      </c>
      <c r="X140">
        <f t="shared" si="13"/>
        <v>854.72</v>
      </c>
      <c r="Y140">
        <f t="shared" si="14"/>
        <v>83.335199999999986</v>
      </c>
      <c r="Z140" s="8" t="str">
        <f t="shared" si="11"/>
        <v>Medium</v>
      </c>
      <c r="AA140" s="12">
        <f>DATE(YEAR(Table1[[#This Row],[OrderDate]]),MONTH(Table1[[#This Row],[OrderDate]]),1)</f>
        <v>45047</v>
      </c>
    </row>
    <row r="141" spans="1:27" x14ac:dyDescent="0.3">
      <c r="A141" s="3">
        <v>45004</v>
      </c>
      <c r="B141" t="s">
        <v>11</v>
      </c>
      <c r="C141" t="s">
        <v>33</v>
      </c>
      <c r="D141" t="str">
        <f>TRIM(Table1[[#This Row],[Product]])</f>
        <v>Phone</v>
      </c>
      <c r="E141" t="str">
        <f>PROPER(Table1[[#This Row],[Column1]])</f>
        <v>Phone</v>
      </c>
      <c r="F141" s="8" t="str">
        <f t="shared" si="10"/>
        <v>Technology</v>
      </c>
      <c r="G141" s="5">
        <v>2</v>
      </c>
      <c r="H141">
        <v>443.51</v>
      </c>
      <c r="I141" t="s">
        <v>78</v>
      </c>
      <c r="J141" t="s">
        <v>58</v>
      </c>
      <c r="K141" s="7">
        <v>0.05</v>
      </c>
      <c r="L141" t="s">
        <v>18</v>
      </c>
      <c r="M141" s="5">
        <v>842.66899999999998</v>
      </c>
      <c r="N141" t="s">
        <v>88</v>
      </c>
      <c r="P141" s="5">
        <v>0</v>
      </c>
      <c r="Q141" t="s">
        <v>354</v>
      </c>
      <c r="R141" t="s">
        <v>355</v>
      </c>
      <c r="S141" s="5">
        <v>13.65</v>
      </c>
      <c r="T141" s="3">
        <v>45004</v>
      </c>
      <c r="U141" s="3">
        <v>45007</v>
      </c>
      <c r="V141" t="s">
        <v>74</v>
      </c>
      <c r="W141">
        <f t="shared" si="12"/>
        <v>800.53554999999994</v>
      </c>
      <c r="X141">
        <f t="shared" si="13"/>
        <v>887.02</v>
      </c>
      <c r="Y141">
        <f t="shared" si="14"/>
        <v>86.484450000000038</v>
      </c>
      <c r="Z141" s="8" t="str">
        <f t="shared" si="11"/>
        <v>Medium</v>
      </c>
      <c r="AA141" s="12">
        <f>DATE(YEAR(Table1[[#This Row],[OrderDate]]),MONTH(Table1[[#This Row],[OrderDate]]),1)</f>
        <v>44986</v>
      </c>
    </row>
    <row r="142" spans="1:27" x14ac:dyDescent="0.3">
      <c r="A142" s="3">
        <v>45147</v>
      </c>
      <c r="B142" t="s">
        <v>7</v>
      </c>
      <c r="C142" t="s">
        <v>30</v>
      </c>
      <c r="D142" t="str">
        <f>TRIM(Table1[[#This Row],[Product]])</f>
        <v>Desk</v>
      </c>
      <c r="E142" t="str">
        <f>PROPER(Table1[[#This Row],[Column1]])</f>
        <v>Desk</v>
      </c>
      <c r="F142" s="8" t="str">
        <f t="shared" si="10"/>
        <v>Furniture</v>
      </c>
      <c r="G142" s="5">
        <v>13</v>
      </c>
      <c r="H142">
        <v>280.63</v>
      </c>
      <c r="I142" t="s">
        <v>57</v>
      </c>
      <c r="J142" t="s">
        <v>58</v>
      </c>
      <c r="K142" s="7">
        <v>0.15</v>
      </c>
      <c r="L142" t="s">
        <v>18</v>
      </c>
      <c r="M142" s="5">
        <v>3100.9614999999999</v>
      </c>
      <c r="N142" t="s">
        <v>82</v>
      </c>
      <c r="O142" t="s">
        <v>67</v>
      </c>
      <c r="P142" s="5">
        <v>0</v>
      </c>
      <c r="Q142" t="s">
        <v>356</v>
      </c>
      <c r="R142" t="s">
        <v>357</v>
      </c>
      <c r="S142" s="5">
        <v>10.14</v>
      </c>
      <c r="T142" s="3">
        <v>45147</v>
      </c>
      <c r="U142" s="3">
        <v>45152</v>
      </c>
      <c r="V142" t="s">
        <v>77</v>
      </c>
      <c r="W142">
        <f t="shared" si="12"/>
        <v>2635.8172749999999</v>
      </c>
      <c r="X142">
        <f t="shared" si="13"/>
        <v>3648.19</v>
      </c>
      <c r="Y142">
        <f t="shared" si="14"/>
        <v>1012.3727250000002</v>
      </c>
      <c r="Z142" s="8" t="str">
        <f t="shared" si="11"/>
        <v>High</v>
      </c>
      <c r="AA142" s="12">
        <f>DATE(YEAR(Table1[[#This Row],[OrderDate]]),MONTH(Table1[[#This Row],[OrderDate]]),1)</f>
        <v>45139</v>
      </c>
    </row>
    <row r="143" spans="1:27" x14ac:dyDescent="0.3">
      <c r="A143" s="3">
        <v>45578</v>
      </c>
      <c r="B143" t="s">
        <v>11</v>
      </c>
      <c r="C143" t="s">
        <v>29</v>
      </c>
      <c r="D143" t="str">
        <f>TRIM(Table1[[#This Row],[Product]])</f>
        <v>Chair</v>
      </c>
      <c r="E143" t="str">
        <f>PROPER(Table1[[#This Row],[Column1]])</f>
        <v>Chair</v>
      </c>
      <c r="F143" s="8" t="str">
        <f t="shared" si="10"/>
        <v>Furniture</v>
      </c>
      <c r="G143" s="5">
        <v>13</v>
      </c>
      <c r="H143">
        <v>416.66</v>
      </c>
      <c r="I143" t="s">
        <v>57</v>
      </c>
      <c r="J143" t="s">
        <v>58</v>
      </c>
      <c r="K143" s="7">
        <v>0.15</v>
      </c>
      <c r="L143" t="s">
        <v>19</v>
      </c>
      <c r="M143" s="5">
        <v>4604.0929999999998</v>
      </c>
      <c r="N143" t="s">
        <v>82</v>
      </c>
      <c r="O143" t="s">
        <v>71</v>
      </c>
      <c r="P143" s="5">
        <v>0</v>
      </c>
      <c r="Q143" t="s">
        <v>358</v>
      </c>
      <c r="R143" t="s">
        <v>359</v>
      </c>
      <c r="S143" s="5">
        <v>21.74</v>
      </c>
      <c r="T143" s="3">
        <v>45578</v>
      </c>
      <c r="U143" s="3">
        <v>45585</v>
      </c>
      <c r="V143" t="s">
        <v>74</v>
      </c>
      <c r="W143">
        <f t="shared" si="12"/>
        <v>3913.4790499999999</v>
      </c>
      <c r="X143">
        <f t="shared" si="13"/>
        <v>5416.58</v>
      </c>
      <c r="Y143">
        <f t="shared" si="14"/>
        <v>1503.10095</v>
      </c>
      <c r="Z143" s="8" t="str">
        <f t="shared" si="11"/>
        <v>High</v>
      </c>
      <c r="AA143" s="12">
        <f>DATE(YEAR(Table1[[#This Row],[OrderDate]]),MONTH(Table1[[#This Row],[OrderDate]]),1)</f>
        <v>45566</v>
      </c>
    </row>
    <row r="144" spans="1:27" x14ac:dyDescent="0.3">
      <c r="A144" s="3">
        <v>45705</v>
      </c>
      <c r="B144" t="s">
        <v>9</v>
      </c>
      <c r="C144" t="s">
        <v>29</v>
      </c>
      <c r="D144" t="str">
        <f>TRIM(Table1[[#This Row],[Product]])</f>
        <v>Chair</v>
      </c>
      <c r="E144" t="str">
        <f>PROPER(Table1[[#This Row],[Column1]])</f>
        <v>Chair</v>
      </c>
      <c r="F144" s="8" t="str">
        <f t="shared" si="10"/>
        <v>Furniture</v>
      </c>
      <c r="G144" s="5">
        <v>11</v>
      </c>
      <c r="H144">
        <v>589.48</v>
      </c>
      <c r="I144" t="s">
        <v>57</v>
      </c>
      <c r="J144" t="s">
        <v>65</v>
      </c>
      <c r="K144" s="7">
        <v>0</v>
      </c>
      <c r="L144" t="s">
        <v>18</v>
      </c>
      <c r="M144" s="5">
        <v>6484.2800000000007</v>
      </c>
      <c r="N144" t="s">
        <v>59</v>
      </c>
      <c r="O144" t="s">
        <v>71</v>
      </c>
      <c r="P144" s="5">
        <v>0</v>
      </c>
      <c r="Q144" t="s">
        <v>360</v>
      </c>
      <c r="R144" t="s">
        <v>361</v>
      </c>
      <c r="S144" s="5">
        <v>49.93</v>
      </c>
      <c r="T144" s="3">
        <v>45705</v>
      </c>
      <c r="U144" s="3">
        <v>45713</v>
      </c>
      <c r="V144" t="s">
        <v>63</v>
      </c>
      <c r="W144">
        <f t="shared" si="12"/>
        <v>6484.2800000000007</v>
      </c>
      <c r="X144">
        <f t="shared" si="13"/>
        <v>6484.2800000000007</v>
      </c>
      <c r="Y144">
        <f t="shared" si="14"/>
        <v>0</v>
      </c>
      <c r="Z144" s="8" t="str">
        <f t="shared" si="11"/>
        <v>No Discount</v>
      </c>
      <c r="AA144" s="12">
        <f>DATE(YEAR(Table1[[#This Row],[OrderDate]]),MONTH(Table1[[#This Row],[OrderDate]]),1)</f>
        <v>45689</v>
      </c>
    </row>
    <row r="145" spans="1:27" x14ac:dyDescent="0.3">
      <c r="A145" s="3">
        <v>45819</v>
      </c>
      <c r="B145" t="s">
        <v>11</v>
      </c>
      <c r="C145" t="s">
        <v>33</v>
      </c>
      <c r="D145" t="str">
        <f>TRIM(Table1[[#This Row],[Product]])</f>
        <v>Phone</v>
      </c>
      <c r="E145" t="str">
        <f>PROPER(Table1[[#This Row],[Column1]])</f>
        <v>Phone</v>
      </c>
      <c r="F145" s="8" t="str">
        <f t="shared" si="10"/>
        <v>Technology</v>
      </c>
      <c r="G145" s="5">
        <v>18</v>
      </c>
      <c r="H145">
        <v>152.84</v>
      </c>
      <c r="I145" t="s">
        <v>78</v>
      </c>
      <c r="J145" t="s">
        <v>65</v>
      </c>
      <c r="K145" s="7">
        <v>0.15</v>
      </c>
      <c r="L145" t="s">
        <v>23</v>
      </c>
      <c r="M145" s="5">
        <v>2338.4520000000002</v>
      </c>
      <c r="N145" t="s">
        <v>85</v>
      </c>
      <c r="O145" t="s">
        <v>60</v>
      </c>
      <c r="P145" s="5">
        <v>1</v>
      </c>
      <c r="Q145" t="s">
        <v>362</v>
      </c>
      <c r="R145" t="s">
        <v>363</v>
      </c>
      <c r="S145" s="5">
        <v>20.3</v>
      </c>
      <c r="T145" s="3">
        <v>45819</v>
      </c>
      <c r="U145" s="3">
        <v>45828</v>
      </c>
      <c r="V145" t="s">
        <v>74</v>
      </c>
      <c r="W145">
        <f t="shared" si="12"/>
        <v>1987.6842000000001</v>
      </c>
      <c r="X145">
        <f t="shared" si="13"/>
        <v>2751.12</v>
      </c>
      <c r="Y145">
        <f t="shared" si="14"/>
        <v>763.43579999999974</v>
      </c>
      <c r="Z145" s="8" t="str">
        <f t="shared" si="11"/>
        <v>High</v>
      </c>
      <c r="AA145" s="12">
        <f>DATE(YEAR(Table1[[#This Row],[OrderDate]]),MONTH(Table1[[#This Row],[OrderDate]]),1)</f>
        <v>45809</v>
      </c>
    </row>
    <row r="146" spans="1:27" x14ac:dyDescent="0.3">
      <c r="A146" s="3">
        <v>45411</v>
      </c>
      <c r="B146" t="s">
        <v>7</v>
      </c>
      <c r="C146" t="s">
        <v>35</v>
      </c>
      <c r="D146" t="str">
        <f>TRIM(Table1[[#This Row],[Product]])</f>
        <v>Tablet</v>
      </c>
      <c r="E146" t="str">
        <f>PROPER(Table1[[#This Row],[Column1]])</f>
        <v>Tablet</v>
      </c>
      <c r="F146" s="8" t="str">
        <f t="shared" si="10"/>
        <v>Technology</v>
      </c>
      <c r="G146" s="5">
        <v>4</v>
      </c>
      <c r="H146">
        <v>163.66</v>
      </c>
      <c r="I146" t="s">
        <v>57</v>
      </c>
      <c r="J146" t="s">
        <v>65</v>
      </c>
      <c r="K146" s="7">
        <v>0</v>
      </c>
      <c r="L146" t="s">
        <v>19</v>
      </c>
      <c r="M146" s="5">
        <v>654.64</v>
      </c>
      <c r="N146" t="s">
        <v>66</v>
      </c>
      <c r="O146" t="s">
        <v>71</v>
      </c>
      <c r="P146" s="5">
        <v>1</v>
      </c>
      <c r="Q146" t="s">
        <v>364</v>
      </c>
      <c r="R146" t="s">
        <v>365</v>
      </c>
      <c r="S146" s="5">
        <v>31.8</v>
      </c>
      <c r="T146" s="3">
        <v>45411</v>
      </c>
      <c r="U146" s="3">
        <v>45413</v>
      </c>
      <c r="V146" t="s">
        <v>77</v>
      </c>
      <c r="W146">
        <f t="shared" si="12"/>
        <v>654.64</v>
      </c>
      <c r="X146">
        <f t="shared" si="13"/>
        <v>654.64</v>
      </c>
      <c r="Y146">
        <f t="shared" si="14"/>
        <v>0</v>
      </c>
      <c r="Z146" s="8" t="str">
        <f t="shared" si="11"/>
        <v>No Discount</v>
      </c>
      <c r="AA146" s="12">
        <f>DATE(YEAR(Table1[[#This Row],[OrderDate]]),MONTH(Table1[[#This Row],[OrderDate]]),1)</f>
        <v>45383</v>
      </c>
    </row>
    <row r="147" spans="1:27" x14ac:dyDescent="0.3">
      <c r="A147" s="3">
        <v>45003</v>
      </c>
      <c r="B147" t="s">
        <v>16</v>
      </c>
      <c r="C147" t="s">
        <v>31</v>
      </c>
      <c r="D147" t="str">
        <f>TRIM(Table1[[#This Row],[Product]])</f>
        <v>Laptop</v>
      </c>
      <c r="E147" t="str">
        <f>PROPER(Table1[[#This Row],[Column1]])</f>
        <v>Laptop</v>
      </c>
      <c r="F147" s="8" t="str">
        <f t="shared" si="10"/>
        <v>Technology</v>
      </c>
      <c r="G147" s="5">
        <v>19</v>
      </c>
      <c r="H147">
        <v>484.25</v>
      </c>
      <c r="I147" t="s">
        <v>78</v>
      </c>
      <c r="J147" t="s">
        <v>58</v>
      </c>
      <c r="K147" s="7">
        <v>0.15</v>
      </c>
      <c r="L147" t="s">
        <v>19</v>
      </c>
      <c r="M147" s="5">
        <v>7820.6374999999998</v>
      </c>
      <c r="N147" t="s">
        <v>85</v>
      </c>
      <c r="O147" t="s">
        <v>60</v>
      </c>
      <c r="P147" s="5">
        <v>1</v>
      </c>
      <c r="Q147" t="s">
        <v>366</v>
      </c>
      <c r="R147" t="s">
        <v>367</v>
      </c>
      <c r="S147" s="5">
        <v>29.51</v>
      </c>
      <c r="T147" s="3">
        <v>45003</v>
      </c>
      <c r="U147" s="3">
        <v>45005</v>
      </c>
      <c r="V147" t="s">
        <v>95</v>
      </c>
      <c r="W147">
        <f t="shared" si="12"/>
        <v>6647.5418749999999</v>
      </c>
      <c r="X147">
        <f t="shared" si="13"/>
        <v>9200.75</v>
      </c>
      <c r="Y147">
        <f t="shared" si="14"/>
        <v>2553.2081250000001</v>
      </c>
      <c r="Z147" s="8" t="str">
        <f t="shared" si="11"/>
        <v>High</v>
      </c>
      <c r="AA147" s="12">
        <f>DATE(YEAR(Table1[[#This Row],[OrderDate]]),MONTH(Table1[[#This Row],[OrderDate]]),1)</f>
        <v>44986</v>
      </c>
    </row>
    <row r="148" spans="1:27" x14ac:dyDescent="0.3">
      <c r="A148" s="3">
        <v>45647</v>
      </c>
      <c r="B148" t="s">
        <v>11</v>
      </c>
      <c r="C148" t="s">
        <v>29</v>
      </c>
      <c r="D148" t="str">
        <f>TRIM(Table1[[#This Row],[Product]])</f>
        <v>Chair</v>
      </c>
      <c r="E148" t="str">
        <f>PROPER(Table1[[#This Row],[Column1]])</f>
        <v>Chair</v>
      </c>
      <c r="F148" s="8" t="str">
        <f t="shared" si="10"/>
        <v>Furniture</v>
      </c>
      <c r="G148" s="5">
        <v>9</v>
      </c>
      <c r="H148">
        <v>380.4</v>
      </c>
      <c r="I148" t="s">
        <v>57</v>
      </c>
      <c r="J148" t="s">
        <v>65</v>
      </c>
      <c r="K148" s="7">
        <v>0.1</v>
      </c>
      <c r="L148" t="s">
        <v>21</v>
      </c>
      <c r="M148" s="5">
        <v>3081.24</v>
      </c>
      <c r="N148" t="s">
        <v>82</v>
      </c>
      <c r="P148" s="5">
        <v>0</v>
      </c>
      <c r="Q148" t="s">
        <v>368</v>
      </c>
      <c r="R148" t="s">
        <v>369</v>
      </c>
      <c r="S148" s="5">
        <v>31</v>
      </c>
      <c r="T148" s="3">
        <v>45647</v>
      </c>
      <c r="U148" s="3">
        <v>45653</v>
      </c>
      <c r="V148" t="s">
        <v>74</v>
      </c>
      <c r="W148">
        <f t="shared" si="12"/>
        <v>2773.116</v>
      </c>
      <c r="X148">
        <f t="shared" si="13"/>
        <v>3423.6</v>
      </c>
      <c r="Y148">
        <f t="shared" si="14"/>
        <v>650.48399999999992</v>
      </c>
      <c r="Z148" s="8" t="str">
        <f t="shared" si="11"/>
        <v>Medium</v>
      </c>
      <c r="AA148" s="12">
        <f>DATE(YEAR(Table1[[#This Row],[OrderDate]]),MONTH(Table1[[#This Row],[OrderDate]]),1)</f>
        <v>45627</v>
      </c>
    </row>
    <row r="149" spans="1:27" x14ac:dyDescent="0.3">
      <c r="A149" s="3">
        <v>45039</v>
      </c>
      <c r="B149" t="s">
        <v>16</v>
      </c>
      <c r="C149" t="s">
        <v>29</v>
      </c>
      <c r="D149" t="str">
        <f>TRIM(Table1[[#This Row],[Product]])</f>
        <v>Chair</v>
      </c>
      <c r="E149" t="str">
        <f>PROPER(Table1[[#This Row],[Column1]])</f>
        <v>Chair</v>
      </c>
      <c r="F149" s="8" t="str">
        <f t="shared" si="10"/>
        <v>Furniture</v>
      </c>
      <c r="G149" s="5">
        <v>17</v>
      </c>
      <c r="H149">
        <v>332.38</v>
      </c>
      <c r="I149" t="s">
        <v>64</v>
      </c>
      <c r="J149" t="s">
        <v>65</v>
      </c>
      <c r="K149" s="7">
        <v>0.1</v>
      </c>
      <c r="L149" t="s">
        <v>27</v>
      </c>
      <c r="M149" s="5">
        <v>5085.4139999999998</v>
      </c>
      <c r="N149" t="s">
        <v>82</v>
      </c>
      <c r="O149" t="s">
        <v>67</v>
      </c>
      <c r="P149" s="5">
        <v>1</v>
      </c>
      <c r="Q149" t="s">
        <v>370</v>
      </c>
      <c r="R149" t="s">
        <v>371</v>
      </c>
      <c r="S149" s="5">
        <v>33.81</v>
      </c>
      <c r="T149" s="3">
        <v>45039</v>
      </c>
      <c r="U149" s="3">
        <v>45048</v>
      </c>
      <c r="V149" t="s">
        <v>95</v>
      </c>
      <c r="W149">
        <f t="shared" si="12"/>
        <v>4576.8725999999997</v>
      </c>
      <c r="X149">
        <f t="shared" si="13"/>
        <v>5650.46</v>
      </c>
      <c r="Y149">
        <f t="shared" si="14"/>
        <v>1073.5874000000003</v>
      </c>
      <c r="Z149" s="8" t="str">
        <f t="shared" si="11"/>
        <v>Medium</v>
      </c>
      <c r="AA149" s="12">
        <f>DATE(YEAR(Table1[[#This Row],[OrderDate]]),MONTH(Table1[[#This Row],[OrderDate]]),1)</f>
        <v>45017</v>
      </c>
    </row>
    <row r="150" spans="1:27" x14ac:dyDescent="0.3">
      <c r="A150" s="3">
        <v>45788</v>
      </c>
      <c r="B150" t="s">
        <v>7</v>
      </c>
      <c r="C150" t="s">
        <v>29</v>
      </c>
      <c r="D150" t="str">
        <f>TRIM(Table1[[#This Row],[Product]])</f>
        <v>Chair</v>
      </c>
      <c r="E150" t="str">
        <f>PROPER(Table1[[#This Row],[Column1]])</f>
        <v>Chair</v>
      </c>
      <c r="F150" s="8" t="str">
        <f t="shared" si="10"/>
        <v>Furniture</v>
      </c>
      <c r="G150" s="5">
        <v>15</v>
      </c>
      <c r="H150">
        <v>210.94</v>
      </c>
      <c r="I150" t="s">
        <v>78</v>
      </c>
      <c r="J150" t="s">
        <v>58</v>
      </c>
      <c r="K150" s="7">
        <v>0.05</v>
      </c>
      <c r="L150" t="s">
        <v>27</v>
      </c>
      <c r="M150" s="5">
        <v>3005.895</v>
      </c>
      <c r="N150" t="s">
        <v>59</v>
      </c>
      <c r="O150" t="s">
        <v>67</v>
      </c>
      <c r="P150" s="5">
        <v>0</v>
      </c>
      <c r="Q150" t="s">
        <v>372</v>
      </c>
      <c r="R150" t="s">
        <v>373</v>
      </c>
      <c r="S150" s="5">
        <v>10.91</v>
      </c>
      <c r="T150" s="3">
        <v>45788</v>
      </c>
      <c r="U150" s="3">
        <v>45798</v>
      </c>
      <c r="V150" t="s">
        <v>77</v>
      </c>
      <c r="W150">
        <f t="shared" si="12"/>
        <v>2855.60025</v>
      </c>
      <c r="X150">
        <f t="shared" si="13"/>
        <v>3164.1</v>
      </c>
      <c r="Y150">
        <f t="shared" si="14"/>
        <v>308.49974999999995</v>
      </c>
      <c r="Z150" s="8" t="str">
        <f t="shared" si="11"/>
        <v>Medium</v>
      </c>
      <c r="AA150" s="12">
        <f>DATE(YEAR(Table1[[#This Row],[OrderDate]]),MONTH(Table1[[#This Row],[OrderDate]]),1)</f>
        <v>45778</v>
      </c>
    </row>
    <row r="151" spans="1:27" x14ac:dyDescent="0.3">
      <c r="A151" s="3">
        <v>45354</v>
      </c>
      <c r="B151" t="s">
        <v>13</v>
      </c>
      <c r="C151" t="s">
        <v>33</v>
      </c>
      <c r="D151" t="str">
        <f>TRIM(Table1[[#This Row],[Product]])</f>
        <v>Phone</v>
      </c>
      <c r="E151" t="str">
        <f>PROPER(Table1[[#This Row],[Column1]])</f>
        <v>Phone</v>
      </c>
      <c r="F151" s="8" t="str">
        <f t="shared" si="10"/>
        <v>Technology</v>
      </c>
      <c r="G151" s="5">
        <v>9</v>
      </c>
      <c r="H151">
        <v>382.8</v>
      </c>
      <c r="I151" t="s">
        <v>81</v>
      </c>
      <c r="J151" t="s">
        <v>58</v>
      </c>
      <c r="K151" s="7">
        <v>0</v>
      </c>
      <c r="L151" t="s">
        <v>25</v>
      </c>
      <c r="M151" s="5">
        <v>3445.2</v>
      </c>
      <c r="N151" t="s">
        <v>88</v>
      </c>
      <c r="P151" s="5">
        <v>0</v>
      </c>
      <c r="Q151" t="s">
        <v>374</v>
      </c>
      <c r="R151" t="s">
        <v>375</v>
      </c>
      <c r="S151" s="5">
        <v>47.94</v>
      </c>
      <c r="T151" s="3">
        <v>45354</v>
      </c>
      <c r="U151" s="3">
        <v>45356</v>
      </c>
      <c r="V151" t="s">
        <v>70</v>
      </c>
      <c r="W151">
        <f t="shared" si="12"/>
        <v>3445.2</v>
      </c>
      <c r="X151">
        <f t="shared" si="13"/>
        <v>3445.2000000000003</v>
      </c>
      <c r="Y151">
        <f t="shared" si="14"/>
        <v>0</v>
      </c>
      <c r="Z151" s="8" t="str">
        <f t="shared" si="11"/>
        <v>No Discount</v>
      </c>
      <c r="AA151" s="12">
        <f>DATE(YEAR(Table1[[#This Row],[OrderDate]]),MONTH(Table1[[#This Row],[OrderDate]]),1)</f>
        <v>45352</v>
      </c>
    </row>
    <row r="152" spans="1:27" x14ac:dyDescent="0.3">
      <c r="A152" s="3">
        <v>45677</v>
      </c>
      <c r="B152" t="s">
        <v>11</v>
      </c>
      <c r="C152" t="s">
        <v>32</v>
      </c>
      <c r="D152" t="str">
        <f>TRIM(Table1[[#This Row],[Product]])</f>
        <v>Monitor</v>
      </c>
      <c r="E152" t="str">
        <f>PROPER(Table1[[#This Row],[Column1]])</f>
        <v>Monitor</v>
      </c>
      <c r="F152" s="8" t="str">
        <f t="shared" si="10"/>
        <v>Technology</v>
      </c>
      <c r="G152" s="5">
        <v>3</v>
      </c>
      <c r="H152">
        <v>386.29</v>
      </c>
      <c r="I152" t="s">
        <v>78</v>
      </c>
      <c r="J152" t="s">
        <v>65</v>
      </c>
      <c r="K152" s="7">
        <v>0.15</v>
      </c>
      <c r="L152" t="s">
        <v>21</v>
      </c>
      <c r="M152" s="5">
        <v>985.03950000000009</v>
      </c>
      <c r="N152" t="s">
        <v>82</v>
      </c>
      <c r="O152" t="s">
        <v>60</v>
      </c>
      <c r="P152" s="5">
        <v>0</v>
      </c>
      <c r="Q152" t="s">
        <v>376</v>
      </c>
      <c r="R152" t="s">
        <v>377</v>
      </c>
      <c r="S152" s="5">
        <v>32.450000000000003</v>
      </c>
      <c r="T152" s="3">
        <v>45677</v>
      </c>
      <c r="U152" s="3">
        <v>45687</v>
      </c>
      <c r="V152" t="s">
        <v>74</v>
      </c>
      <c r="W152">
        <f t="shared" si="12"/>
        <v>837.28357500000004</v>
      </c>
      <c r="X152">
        <f t="shared" si="13"/>
        <v>1158.8700000000001</v>
      </c>
      <c r="Y152">
        <f t="shared" si="14"/>
        <v>321.58642500000008</v>
      </c>
      <c r="Z152" s="8" t="str">
        <f t="shared" si="11"/>
        <v>High</v>
      </c>
      <c r="AA152" s="12">
        <f>DATE(YEAR(Table1[[#This Row],[OrderDate]]),MONTH(Table1[[#This Row],[OrderDate]]),1)</f>
        <v>45658</v>
      </c>
    </row>
    <row r="153" spans="1:27" x14ac:dyDescent="0.3">
      <c r="A153" s="3">
        <v>45738</v>
      </c>
      <c r="B153" t="s">
        <v>11</v>
      </c>
      <c r="C153" t="s">
        <v>35</v>
      </c>
      <c r="D153" t="str">
        <f>TRIM(Table1[[#This Row],[Product]])</f>
        <v>Tablet</v>
      </c>
      <c r="E153" t="str">
        <f>PROPER(Table1[[#This Row],[Column1]])</f>
        <v>Tablet</v>
      </c>
      <c r="F153" s="8" t="str">
        <f t="shared" si="10"/>
        <v>Technology</v>
      </c>
      <c r="G153" s="5">
        <v>5</v>
      </c>
      <c r="H153">
        <v>225.99</v>
      </c>
      <c r="I153" t="s">
        <v>78</v>
      </c>
      <c r="J153" t="s">
        <v>65</v>
      </c>
      <c r="K153" s="7">
        <v>0</v>
      </c>
      <c r="L153" t="s">
        <v>25</v>
      </c>
      <c r="M153" s="5">
        <v>1129.95</v>
      </c>
      <c r="N153" t="s">
        <v>59</v>
      </c>
      <c r="O153" t="s">
        <v>67</v>
      </c>
      <c r="P153" s="5">
        <v>1</v>
      </c>
      <c r="Q153" t="s">
        <v>378</v>
      </c>
      <c r="R153" t="s">
        <v>379</v>
      </c>
      <c r="S153" s="5">
        <v>10.88</v>
      </c>
      <c r="T153" s="3">
        <v>45738</v>
      </c>
      <c r="U153" s="3">
        <v>45746</v>
      </c>
      <c r="V153" t="s">
        <v>74</v>
      </c>
      <c r="W153">
        <f t="shared" si="12"/>
        <v>1129.95</v>
      </c>
      <c r="X153">
        <f t="shared" si="13"/>
        <v>1129.95</v>
      </c>
      <c r="Y153">
        <f t="shared" si="14"/>
        <v>0</v>
      </c>
      <c r="Z153" s="8" t="str">
        <f t="shared" si="11"/>
        <v>No Discount</v>
      </c>
      <c r="AA153" s="12">
        <f>DATE(YEAR(Table1[[#This Row],[OrderDate]]),MONTH(Table1[[#This Row],[OrderDate]]),1)</f>
        <v>45717</v>
      </c>
    </row>
    <row r="154" spans="1:27" x14ac:dyDescent="0.3">
      <c r="A154" s="3">
        <v>45744</v>
      </c>
      <c r="B154" t="s">
        <v>13</v>
      </c>
      <c r="C154" t="s">
        <v>34</v>
      </c>
      <c r="D154" t="str">
        <f>TRIM(Table1[[#This Row],[Product]])</f>
        <v>Printer</v>
      </c>
      <c r="E154" t="str">
        <f>PROPER(Table1[[#This Row],[Column1]])</f>
        <v>Printer</v>
      </c>
      <c r="F154" s="8" t="str">
        <f t="shared" si="10"/>
        <v>Office Supplies</v>
      </c>
      <c r="G154" s="5">
        <v>20</v>
      </c>
      <c r="H154">
        <v>312.56</v>
      </c>
      <c r="I154" t="s">
        <v>81</v>
      </c>
      <c r="J154" t="s">
        <v>65</v>
      </c>
      <c r="K154" s="7">
        <v>0.15</v>
      </c>
      <c r="L154" t="s">
        <v>27</v>
      </c>
      <c r="M154" s="5">
        <v>5313.52</v>
      </c>
      <c r="N154" t="s">
        <v>66</v>
      </c>
      <c r="O154" t="s">
        <v>71</v>
      </c>
      <c r="P154" s="5">
        <v>0</v>
      </c>
      <c r="Q154" t="s">
        <v>380</v>
      </c>
      <c r="R154" t="s">
        <v>80</v>
      </c>
      <c r="S154" s="5">
        <v>47.39</v>
      </c>
      <c r="T154" s="3">
        <v>45744</v>
      </c>
      <c r="U154" s="3">
        <v>45746</v>
      </c>
      <c r="V154" t="s">
        <v>70</v>
      </c>
      <c r="W154">
        <f t="shared" si="12"/>
        <v>4516.4920000000002</v>
      </c>
      <c r="X154">
        <f t="shared" si="13"/>
        <v>6251.2</v>
      </c>
      <c r="Y154">
        <f t="shared" si="14"/>
        <v>1734.7079999999996</v>
      </c>
      <c r="Z154" s="8" t="str">
        <f t="shared" si="11"/>
        <v>High</v>
      </c>
      <c r="AA154" s="12">
        <f>DATE(YEAR(Table1[[#This Row],[OrderDate]]),MONTH(Table1[[#This Row],[OrderDate]]),1)</f>
        <v>45717</v>
      </c>
    </row>
    <row r="155" spans="1:27" x14ac:dyDescent="0.3">
      <c r="A155" s="3">
        <v>45705</v>
      </c>
      <c r="B155" t="s">
        <v>11</v>
      </c>
      <c r="C155" t="s">
        <v>33</v>
      </c>
      <c r="D155" t="str">
        <f>TRIM(Table1[[#This Row],[Product]])</f>
        <v>Phone</v>
      </c>
      <c r="E155" t="str">
        <f>PROPER(Table1[[#This Row],[Column1]])</f>
        <v>Phone</v>
      </c>
      <c r="F155" s="8" t="str">
        <f t="shared" si="10"/>
        <v>Technology</v>
      </c>
      <c r="G155" s="5">
        <v>13</v>
      </c>
      <c r="H155">
        <v>433.77</v>
      </c>
      <c r="I155" t="s">
        <v>78</v>
      </c>
      <c r="J155" t="s">
        <v>58</v>
      </c>
      <c r="K155" s="7">
        <v>0.05</v>
      </c>
      <c r="L155" t="s">
        <v>27</v>
      </c>
      <c r="M155" s="5">
        <v>5357.0595000000003</v>
      </c>
      <c r="N155" t="s">
        <v>88</v>
      </c>
      <c r="O155" t="s">
        <v>60</v>
      </c>
      <c r="P155" s="5">
        <v>0</v>
      </c>
      <c r="Q155" t="s">
        <v>381</v>
      </c>
      <c r="R155" t="s">
        <v>382</v>
      </c>
      <c r="S155" s="5">
        <v>17.61</v>
      </c>
      <c r="T155" s="3">
        <v>45705</v>
      </c>
      <c r="U155" s="3">
        <v>45709</v>
      </c>
      <c r="V155" t="s">
        <v>74</v>
      </c>
      <c r="W155">
        <f t="shared" si="12"/>
        <v>5089.2065249999996</v>
      </c>
      <c r="X155">
        <f t="shared" si="13"/>
        <v>5639.01</v>
      </c>
      <c r="Y155">
        <f t="shared" si="14"/>
        <v>549.80347500000062</v>
      </c>
      <c r="Z155" s="8" t="str">
        <f t="shared" si="11"/>
        <v>Medium</v>
      </c>
      <c r="AA155" s="12">
        <f>DATE(YEAR(Table1[[#This Row],[OrderDate]]),MONTH(Table1[[#This Row],[OrderDate]]),1)</f>
        <v>45689</v>
      </c>
    </row>
    <row r="156" spans="1:27" x14ac:dyDescent="0.3">
      <c r="A156" s="3">
        <v>45604</v>
      </c>
      <c r="B156" t="s">
        <v>13</v>
      </c>
      <c r="C156" t="s">
        <v>35</v>
      </c>
      <c r="D156" t="str">
        <f>TRIM(Table1[[#This Row],[Product]])</f>
        <v>Tablet</v>
      </c>
      <c r="E156" t="str">
        <f>PROPER(Table1[[#This Row],[Column1]])</f>
        <v>Tablet</v>
      </c>
      <c r="F156" s="8" t="str">
        <f t="shared" si="10"/>
        <v>Technology</v>
      </c>
      <c r="G156" s="5">
        <v>20</v>
      </c>
      <c r="H156">
        <v>159.33000000000001</v>
      </c>
      <c r="I156" t="s">
        <v>64</v>
      </c>
      <c r="J156" t="s">
        <v>58</v>
      </c>
      <c r="K156" s="7">
        <v>0</v>
      </c>
      <c r="L156" t="s">
        <v>25</v>
      </c>
      <c r="M156" s="5">
        <v>3186.6</v>
      </c>
      <c r="N156" t="s">
        <v>59</v>
      </c>
      <c r="O156" t="s">
        <v>60</v>
      </c>
      <c r="P156" s="5">
        <v>0</v>
      </c>
      <c r="Q156" t="s">
        <v>383</v>
      </c>
      <c r="R156" t="s">
        <v>384</v>
      </c>
      <c r="S156" s="5">
        <v>26.32</v>
      </c>
      <c r="T156" s="3">
        <v>45604</v>
      </c>
      <c r="U156" s="3">
        <v>45607</v>
      </c>
      <c r="V156" t="s">
        <v>70</v>
      </c>
      <c r="W156">
        <f t="shared" si="12"/>
        <v>3186.6</v>
      </c>
      <c r="X156">
        <f t="shared" si="13"/>
        <v>3186.6000000000004</v>
      </c>
      <c r="Y156">
        <f t="shared" si="14"/>
        <v>0</v>
      </c>
      <c r="Z156" s="8" t="str">
        <f t="shared" si="11"/>
        <v>No Discount</v>
      </c>
      <c r="AA156" s="12">
        <f>DATE(YEAR(Table1[[#This Row],[OrderDate]]),MONTH(Table1[[#This Row],[OrderDate]]),1)</f>
        <v>45597</v>
      </c>
    </row>
    <row r="157" spans="1:27" x14ac:dyDescent="0.3">
      <c r="A157" s="3">
        <v>45368</v>
      </c>
      <c r="B157" t="s">
        <v>13</v>
      </c>
      <c r="C157" t="s">
        <v>33</v>
      </c>
      <c r="D157" t="str">
        <f>TRIM(Table1[[#This Row],[Product]])</f>
        <v>Phone</v>
      </c>
      <c r="E157" t="str">
        <f>PROPER(Table1[[#This Row],[Column1]])</f>
        <v>Phone</v>
      </c>
      <c r="F157" s="8" t="str">
        <f t="shared" si="10"/>
        <v>Technology</v>
      </c>
      <c r="G157" s="5">
        <v>18</v>
      </c>
      <c r="H157">
        <v>32.229999999999997</v>
      </c>
      <c r="I157" t="s">
        <v>57</v>
      </c>
      <c r="J157" t="s">
        <v>65</v>
      </c>
      <c r="K157" s="7">
        <v>0.05</v>
      </c>
      <c r="L157" t="s">
        <v>19</v>
      </c>
      <c r="M157" s="5">
        <v>551.13299999999992</v>
      </c>
      <c r="N157" t="s">
        <v>82</v>
      </c>
      <c r="O157" t="s">
        <v>60</v>
      </c>
      <c r="P157" s="5">
        <v>0</v>
      </c>
      <c r="Q157" t="s">
        <v>385</v>
      </c>
      <c r="R157" t="s">
        <v>386</v>
      </c>
      <c r="S157" s="5">
        <v>6.04</v>
      </c>
      <c r="T157" s="3">
        <v>45368</v>
      </c>
      <c r="U157" s="3">
        <v>45372</v>
      </c>
      <c r="V157" t="s">
        <v>70</v>
      </c>
      <c r="W157">
        <f t="shared" si="12"/>
        <v>523.57634999999993</v>
      </c>
      <c r="X157">
        <f t="shared" si="13"/>
        <v>580.14</v>
      </c>
      <c r="Y157">
        <f t="shared" si="14"/>
        <v>56.563650000000052</v>
      </c>
      <c r="Z157" s="8" t="str">
        <f t="shared" si="11"/>
        <v>Medium</v>
      </c>
      <c r="AA157" s="12">
        <f>DATE(YEAR(Table1[[#This Row],[OrderDate]]),MONTH(Table1[[#This Row],[OrderDate]]),1)</f>
        <v>45352</v>
      </c>
    </row>
    <row r="158" spans="1:27" x14ac:dyDescent="0.3">
      <c r="A158" s="3">
        <v>45167</v>
      </c>
      <c r="B158" t="s">
        <v>13</v>
      </c>
      <c r="C158" t="s">
        <v>32</v>
      </c>
      <c r="D158" t="str">
        <f>TRIM(Table1[[#This Row],[Product]])</f>
        <v>Monitor</v>
      </c>
      <c r="E158" t="str">
        <f>PROPER(Table1[[#This Row],[Column1]])</f>
        <v>Monitor</v>
      </c>
      <c r="F158" s="8" t="str">
        <f t="shared" si="10"/>
        <v>Technology</v>
      </c>
      <c r="G158" s="5">
        <v>3</v>
      </c>
      <c r="H158">
        <v>527.77</v>
      </c>
      <c r="I158" t="s">
        <v>78</v>
      </c>
      <c r="J158" t="s">
        <v>65</v>
      </c>
      <c r="K158" s="7">
        <v>0.1</v>
      </c>
      <c r="L158" t="s">
        <v>19</v>
      </c>
      <c r="M158" s="5">
        <v>1424.979</v>
      </c>
      <c r="N158" t="s">
        <v>88</v>
      </c>
      <c r="O158" t="s">
        <v>60</v>
      </c>
      <c r="P158" s="5">
        <v>0</v>
      </c>
      <c r="Q158" t="s">
        <v>387</v>
      </c>
      <c r="R158" t="s">
        <v>388</v>
      </c>
      <c r="S158" s="5">
        <v>48.66</v>
      </c>
      <c r="T158" s="3">
        <v>45167</v>
      </c>
      <c r="U158" s="3">
        <v>45170</v>
      </c>
      <c r="V158" t="s">
        <v>70</v>
      </c>
      <c r="W158">
        <f t="shared" si="12"/>
        <v>1282.4811</v>
      </c>
      <c r="X158">
        <f t="shared" si="13"/>
        <v>1583.31</v>
      </c>
      <c r="Y158">
        <f t="shared" si="14"/>
        <v>300.82889999999998</v>
      </c>
      <c r="Z158" s="8" t="str">
        <f t="shared" si="11"/>
        <v>Medium</v>
      </c>
      <c r="AA158" s="12">
        <f>DATE(YEAR(Table1[[#This Row],[OrderDate]]),MONTH(Table1[[#This Row],[OrderDate]]),1)</f>
        <v>45139</v>
      </c>
    </row>
    <row r="159" spans="1:27" x14ac:dyDescent="0.3">
      <c r="A159" s="3">
        <v>45099</v>
      </c>
      <c r="B159" t="s">
        <v>13</v>
      </c>
      <c r="C159" t="s">
        <v>29</v>
      </c>
      <c r="D159" t="str">
        <f>TRIM(Table1[[#This Row],[Product]])</f>
        <v>Chair</v>
      </c>
      <c r="E159" t="str">
        <f>PROPER(Table1[[#This Row],[Column1]])</f>
        <v>Chair</v>
      </c>
      <c r="F159" s="8" t="str">
        <f t="shared" si="10"/>
        <v>Furniture</v>
      </c>
      <c r="G159" s="5">
        <v>14</v>
      </c>
      <c r="H159">
        <v>291.08999999999997</v>
      </c>
      <c r="I159" t="s">
        <v>64</v>
      </c>
      <c r="J159" t="s">
        <v>65</v>
      </c>
      <c r="K159" s="7">
        <v>0</v>
      </c>
      <c r="L159" t="s">
        <v>21</v>
      </c>
      <c r="M159" s="5">
        <v>4075.26</v>
      </c>
      <c r="N159" t="s">
        <v>88</v>
      </c>
      <c r="P159" s="5">
        <v>0</v>
      </c>
      <c r="Q159" t="s">
        <v>389</v>
      </c>
      <c r="R159" t="s">
        <v>390</v>
      </c>
      <c r="S159" s="5">
        <v>39.979999999999997</v>
      </c>
      <c r="T159" s="3">
        <v>45099</v>
      </c>
      <c r="U159" s="3">
        <v>45107</v>
      </c>
      <c r="V159" t="s">
        <v>70</v>
      </c>
      <c r="W159">
        <f t="shared" si="12"/>
        <v>4075.26</v>
      </c>
      <c r="X159">
        <f t="shared" si="13"/>
        <v>4075.2599999999998</v>
      </c>
      <c r="Y159">
        <f t="shared" si="14"/>
        <v>0</v>
      </c>
      <c r="Z159" s="8" t="str">
        <f t="shared" si="11"/>
        <v>No Discount</v>
      </c>
      <c r="AA159" s="12">
        <f>DATE(YEAR(Table1[[#This Row],[OrderDate]]),MONTH(Table1[[#This Row],[OrderDate]]),1)</f>
        <v>45078</v>
      </c>
    </row>
    <row r="160" spans="1:27" x14ac:dyDescent="0.3">
      <c r="A160" s="3">
        <v>45346</v>
      </c>
      <c r="B160" t="s">
        <v>13</v>
      </c>
      <c r="C160" t="s">
        <v>33</v>
      </c>
      <c r="D160" t="str">
        <f>TRIM(Table1[[#This Row],[Product]])</f>
        <v>Phone</v>
      </c>
      <c r="E160" t="str">
        <f>PROPER(Table1[[#This Row],[Column1]])</f>
        <v>Phone</v>
      </c>
      <c r="F160" s="8" t="str">
        <f t="shared" si="10"/>
        <v>Technology</v>
      </c>
      <c r="G160" s="5">
        <v>8</v>
      </c>
      <c r="H160">
        <v>350.12</v>
      </c>
      <c r="I160" t="s">
        <v>78</v>
      </c>
      <c r="J160" t="s">
        <v>65</v>
      </c>
      <c r="K160" s="7">
        <v>0</v>
      </c>
      <c r="L160" t="s">
        <v>18</v>
      </c>
      <c r="M160" s="5">
        <v>2800.96</v>
      </c>
      <c r="N160" t="s">
        <v>66</v>
      </c>
      <c r="O160" t="s">
        <v>60</v>
      </c>
      <c r="P160" s="5">
        <v>1</v>
      </c>
      <c r="Q160" t="s">
        <v>391</v>
      </c>
      <c r="R160" t="s">
        <v>392</v>
      </c>
      <c r="S160" s="5">
        <v>31.65</v>
      </c>
      <c r="T160" s="3">
        <v>45346</v>
      </c>
      <c r="U160" s="3">
        <v>45352</v>
      </c>
      <c r="V160" t="s">
        <v>70</v>
      </c>
      <c r="W160">
        <f t="shared" si="12"/>
        <v>2800.96</v>
      </c>
      <c r="X160">
        <f t="shared" si="13"/>
        <v>2800.96</v>
      </c>
      <c r="Y160">
        <f t="shared" si="14"/>
        <v>0</v>
      </c>
      <c r="Z160" s="8" t="str">
        <f t="shared" si="11"/>
        <v>No Discount</v>
      </c>
      <c r="AA160" s="12">
        <f>DATE(YEAR(Table1[[#This Row],[OrderDate]]),MONTH(Table1[[#This Row],[OrderDate]]),1)</f>
        <v>45323</v>
      </c>
    </row>
    <row r="161" spans="1:27" x14ac:dyDescent="0.3">
      <c r="A161" s="3">
        <v>45392</v>
      </c>
      <c r="B161" t="s">
        <v>11</v>
      </c>
      <c r="C161" t="s">
        <v>33</v>
      </c>
      <c r="D161" t="str">
        <f>TRIM(Table1[[#This Row],[Product]])</f>
        <v>Phone</v>
      </c>
      <c r="E161" t="str">
        <f>PROPER(Table1[[#This Row],[Column1]])</f>
        <v>Phone</v>
      </c>
      <c r="F161" s="8" t="str">
        <f t="shared" si="10"/>
        <v>Technology</v>
      </c>
      <c r="G161" s="5">
        <v>10</v>
      </c>
      <c r="H161">
        <v>195.26</v>
      </c>
      <c r="I161" t="s">
        <v>81</v>
      </c>
      <c r="J161" t="s">
        <v>65</v>
      </c>
      <c r="K161" s="7">
        <v>0.05</v>
      </c>
      <c r="L161" t="s">
        <v>18</v>
      </c>
      <c r="M161" s="5">
        <v>1854.97</v>
      </c>
      <c r="N161" t="s">
        <v>82</v>
      </c>
      <c r="O161" t="s">
        <v>71</v>
      </c>
      <c r="P161" s="5">
        <v>0</v>
      </c>
      <c r="Q161" t="s">
        <v>393</v>
      </c>
      <c r="R161" t="s">
        <v>394</v>
      </c>
      <c r="S161" s="5">
        <v>46.91</v>
      </c>
      <c r="T161" s="3">
        <v>45392</v>
      </c>
      <c r="U161" s="3">
        <v>45397</v>
      </c>
      <c r="V161" t="s">
        <v>74</v>
      </c>
      <c r="W161">
        <f t="shared" si="12"/>
        <v>1762.2214999999999</v>
      </c>
      <c r="X161">
        <f t="shared" si="13"/>
        <v>1952.6</v>
      </c>
      <c r="Y161">
        <f t="shared" si="14"/>
        <v>190.37850000000003</v>
      </c>
      <c r="Z161" s="8" t="str">
        <f t="shared" si="11"/>
        <v>Medium</v>
      </c>
      <c r="AA161" s="12">
        <f>DATE(YEAR(Table1[[#This Row],[OrderDate]]),MONTH(Table1[[#This Row],[OrderDate]]),1)</f>
        <v>45383</v>
      </c>
    </row>
    <row r="162" spans="1:27" x14ac:dyDescent="0.3">
      <c r="A162" s="3">
        <v>45060</v>
      </c>
      <c r="B162" t="s">
        <v>13</v>
      </c>
      <c r="C162" t="s">
        <v>32</v>
      </c>
      <c r="D162" t="str">
        <f>TRIM(Table1[[#This Row],[Product]])</f>
        <v>Monitor</v>
      </c>
      <c r="E162" t="str">
        <f>PROPER(Table1[[#This Row],[Column1]])</f>
        <v>Monitor</v>
      </c>
      <c r="F162" s="8" t="str">
        <f t="shared" si="10"/>
        <v>Technology</v>
      </c>
      <c r="G162" s="5">
        <v>13</v>
      </c>
      <c r="H162">
        <v>291.10000000000002</v>
      </c>
      <c r="I162" t="s">
        <v>64</v>
      </c>
      <c r="J162" t="s">
        <v>58</v>
      </c>
      <c r="K162" s="7">
        <v>0</v>
      </c>
      <c r="L162" t="s">
        <v>18</v>
      </c>
      <c r="M162" s="5">
        <v>3784.3</v>
      </c>
      <c r="N162" t="s">
        <v>59</v>
      </c>
      <c r="O162" t="s">
        <v>60</v>
      </c>
      <c r="P162" s="5">
        <v>0</v>
      </c>
      <c r="Q162" t="s">
        <v>395</v>
      </c>
      <c r="R162" t="s">
        <v>396</v>
      </c>
      <c r="S162" s="5">
        <v>7.66</v>
      </c>
      <c r="T162" s="3">
        <v>45060</v>
      </c>
      <c r="U162" s="3">
        <v>45065</v>
      </c>
      <c r="V162" t="s">
        <v>70</v>
      </c>
      <c r="W162">
        <f t="shared" si="12"/>
        <v>3784.3</v>
      </c>
      <c r="X162">
        <f t="shared" si="13"/>
        <v>3784.3</v>
      </c>
      <c r="Y162">
        <f t="shared" si="14"/>
        <v>0</v>
      </c>
      <c r="Z162" s="8" t="str">
        <f t="shared" si="11"/>
        <v>No Discount</v>
      </c>
      <c r="AA162" s="12">
        <f>DATE(YEAR(Table1[[#This Row],[OrderDate]]),MONTH(Table1[[#This Row],[OrderDate]]),1)</f>
        <v>45047</v>
      </c>
    </row>
    <row r="163" spans="1:27" x14ac:dyDescent="0.3">
      <c r="A163" s="3">
        <v>44996</v>
      </c>
      <c r="B163" t="s">
        <v>13</v>
      </c>
      <c r="C163" t="s">
        <v>32</v>
      </c>
      <c r="D163" t="str">
        <f>TRIM(Table1[[#This Row],[Product]])</f>
        <v>Monitor</v>
      </c>
      <c r="E163" t="str">
        <f>PROPER(Table1[[#This Row],[Column1]])</f>
        <v>Monitor</v>
      </c>
      <c r="F163" s="8" t="str">
        <f t="shared" si="10"/>
        <v>Technology</v>
      </c>
      <c r="G163" s="5">
        <v>6</v>
      </c>
      <c r="H163">
        <v>93.92</v>
      </c>
      <c r="I163" t="s">
        <v>57</v>
      </c>
      <c r="J163" t="s">
        <v>58</v>
      </c>
      <c r="K163" s="7">
        <v>0.15</v>
      </c>
      <c r="L163" t="s">
        <v>25</v>
      </c>
      <c r="M163" s="5">
        <v>478.99200000000002</v>
      </c>
      <c r="N163" t="s">
        <v>82</v>
      </c>
      <c r="O163" t="s">
        <v>60</v>
      </c>
      <c r="P163" s="5">
        <v>0</v>
      </c>
      <c r="Q163" t="s">
        <v>397</v>
      </c>
      <c r="R163" t="s">
        <v>398</v>
      </c>
      <c r="S163" s="5">
        <v>11</v>
      </c>
      <c r="T163" s="3">
        <v>44996</v>
      </c>
      <c r="U163" s="3">
        <v>45003</v>
      </c>
      <c r="V163" t="s">
        <v>70</v>
      </c>
      <c r="W163">
        <f t="shared" si="12"/>
        <v>407.14319999999998</v>
      </c>
      <c r="X163">
        <f t="shared" si="13"/>
        <v>563.52</v>
      </c>
      <c r="Y163">
        <f t="shared" si="14"/>
        <v>156.3768</v>
      </c>
      <c r="Z163" s="8" t="str">
        <f t="shared" si="11"/>
        <v>High</v>
      </c>
      <c r="AA163" s="12">
        <f>DATE(YEAR(Table1[[#This Row],[OrderDate]]),MONTH(Table1[[#This Row],[OrderDate]]),1)</f>
        <v>44986</v>
      </c>
    </row>
    <row r="164" spans="1:27" x14ac:dyDescent="0.3">
      <c r="A164" s="3">
        <v>45528</v>
      </c>
      <c r="B164" t="s">
        <v>7</v>
      </c>
      <c r="C164" t="s">
        <v>34</v>
      </c>
      <c r="D164" t="str">
        <f>TRIM(Table1[[#This Row],[Product]])</f>
        <v>Printer</v>
      </c>
      <c r="E164" t="str">
        <f>PROPER(Table1[[#This Row],[Column1]])</f>
        <v>Printer</v>
      </c>
      <c r="F164" s="8" t="str">
        <f t="shared" si="10"/>
        <v>Office Supplies</v>
      </c>
      <c r="G164" s="5">
        <v>5</v>
      </c>
      <c r="H164">
        <v>15.92</v>
      </c>
      <c r="I164" t="s">
        <v>81</v>
      </c>
      <c r="J164" t="s">
        <v>65</v>
      </c>
      <c r="K164" s="7">
        <v>0</v>
      </c>
      <c r="L164" t="s">
        <v>25</v>
      </c>
      <c r="M164" s="5">
        <v>79.599999999999994</v>
      </c>
      <c r="N164" t="s">
        <v>82</v>
      </c>
      <c r="P164" s="5">
        <v>1</v>
      </c>
      <c r="Q164" t="s">
        <v>399</v>
      </c>
      <c r="R164" t="s">
        <v>400</v>
      </c>
      <c r="S164" s="5">
        <v>8.66</v>
      </c>
      <c r="T164" s="3">
        <v>45528</v>
      </c>
      <c r="U164" s="3">
        <v>45530</v>
      </c>
      <c r="V164" t="s">
        <v>77</v>
      </c>
      <c r="W164">
        <f t="shared" si="12"/>
        <v>79.599999999999994</v>
      </c>
      <c r="X164">
        <f t="shared" si="13"/>
        <v>79.599999999999994</v>
      </c>
      <c r="Y164">
        <f t="shared" si="14"/>
        <v>0</v>
      </c>
      <c r="Z164" s="8" t="str">
        <f t="shared" si="11"/>
        <v>No Discount</v>
      </c>
      <c r="AA164" s="12">
        <f>DATE(YEAR(Table1[[#This Row],[OrderDate]]),MONTH(Table1[[#This Row],[OrderDate]]),1)</f>
        <v>45505</v>
      </c>
    </row>
    <row r="165" spans="1:27" x14ac:dyDescent="0.3">
      <c r="A165" s="3">
        <v>45345</v>
      </c>
      <c r="B165" t="s">
        <v>13</v>
      </c>
      <c r="C165" t="s">
        <v>32</v>
      </c>
      <c r="D165" t="str">
        <f>TRIM(Table1[[#This Row],[Product]])</f>
        <v>Monitor</v>
      </c>
      <c r="E165" t="str">
        <f>PROPER(Table1[[#This Row],[Column1]])</f>
        <v>Monitor</v>
      </c>
      <c r="F165" s="8" t="str">
        <f t="shared" si="10"/>
        <v>Technology</v>
      </c>
      <c r="G165" s="5">
        <v>16</v>
      </c>
      <c r="H165">
        <v>120.22</v>
      </c>
      <c r="I165" t="s">
        <v>81</v>
      </c>
      <c r="J165" t="s">
        <v>65</v>
      </c>
      <c r="K165" s="7">
        <v>0.15</v>
      </c>
      <c r="L165" t="s">
        <v>19</v>
      </c>
      <c r="M165" s="5">
        <v>1634.992</v>
      </c>
      <c r="N165" t="s">
        <v>88</v>
      </c>
      <c r="O165" t="s">
        <v>67</v>
      </c>
      <c r="P165" s="5">
        <v>0</v>
      </c>
      <c r="Q165" t="s">
        <v>401</v>
      </c>
      <c r="R165" t="s">
        <v>402</v>
      </c>
      <c r="S165" s="5">
        <v>8.42</v>
      </c>
      <c r="T165" s="3">
        <v>45345</v>
      </c>
      <c r="U165" s="3">
        <v>45352</v>
      </c>
      <c r="V165" t="s">
        <v>70</v>
      </c>
      <c r="W165">
        <f t="shared" si="12"/>
        <v>1389.7431999999999</v>
      </c>
      <c r="X165">
        <f t="shared" si="13"/>
        <v>1923.52</v>
      </c>
      <c r="Y165">
        <f t="shared" si="14"/>
        <v>533.77680000000009</v>
      </c>
      <c r="Z165" s="8" t="str">
        <f t="shared" si="11"/>
        <v>High</v>
      </c>
      <c r="AA165" s="12">
        <f>DATE(YEAR(Table1[[#This Row],[OrderDate]]),MONTH(Table1[[#This Row],[OrderDate]]),1)</f>
        <v>45323</v>
      </c>
    </row>
    <row r="166" spans="1:27" x14ac:dyDescent="0.3">
      <c r="A166" s="3">
        <v>45321</v>
      </c>
      <c r="B166" t="s">
        <v>11</v>
      </c>
      <c r="C166" t="s">
        <v>32</v>
      </c>
      <c r="D166" t="str">
        <f>TRIM(Table1[[#This Row],[Product]])</f>
        <v>Monitor</v>
      </c>
      <c r="E166" t="str">
        <f>PROPER(Table1[[#This Row],[Column1]])</f>
        <v>Monitor</v>
      </c>
      <c r="F166" s="8" t="str">
        <f t="shared" si="10"/>
        <v>Technology</v>
      </c>
      <c r="G166" s="5">
        <v>11</v>
      </c>
      <c r="H166">
        <v>118.8</v>
      </c>
      <c r="I166" t="s">
        <v>64</v>
      </c>
      <c r="J166" t="s">
        <v>65</v>
      </c>
      <c r="K166" s="7">
        <v>0.05</v>
      </c>
      <c r="L166" t="s">
        <v>25</v>
      </c>
      <c r="M166" s="5">
        <v>1241.46</v>
      </c>
      <c r="N166" t="s">
        <v>59</v>
      </c>
      <c r="O166" t="s">
        <v>67</v>
      </c>
      <c r="P166" s="5">
        <v>0</v>
      </c>
      <c r="Q166" t="s">
        <v>403</v>
      </c>
      <c r="R166" t="s">
        <v>404</v>
      </c>
      <c r="S166" s="5">
        <v>39.32</v>
      </c>
      <c r="T166" s="3">
        <v>45321</v>
      </c>
      <c r="U166" s="3">
        <v>45328</v>
      </c>
      <c r="V166" t="s">
        <v>74</v>
      </c>
      <c r="W166">
        <f t="shared" si="12"/>
        <v>1179.3869999999999</v>
      </c>
      <c r="X166">
        <f t="shared" si="13"/>
        <v>1306.8</v>
      </c>
      <c r="Y166">
        <f t="shared" si="14"/>
        <v>127.41300000000001</v>
      </c>
      <c r="Z166" s="8" t="str">
        <f t="shared" si="11"/>
        <v>Medium</v>
      </c>
      <c r="AA166" s="12">
        <f>DATE(YEAR(Table1[[#This Row],[OrderDate]]),MONTH(Table1[[#This Row],[OrderDate]]),1)</f>
        <v>45292</v>
      </c>
    </row>
    <row r="167" spans="1:27" x14ac:dyDescent="0.3">
      <c r="A167" s="3">
        <v>45314</v>
      </c>
      <c r="B167" t="s">
        <v>9</v>
      </c>
      <c r="C167" t="s">
        <v>35</v>
      </c>
      <c r="D167" t="str">
        <f>TRIM(Table1[[#This Row],[Product]])</f>
        <v>Tablet</v>
      </c>
      <c r="E167" t="str">
        <f>PROPER(Table1[[#This Row],[Column1]])</f>
        <v>Tablet</v>
      </c>
      <c r="F167" s="8" t="str">
        <f t="shared" si="10"/>
        <v>Technology</v>
      </c>
      <c r="G167" s="5">
        <v>10</v>
      </c>
      <c r="H167">
        <v>92.45</v>
      </c>
      <c r="I167" t="s">
        <v>78</v>
      </c>
      <c r="J167" t="s">
        <v>58</v>
      </c>
      <c r="K167" s="7">
        <v>0.1</v>
      </c>
      <c r="L167" t="s">
        <v>27</v>
      </c>
      <c r="M167" s="5">
        <v>832.05000000000007</v>
      </c>
      <c r="N167" t="s">
        <v>88</v>
      </c>
      <c r="O167" t="s">
        <v>71</v>
      </c>
      <c r="P167" s="5">
        <v>1</v>
      </c>
      <c r="Q167" t="s">
        <v>405</v>
      </c>
      <c r="R167" t="s">
        <v>406</v>
      </c>
      <c r="S167" s="5">
        <v>42.61</v>
      </c>
      <c r="T167" s="3">
        <v>45314</v>
      </c>
      <c r="U167" s="3">
        <v>45320</v>
      </c>
      <c r="V167" t="s">
        <v>63</v>
      </c>
      <c r="W167">
        <f t="shared" si="12"/>
        <v>748.84500000000003</v>
      </c>
      <c r="X167">
        <f t="shared" si="13"/>
        <v>924.5</v>
      </c>
      <c r="Y167">
        <f t="shared" si="14"/>
        <v>175.65499999999997</v>
      </c>
      <c r="Z167" s="8" t="str">
        <f t="shared" si="11"/>
        <v>Medium</v>
      </c>
      <c r="AA167" s="12">
        <f>DATE(YEAR(Table1[[#This Row],[OrderDate]]),MONTH(Table1[[#This Row],[OrderDate]]),1)</f>
        <v>45292</v>
      </c>
    </row>
    <row r="168" spans="1:27" x14ac:dyDescent="0.3">
      <c r="A168" s="3">
        <v>44931</v>
      </c>
      <c r="B168" t="s">
        <v>11</v>
      </c>
      <c r="C168" t="s">
        <v>31</v>
      </c>
      <c r="D168" t="str">
        <f>TRIM(Table1[[#This Row],[Product]])</f>
        <v>Laptop</v>
      </c>
      <c r="E168" t="str">
        <f>PROPER(Table1[[#This Row],[Column1]])</f>
        <v>Laptop</v>
      </c>
      <c r="F168" s="8" t="str">
        <f t="shared" si="10"/>
        <v>Technology</v>
      </c>
      <c r="G168" s="5">
        <v>19</v>
      </c>
      <c r="H168">
        <v>463.51</v>
      </c>
      <c r="I168" t="s">
        <v>57</v>
      </c>
      <c r="J168" t="s">
        <v>65</v>
      </c>
      <c r="K168" s="7">
        <v>0</v>
      </c>
      <c r="L168" t="s">
        <v>19</v>
      </c>
      <c r="M168" s="5">
        <v>8806.69</v>
      </c>
      <c r="N168" t="s">
        <v>88</v>
      </c>
      <c r="O168" t="s">
        <v>60</v>
      </c>
      <c r="P168" s="5">
        <v>0</v>
      </c>
      <c r="Q168" t="s">
        <v>407</v>
      </c>
      <c r="R168" t="s">
        <v>408</v>
      </c>
      <c r="S168" s="5">
        <v>49.38</v>
      </c>
      <c r="T168" s="3">
        <v>44931</v>
      </c>
      <c r="U168" s="3">
        <v>44934</v>
      </c>
      <c r="V168" t="s">
        <v>74</v>
      </c>
      <c r="W168">
        <f t="shared" si="12"/>
        <v>8806.69</v>
      </c>
      <c r="X168">
        <f t="shared" si="13"/>
        <v>8806.69</v>
      </c>
      <c r="Y168">
        <f t="shared" si="14"/>
        <v>0</v>
      </c>
      <c r="Z168" s="8" t="str">
        <f t="shared" si="11"/>
        <v>No Discount</v>
      </c>
      <c r="AA168" s="12">
        <f>DATE(YEAR(Table1[[#This Row],[OrderDate]]),MONTH(Table1[[#This Row],[OrderDate]]),1)</f>
        <v>44927</v>
      </c>
    </row>
    <row r="169" spans="1:27" x14ac:dyDescent="0.3">
      <c r="A169" s="3">
        <v>45281</v>
      </c>
      <c r="B169" t="s">
        <v>11</v>
      </c>
      <c r="C169" t="s">
        <v>30</v>
      </c>
      <c r="D169" t="str">
        <f>TRIM(Table1[[#This Row],[Product]])</f>
        <v>Desk</v>
      </c>
      <c r="E169" t="str">
        <f>PROPER(Table1[[#This Row],[Column1]])</f>
        <v>Desk</v>
      </c>
      <c r="F169" s="8" t="str">
        <f t="shared" si="10"/>
        <v>Furniture</v>
      </c>
      <c r="G169" s="5">
        <v>7</v>
      </c>
      <c r="H169">
        <v>284.7</v>
      </c>
      <c r="I169" t="s">
        <v>81</v>
      </c>
      <c r="J169" t="s">
        <v>58</v>
      </c>
      <c r="K169" s="7">
        <v>0.05</v>
      </c>
      <c r="L169" t="s">
        <v>19</v>
      </c>
      <c r="M169" s="5">
        <v>1893.2550000000001</v>
      </c>
      <c r="N169" t="s">
        <v>66</v>
      </c>
      <c r="P169" s="5">
        <v>0</v>
      </c>
      <c r="Q169" t="s">
        <v>409</v>
      </c>
      <c r="R169" t="s">
        <v>410</v>
      </c>
      <c r="S169" s="5">
        <v>5.36</v>
      </c>
      <c r="T169" s="3">
        <v>45281</v>
      </c>
      <c r="U169" s="3">
        <v>45290</v>
      </c>
      <c r="V169" t="s">
        <v>74</v>
      </c>
      <c r="W169">
        <f t="shared" si="12"/>
        <v>1798.5922499999999</v>
      </c>
      <c r="X169">
        <f t="shared" si="13"/>
        <v>1992.8999999999999</v>
      </c>
      <c r="Y169">
        <f t="shared" si="14"/>
        <v>194.30774999999994</v>
      </c>
      <c r="Z169" s="8" t="str">
        <f t="shared" si="11"/>
        <v>Medium</v>
      </c>
      <c r="AA169" s="12">
        <f>DATE(YEAR(Table1[[#This Row],[OrderDate]]),MONTH(Table1[[#This Row],[OrderDate]]),1)</f>
        <v>45261</v>
      </c>
    </row>
    <row r="170" spans="1:27" x14ac:dyDescent="0.3">
      <c r="A170" s="3">
        <v>45071</v>
      </c>
      <c r="B170" t="s">
        <v>16</v>
      </c>
      <c r="C170" t="s">
        <v>31</v>
      </c>
      <c r="D170" t="str">
        <f>TRIM(Table1[[#This Row],[Product]])</f>
        <v>Laptop</v>
      </c>
      <c r="E170" t="str">
        <f>PROPER(Table1[[#This Row],[Column1]])</f>
        <v>Laptop</v>
      </c>
      <c r="F170" s="8" t="str">
        <f t="shared" si="10"/>
        <v>Technology</v>
      </c>
      <c r="G170" s="5">
        <v>20</v>
      </c>
      <c r="H170">
        <v>343.25</v>
      </c>
      <c r="I170" t="s">
        <v>78</v>
      </c>
      <c r="J170" t="s">
        <v>58</v>
      </c>
      <c r="K170" s="7">
        <v>0.05</v>
      </c>
      <c r="L170" t="s">
        <v>18</v>
      </c>
      <c r="M170" s="5">
        <v>6521.75</v>
      </c>
      <c r="N170" t="s">
        <v>85</v>
      </c>
      <c r="O170" t="s">
        <v>60</v>
      </c>
      <c r="P170" s="5">
        <v>0</v>
      </c>
      <c r="Q170" t="s">
        <v>411</v>
      </c>
      <c r="R170" t="s">
        <v>412</v>
      </c>
      <c r="S170" s="5">
        <v>28.77</v>
      </c>
      <c r="T170" s="3">
        <v>45071</v>
      </c>
      <c r="U170" s="3">
        <v>45079</v>
      </c>
      <c r="V170" t="s">
        <v>95</v>
      </c>
      <c r="W170">
        <f t="shared" si="12"/>
        <v>6195.6624999999995</v>
      </c>
      <c r="X170">
        <f t="shared" si="13"/>
        <v>6865</v>
      </c>
      <c r="Y170">
        <f t="shared" si="14"/>
        <v>669.33750000000055</v>
      </c>
      <c r="Z170" s="8" t="str">
        <f t="shared" si="11"/>
        <v>Medium</v>
      </c>
      <c r="AA170" s="12">
        <f>DATE(YEAR(Table1[[#This Row],[OrderDate]]),MONTH(Table1[[#This Row],[OrderDate]]),1)</f>
        <v>45047</v>
      </c>
    </row>
    <row r="171" spans="1:27" x14ac:dyDescent="0.3">
      <c r="A171" s="3">
        <v>45838</v>
      </c>
      <c r="B171" t="s">
        <v>7</v>
      </c>
      <c r="C171" t="s">
        <v>29</v>
      </c>
      <c r="D171" t="str">
        <f>TRIM(Table1[[#This Row],[Product]])</f>
        <v>Chair</v>
      </c>
      <c r="E171" t="str">
        <f>PROPER(Table1[[#This Row],[Column1]])</f>
        <v>Chair</v>
      </c>
      <c r="F171" s="8" t="str">
        <f t="shared" si="10"/>
        <v>Furniture</v>
      </c>
      <c r="G171" s="5">
        <v>6</v>
      </c>
      <c r="H171">
        <v>95.24</v>
      </c>
      <c r="I171" t="s">
        <v>81</v>
      </c>
      <c r="J171" t="s">
        <v>58</v>
      </c>
      <c r="K171" s="7">
        <v>0.15</v>
      </c>
      <c r="L171" t="s">
        <v>23</v>
      </c>
      <c r="M171" s="5">
        <v>485.72399999999988</v>
      </c>
      <c r="N171" t="s">
        <v>66</v>
      </c>
      <c r="O171" t="s">
        <v>60</v>
      </c>
      <c r="P171" s="5">
        <v>0</v>
      </c>
      <c r="Q171" t="s">
        <v>413</v>
      </c>
      <c r="R171" t="s">
        <v>414</v>
      </c>
      <c r="S171" s="5">
        <v>18.72</v>
      </c>
      <c r="T171" s="3">
        <v>45838</v>
      </c>
      <c r="U171" s="3">
        <v>45846</v>
      </c>
      <c r="V171" t="s">
        <v>77</v>
      </c>
      <c r="W171">
        <f t="shared" si="12"/>
        <v>412.86539999999991</v>
      </c>
      <c r="X171">
        <f t="shared" si="13"/>
        <v>571.43999999999994</v>
      </c>
      <c r="Y171">
        <f t="shared" si="14"/>
        <v>158.57460000000003</v>
      </c>
      <c r="Z171" s="8" t="str">
        <f t="shared" si="11"/>
        <v>High</v>
      </c>
      <c r="AA171" s="12">
        <f>DATE(YEAR(Table1[[#This Row],[OrderDate]]),MONTH(Table1[[#This Row],[OrderDate]]),1)</f>
        <v>45809</v>
      </c>
    </row>
    <row r="172" spans="1:27" x14ac:dyDescent="0.3">
      <c r="A172" s="3">
        <v>45700</v>
      </c>
      <c r="B172" t="s">
        <v>16</v>
      </c>
      <c r="C172" t="s">
        <v>30</v>
      </c>
      <c r="D172" t="str">
        <f>TRIM(Table1[[#This Row],[Product]])</f>
        <v>Desk</v>
      </c>
      <c r="E172" t="str">
        <f>PROPER(Table1[[#This Row],[Column1]])</f>
        <v>Desk</v>
      </c>
      <c r="F172" s="8" t="str">
        <f t="shared" si="10"/>
        <v>Furniture</v>
      </c>
      <c r="G172" s="5">
        <v>13</v>
      </c>
      <c r="H172">
        <v>104.8</v>
      </c>
      <c r="I172" t="s">
        <v>57</v>
      </c>
      <c r="J172" t="s">
        <v>65</v>
      </c>
      <c r="K172" s="7">
        <v>0.05</v>
      </c>
      <c r="L172" t="s">
        <v>23</v>
      </c>
      <c r="M172" s="5">
        <v>1294.28</v>
      </c>
      <c r="N172" t="s">
        <v>82</v>
      </c>
      <c r="O172" t="s">
        <v>71</v>
      </c>
      <c r="P172" s="5">
        <v>0</v>
      </c>
      <c r="Q172" t="s">
        <v>415</v>
      </c>
      <c r="R172" t="s">
        <v>416</v>
      </c>
      <c r="S172" s="5">
        <v>7.79</v>
      </c>
      <c r="T172" s="3">
        <v>45700</v>
      </c>
      <c r="U172" s="3">
        <v>45707</v>
      </c>
      <c r="V172" t="s">
        <v>95</v>
      </c>
      <c r="W172">
        <f t="shared" si="12"/>
        <v>1229.5659999999998</v>
      </c>
      <c r="X172">
        <f t="shared" si="13"/>
        <v>1362.3999999999999</v>
      </c>
      <c r="Y172">
        <f t="shared" si="14"/>
        <v>132.83400000000006</v>
      </c>
      <c r="Z172" s="8" t="str">
        <f t="shared" si="11"/>
        <v>Medium</v>
      </c>
      <c r="AA172" s="12">
        <f>DATE(YEAR(Table1[[#This Row],[OrderDate]]),MONTH(Table1[[#This Row],[OrderDate]]),1)</f>
        <v>45689</v>
      </c>
    </row>
    <row r="173" spans="1:27" x14ac:dyDescent="0.3">
      <c r="A173" s="3">
        <v>45294</v>
      </c>
      <c r="B173" t="s">
        <v>16</v>
      </c>
      <c r="C173" t="s">
        <v>35</v>
      </c>
      <c r="D173" t="str">
        <f>TRIM(Table1[[#This Row],[Product]])</f>
        <v>Tablet</v>
      </c>
      <c r="E173" t="str">
        <f>PROPER(Table1[[#This Row],[Column1]])</f>
        <v>Tablet</v>
      </c>
      <c r="F173" s="8" t="str">
        <f t="shared" si="10"/>
        <v>Technology</v>
      </c>
      <c r="G173" s="5">
        <v>12</v>
      </c>
      <c r="H173">
        <v>164.31</v>
      </c>
      <c r="I173" t="s">
        <v>57</v>
      </c>
      <c r="J173" t="s">
        <v>58</v>
      </c>
      <c r="K173" s="7">
        <v>0.1</v>
      </c>
      <c r="L173" t="s">
        <v>25</v>
      </c>
      <c r="M173" s="5">
        <v>1774.548</v>
      </c>
      <c r="N173" t="s">
        <v>88</v>
      </c>
      <c r="P173" s="5">
        <v>1</v>
      </c>
      <c r="Q173" t="s">
        <v>417</v>
      </c>
      <c r="R173" t="s">
        <v>418</v>
      </c>
      <c r="S173" s="5">
        <v>38.9</v>
      </c>
      <c r="T173" s="3">
        <v>45294</v>
      </c>
      <c r="U173" s="3">
        <v>45298</v>
      </c>
      <c r="V173" t="s">
        <v>95</v>
      </c>
      <c r="W173">
        <f t="shared" si="12"/>
        <v>1597.0932</v>
      </c>
      <c r="X173">
        <f t="shared" si="13"/>
        <v>1971.72</v>
      </c>
      <c r="Y173">
        <f t="shared" si="14"/>
        <v>374.6268</v>
      </c>
      <c r="Z173" s="8" t="str">
        <f t="shared" si="11"/>
        <v>Medium</v>
      </c>
      <c r="AA173" s="12">
        <f>DATE(YEAR(Table1[[#This Row],[OrderDate]]),MONTH(Table1[[#This Row],[OrderDate]]),1)</f>
        <v>45292</v>
      </c>
    </row>
    <row r="174" spans="1:27" x14ac:dyDescent="0.3">
      <c r="A174" s="3">
        <v>44960</v>
      </c>
      <c r="B174" t="s">
        <v>13</v>
      </c>
      <c r="C174" t="s">
        <v>35</v>
      </c>
      <c r="D174" t="str">
        <f>TRIM(Table1[[#This Row],[Product]])</f>
        <v>Tablet</v>
      </c>
      <c r="E174" t="str">
        <f>PROPER(Table1[[#This Row],[Column1]])</f>
        <v>Tablet</v>
      </c>
      <c r="F174" s="8" t="str">
        <f t="shared" si="10"/>
        <v>Technology</v>
      </c>
      <c r="G174" s="5">
        <v>10</v>
      </c>
      <c r="H174">
        <v>325.18</v>
      </c>
      <c r="I174" t="s">
        <v>78</v>
      </c>
      <c r="J174" t="s">
        <v>58</v>
      </c>
      <c r="K174" s="7">
        <v>0.1</v>
      </c>
      <c r="L174" t="s">
        <v>18</v>
      </c>
      <c r="M174" s="5">
        <v>2926.62</v>
      </c>
      <c r="N174" t="s">
        <v>88</v>
      </c>
      <c r="O174" t="s">
        <v>71</v>
      </c>
      <c r="P174" s="5">
        <v>0</v>
      </c>
      <c r="Q174" t="s">
        <v>419</v>
      </c>
      <c r="R174" t="s">
        <v>420</v>
      </c>
      <c r="S174" s="5">
        <v>47.39</v>
      </c>
      <c r="T174" s="3">
        <v>44960</v>
      </c>
      <c r="U174" s="3">
        <v>44970</v>
      </c>
      <c r="V174" t="s">
        <v>70</v>
      </c>
      <c r="W174">
        <f t="shared" si="12"/>
        <v>2633.9580000000001</v>
      </c>
      <c r="X174">
        <f t="shared" si="13"/>
        <v>3251.8</v>
      </c>
      <c r="Y174">
        <f t="shared" si="14"/>
        <v>617.8420000000001</v>
      </c>
      <c r="Z174" s="8" t="str">
        <f t="shared" si="11"/>
        <v>Medium</v>
      </c>
      <c r="AA174" s="12">
        <f>DATE(YEAR(Table1[[#This Row],[OrderDate]]),MONTH(Table1[[#This Row],[OrderDate]]),1)</f>
        <v>44958</v>
      </c>
    </row>
    <row r="175" spans="1:27" x14ac:dyDescent="0.3">
      <c r="A175" s="3">
        <v>45352</v>
      </c>
      <c r="B175" t="s">
        <v>9</v>
      </c>
      <c r="C175" t="s">
        <v>32</v>
      </c>
      <c r="D175" t="str">
        <f>TRIM(Table1[[#This Row],[Product]])</f>
        <v>Monitor</v>
      </c>
      <c r="E175" t="str">
        <f>PROPER(Table1[[#This Row],[Column1]])</f>
        <v>Monitor</v>
      </c>
      <c r="F175" s="8" t="str">
        <f t="shared" si="10"/>
        <v>Technology</v>
      </c>
      <c r="G175" s="5">
        <v>17</v>
      </c>
      <c r="H175">
        <v>542.82000000000005</v>
      </c>
      <c r="I175" t="s">
        <v>64</v>
      </c>
      <c r="J175" t="s">
        <v>58</v>
      </c>
      <c r="K175" s="7">
        <v>0</v>
      </c>
      <c r="L175" t="s">
        <v>18</v>
      </c>
      <c r="M175" s="5">
        <v>9227.94</v>
      </c>
      <c r="N175" t="s">
        <v>85</v>
      </c>
      <c r="O175" t="s">
        <v>71</v>
      </c>
      <c r="P175" s="5">
        <v>1</v>
      </c>
      <c r="Q175" t="s">
        <v>421</v>
      </c>
      <c r="R175" t="s">
        <v>422</v>
      </c>
      <c r="S175" s="5">
        <v>7.13</v>
      </c>
      <c r="T175" s="3">
        <v>45352</v>
      </c>
      <c r="U175" s="3">
        <v>45359</v>
      </c>
      <c r="V175" t="s">
        <v>63</v>
      </c>
      <c r="W175">
        <f t="shared" si="12"/>
        <v>9227.94</v>
      </c>
      <c r="X175">
        <f t="shared" si="13"/>
        <v>9227.94</v>
      </c>
      <c r="Y175">
        <f t="shared" si="14"/>
        <v>0</v>
      </c>
      <c r="Z175" s="8" t="str">
        <f t="shared" si="11"/>
        <v>No Discount</v>
      </c>
      <c r="AA175" s="12">
        <f>DATE(YEAR(Table1[[#This Row],[OrderDate]]),MONTH(Table1[[#This Row],[OrderDate]]),1)</f>
        <v>45352</v>
      </c>
    </row>
    <row r="176" spans="1:27" x14ac:dyDescent="0.3">
      <c r="A176" s="3">
        <v>45070</v>
      </c>
      <c r="B176" t="s">
        <v>11</v>
      </c>
      <c r="C176" t="s">
        <v>35</v>
      </c>
      <c r="D176" t="str">
        <f>TRIM(Table1[[#This Row],[Product]])</f>
        <v>Tablet</v>
      </c>
      <c r="E176" t="str">
        <f>PROPER(Table1[[#This Row],[Column1]])</f>
        <v>Tablet</v>
      </c>
      <c r="F176" s="8" t="str">
        <f t="shared" si="10"/>
        <v>Technology</v>
      </c>
      <c r="G176" s="5">
        <v>14</v>
      </c>
      <c r="H176">
        <v>207.48</v>
      </c>
      <c r="I176" t="s">
        <v>78</v>
      </c>
      <c r="J176" t="s">
        <v>58</v>
      </c>
      <c r="K176" s="7">
        <v>0.05</v>
      </c>
      <c r="L176" t="s">
        <v>25</v>
      </c>
      <c r="M176" s="5">
        <v>2759.483999999999</v>
      </c>
      <c r="N176" t="s">
        <v>59</v>
      </c>
      <c r="P176" s="5">
        <v>0</v>
      </c>
      <c r="Q176" t="s">
        <v>423</v>
      </c>
      <c r="R176" t="s">
        <v>424</v>
      </c>
      <c r="S176" s="5">
        <v>5.7</v>
      </c>
      <c r="T176" s="3">
        <v>45070</v>
      </c>
      <c r="U176" s="3">
        <v>45079</v>
      </c>
      <c r="V176" t="s">
        <v>74</v>
      </c>
      <c r="W176">
        <f t="shared" si="12"/>
        <v>2621.5097999999989</v>
      </c>
      <c r="X176">
        <f t="shared" si="13"/>
        <v>2904.72</v>
      </c>
      <c r="Y176">
        <f t="shared" si="14"/>
        <v>283.2102000000009</v>
      </c>
      <c r="Z176" s="8" t="str">
        <f t="shared" si="11"/>
        <v>Medium</v>
      </c>
      <c r="AA176" s="12">
        <f>DATE(YEAR(Table1[[#This Row],[OrderDate]]),MONTH(Table1[[#This Row],[OrderDate]]),1)</f>
        <v>45047</v>
      </c>
    </row>
    <row r="177" spans="1:27" x14ac:dyDescent="0.3">
      <c r="A177" s="3">
        <v>45830</v>
      </c>
      <c r="B177" t="s">
        <v>11</v>
      </c>
      <c r="C177" t="s">
        <v>34</v>
      </c>
      <c r="D177" t="str">
        <f>TRIM(Table1[[#This Row],[Product]])</f>
        <v>Printer</v>
      </c>
      <c r="E177" t="str">
        <f>PROPER(Table1[[#This Row],[Column1]])</f>
        <v>Printer</v>
      </c>
      <c r="F177" s="8" t="str">
        <f t="shared" si="10"/>
        <v>Office Supplies</v>
      </c>
      <c r="G177" s="5">
        <v>17</v>
      </c>
      <c r="H177">
        <v>527.88</v>
      </c>
      <c r="I177" t="s">
        <v>81</v>
      </c>
      <c r="J177" t="s">
        <v>65</v>
      </c>
      <c r="K177" s="7">
        <v>0.05</v>
      </c>
      <c r="L177" t="s">
        <v>19</v>
      </c>
      <c r="M177" s="5">
        <v>8525.2619999999988</v>
      </c>
      <c r="N177" t="s">
        <v>88</v>
      </c>
      <c r="O177" t="s">
        <v>71</v>
      </c>
      <c r="P177" s="5">
        <v>0</v>
      </c>
      <c r="Q177" t="s">
        <v>425</v>
      </c>
      <c r="R177" t="s">
        <v>426</v>
      </c>
      <c r="S177" s="5">
        <v>21.32</v>
      </c>
      <c r="T177" s="3">
        <v>45830</v>
      </c>
      <c r="U177" s="3">
        <v>45836</v>
      </c>
      <c r="V177" t="s">
        <v>74</v>
      </c>
      <c r="W177">
        <f t="shared" si="12"/>
        <v>8098.9988999999987</v>
      </c>
      <c r="X177">
        <f t="shared" si="13"/>
        <v>8973.9599999999991</v>
      </c>
      <c r="Y177">
        <f t="shared" si="14"/>
        <v>874.96110000000044</v>
      </c>
      <c r="Z177" s="8" t="str">
        <f t="shared" si="11"/>
        <v>Medium</v>
      </c>
      <c r="AA177" s="12">
        <f>DATE(YEAR(Table1[[#This Row],[OrderDate]]),MONTH(Table1[[#This Row],[OrderDate]]),1)</f>
        <v>45809</v>
      </c>
    </row>
    <row r="178" spans="1:27" x14ac:dyDescent="0.3">
      <c r="A178" s="3">
        <v>45026</v>
      </c>
      <c r="B178" t="s">
        <v>11</v>
      </c>
      <c r="C178" t="s">
        <v>29</v>
      </c>
      <c r="D178" t="str">
        <f>TRIM(Table1[[#This Row],[Product]])</f>
        <v>Chair</v>
      </c>
      <c r="E178" t="str">
        <f>PROPER(Table1[[#This Row],[Column1]])</f>
        <v>Chair</v>
      </c>
      <c r="F178" s="8" t="str">
        <f t="shared" si="10"/>
        <v>Furniture</v>
      </c>
      <c r="G178" s="5">
        <v>11</v>
      </c>
      <c r="H178">
        <v>71.209999999999994</v>
      </c>
      <c r="I178" t="s">
        <v>57</v>
      </c>
      <c r="J178" t="s">
        <v>65</v>
      </c>
      <c r="K178" s="7">
        <v>0.05</v>
      </c>
      <c r="L178" t="s">
        <v>23</v>
      </c>
      <c r="M178" s="5">
        <v>744.14449999999988</v>
      </c>
      <c r="N178" t="s">
        <v>59</v>
      </c>
      <c r="P178" s="5">
        <v>1</v>
      </c>
      <c r="Q178" t="s">
        <v>427</v>
      </c>
      <c r="R178" t="s">
        <v>428</v>
      </c>
      <c r="S178" s="5">
        <v>44.2</v>
      </c>
      <c r="T178" s="3">
        <v>45026</v>
      </c>
      <c r="U178" s="3">
        <v>45030</v>
      </c>
      <c r="V178" t="s">
        <v>74</v>
      </c>
      <c r="W178">
        <f t="shared" si="12"/>
        <v>706.93727499999989</v>
      </c>
      <c r="X178">
        <f t="shared" si="13"/>
        <v>783.31</v>
      </c>
      <c r="Y178">
        <f t="shared" si="14"/>
        <v>76.372725000000059</v>
      </c>
      <c r="Z178" s="8" t="str">
        <f t="shared" si="11"/>
        <v>Medium</v>
      </c>
      <c r="AA178" s="12">
        <f>DATE(YEAR(Table1[[#This Row],[OrderDate]]),MONTH(Table1[[#This Row],[OrderDate]]),1)</f>
        <v>45017</v>
      </c>
    </row>
    <row r="179" spans="1:27" x14ac:dyDescent="0.3">
      <c r="A179" s="3">
        <v>45720</v>
      </c>
      <c r="B179" t="s">
        <v>7</v>
      </c>
      <c r="C179" t="s">
        <v>34</v>
      </c>
      <c r="D179" t="str">
        <f>TRIM(Table1[[#This Row],[Product]])</f>
        <v>Printer</v>
      </c>
      <c r="E179" t="str">
        <f>PROPER(Table1[[#This Row],[Column1]])</f>
        <v>Printer</v>
      </c>
      <c r="F179" s="8" t="str">
        <f t="shared" si="10"/>
        <v>Office Supplies</v>
      </c>
      <c r="G179" s="5">
        <v>8</v>
      </c>
      <c r="H179">
        <v>486.07</v>
      </c>
      <c r="I179" t="s">
        <v>57</v>
      </c>
      <c r="J179" t="s">
        <v>65</v>
      </c>
      <c r="K179" s="7">
        <v>0</v>
      </c>
      <c r="L179" t="s">
        <v>21</v>
      </c>
      <c r="M179" s="5">
        <v>3888.56</v>
      </c>
      <c r="N179" t="s">
        <v>85</v>
      </c>
      <c r="O179" t="s">
        <v>60</v>
      </c>
      <c r="P179" s="5">
        <v>0</v>
      </c>
      <c r="Q179" t="s">
        <v>429</v>
      </c>
      <c r="R179" t="s">
        <v>430</v>
      </c>
      <c r="S179" s="5">
        <v>10.68</v>
      </c>
      <c r="T179" s="3">
        <v>45720</v>
      </c>
      <c r="U179" s="3">
        <v>45726</v>
      </c>
      <c r="V179" t="s">
        <v>77</v>
      </c>
      <c r="W179">
        <f t="shared" si="12"/>
        <v>3888.56</v>
      </c>
      <c r="X179">
        <f t="shared" si="13"/>
        <v>3888.56</v>
      </c>
      <c r="Y179">
        <f t="shared" si="14"/>
        <v>0</v>
      </c>
      <c r="Z179" s="8" t="str">
        <f t="shared" si="11"/>
        <v>No Discount</v>
      </c>
      <c r="AA179" s="12">
        <f>DATE(YEAR(Table1[[#This Row],[OrderDate]]),MONTH(Table1[[#This Row],[OrderDate]]),1)</f>
        <v>45717</v>
      </c>
    </row>
    <row r="180" spans="1:27" x14ac:dyDescent="0.3">
      <c r="A180" s="3">
        <v>45484</v>
      </c>
      <c r="B180" t="s">
        <v>9</v>
      </c>
      <c r="C180" t="s">
        <v>31</v>
      </c>
      <c r="D180" t="str">
        <f>TRIM(Table1[[#This Row],[Product]])</f>
        <v>Laptop</v>
      </c>
      <c r="E180" t="str">
        <f>PROPER(Table1[[#This Row],[Column1]])</f>
        <v>Laptop</v>
      </c>
      <c r="F180" s="8" t="str">
        <f t="shared" si="10"/>
        <v>Technology</v>
      </c>
      <c r="G180" s="5">
        <v>6</v>
      </c>
      <c r="H180">
        <v>555.03</v>
      </c>
      <c r="I180" t="s">
        <v>78</v>
      </c>
      <c r="J180" t="s">
        <v>65</v>
      </c>
      <c r="K180" s="7">
        <v>0.1</v>
      </c>
      <c r="L180" t="s">
        <v>27</v>
      </c>
      <c r="M180" s="5">
        <v>2997.1619999999998</v>
      </c>
      <c r="N180" t="s">
        <v>82</v>
      </c>
      <c r="P180" s="5">
        <v>1</v>
      </c>
      <c r="Q180" t="s">
        <v>431</v>
      </c>
      <c r="R180" t="s">
        <v>432</v>
      </c>
      <c r="S180" s="5">
        <v>23.69</v>
      </c>
      <c r="T180" s="3">
        <v>45484</v>
      </c>
      <c r="U180" s="3">
        <v>45493</v>
      </c>
      <c r="V180" t="s">
        <v>63</v>
      </c>
      <c r="W180">
        <f t="shared" si="12"/>
        <v>2697.4458</v>
      </c>
      <c r="X180">
        <f t="shared" si="13"/>
        <v>3330.18</v>
      </c>
      <c r="Y180">
        <f t="shared" si="14"/>
        <v>632.73419999999987</v>
      </c>
      <c r="Z180" s="8" t="str">
        <f t="shared" si="11"/>
        <v>Medium</v>
      </c>
      <c r="AA180" s="12">
        <f>DATE(YEAR(Table1[[#This Row],[OrderDate]]),MONTH(Table1[[#This Row],[OrderDate]]),1)</f>
        <v>45474</v>
      </c>
    </row>
    <row r="181" spans="1:27" x14ac:dyDescent="0.3">
      <c r="A181" s="3">
        <v>45521</v>
      </c>
      <c r="B181" t="s">
        <v>9</v>
      </c>
      <c r="C181" t="s">
        <v>30</v>
      </c>
      <c r="D181" t="str">
        <f>TRIM(Table1[[#This Row],[Product]])</f>
        <v>Desk</v>
      </c>
      <c r="E181" t="str">
        <f>PROPER(Table1[[#This Row],[Column1]])</f>
        <v>Desk</v>
      </c>
      <c r="F181" s="8" t="str">
        <f t="shared" si="10"/>
        <v>Furniture</v>
      </c>
      <c r="G181" s="5">
        <v>13</v>
      </c>
      <c r="H181">
        <v>421.08</v>
      </c>
      <c r="I181" t="s">
        <v>57</v>
      </c>
      <c r="J181" t="s">
        <v>58</v>
      </c>
      <c r="K181" s="7">
        <v>0</v>
      </c>
      <c r="L181" t="s">
        <v>19</v>
      </c>
      <c r="M181" s="5">
        <v>5474.04</v>
      </c>
      <c r="N181" t="s">
        <v>88</v>
      </c>
      <c r="P181" s="5">
        <v>0</v>
      </c>
      <c r="Q181" t="s">
        <v>433</v>
      </c>
      <c r="R181" t="s">
        <v>434</v>
      </c>
      <c r="S181" s="5">
        <v>24.51</v>
      </c>
      <c r="T181" s="3">
        <v>45521</v>
      </c>
      <c r="U181" s="3">
        <v>45524</v>
      </c>
      <c r="V181" t="s">
        <v>63</v>
      </c>
      <c r="W181">
        <f t="shared" si="12"/>
        <v>5474.04</v>
      </c>
      <c r="X181">
        <f t="shared" si="13"/>
        <v>5474.04</v>
      </c>
      <c r="Y181">
        <f t="shared" si="14"/>
        <v>0</v>
      </c>
      <c r="Z181" s="8" t="str">
        <f t="shared" si="11"/>
        <v>No Discount</v>
      </c>
      <c r="AA181" s="12">
        <f>DATE(YEAR(Table1[[#This Row],[OrderDate]]),MONTH(Table1[[#This Row],[OrderDate]]),1)</f>
        <v>45505</v>
      </c>
    </row>
    <row r="182" spans="1:27" x14ac:dyDescent="0.3">
      <c r="A182" s="3">
        <v>45838</v>
      </c>
      <c r="B182" t="s">
        <v>11</v>
      </c>
      <c r="C182" t="s">
        <v>31</v>
      </c>
      <c r="D182" t="str">
        <f>TRIM(Table1[[#This Row],[Product]])</f>
        <v>Laptop</v>
      </c>
      <c r="E182" t="str">
        <f>PROPER(Table1[[#This Row],[Column1]])</f>
        <v>Laptop</v>
      </c>
      <c r="F182" s="8" t="str">
        <f t="shared" si="10"/>
        <v>Technology</v>
      </c>
      <c r="G182" s="5">
        <v>16</v>
      </c>
      <c r="H182">
        <v>76.17</v>
      </c>
      <c r="I182" t="s">
        <v>81</v>
      </c>
      <c r="J182" t="s">
        <v>58</v>
      </c>
      <c r="K182" s="7">
        <v>0.1</v>
      </c>
      <c r="L182" t="s">
        <v>18</v>
      </c>
      <c r="M182" s="5">
        <v>1096.848</v>
      </c>
      <c r="N182" t="s">
        <v>88</v>
      </c>
      <c r="O182" t="s">
        <v>71</v>
      </c>
      <c r="P182" s="5">
        <v>0</v>
      </c>
      <c r="Q182" t="s">
        <v>435</v>
      </c>
      <c r="R182" t="s">
        <v>436</v>
      </c>
      <c r="S182" s="5">
        <v>41.88</v>
      </c>
      <c r="T182" s="3">
        <v>45838</v>
      </c>
      <c r="U182" s="3">
        <v>45847</v>
      </c>
      <c r="V182" t="s">
        <v>74</v>
      </c>
      <c r="W182">
        <f t="shared" si="12"/>
        <v>987.16319999999996</v>
      </c>
      <c r="X182">
        <f t="shared" si="13"/>
        <v>1218.72</v>
      </c>
      <c r="Y182">
        <f t="shared" si="14"/>
        <v>231.55680000000007</v>
      </c>
      <c r="Z182" s="8" t="str">
        <f t="shared" si="11"/>
        <v>Medium</v>
      </c>
      <c r="AA182" s="12">
        <f>DATE(YEAR(Table1[[#This Row],[OrderDate]]),MONTH(Table1[[#This Row],[OrderDate]]),1)</f>
        <v>45809</v>
      </c>
    </row>
    <row r="183" spans="1:27" x14ac:dyDescent="0.3">
      <c r="A183" s="3">
        <v>45602</v>
      </c>
      <c r="B183" t="s">
        <v>13</v>
      </c>
      <c r="C183" t="s">
        <v>34</v>
      </c>
      <c r="D183" t="str">
        <f>TRIM(Table1[[#This Row],[Product]])</f>
        <v>Printer</v>
      </c>
      <c r="E183" t="str">
        <f>PROPER(Table1[[#This Row],[Column1]])</f>
        <v>Printer</v>
      </c>
      <c r="F183" s="8" t="str">
        <f t="shared" si="10"/>
        <v>Office Supplies</v>
      </c>
      <c r="G183" s="5">
        <v>3</v>
      </c>
      <c r="H183">
        <v>503.55</v>
      </c>
      <c r="I183" t="s">
        <v>78</v>
      </c>
      <c r="J183" t="s">
        <v>58</v>
      </c>
      <c r="K183" s="7">
        <v>0.1</v>
      </c>
      <c r="L183" t="s">
        <v>19</v>
      </c>
      <c r="M183" s="5">
        <v>1359.585</v>
      </c>
      <c r="N183" t="s">
        <v>82</v>
      </c>
      <c r="O183" t="s">
        <v>71</v>
      </c>
      <c r="P183" s="5">
        <v>0</v>
      </c>
      <c r="Q183" t="s">
        <v>437</v>
      </c>
      <c r="R183" t="s">
        <v>438</v>
      </c>
      <c r="S183" s="5">
        <v>37.49</v>
      </c>
      <c r="T183" s="3">
        <v>45602</v>
      </c>
      <c r="U183" s="3">
        <v>45609</v>
      </c>
      <c r="V183" t="s">
        <v>70</v>
      </c>
      <c r="W183">
        <f t="shared" si="12"/>
        <v>1223.6265000000001</v>
      </c>
      <c r="X183">
        <f t="shared" si="13"/>
        <v>1510.65</v>
      </c>
      <c r="Y183">
        <f t="shared" si="14"/>
        <v>287.02350000000001</v>
      </c>
      <c r="Z183" s="8" t="str">
        <f t="shared" si="11"/>
        <v>Medium</v>
      </c>
      <c r="AA183" s="12">
        <f>DATE(YEAR(Table1[[#This Row],[OrderDate]]),MONTH(Table1[[#This Row],[OrderDate]]),1)</f>
        <v>45597</v>
      </c>
    </row>
    <row r="184" spans="1:27" x14ac:dyDescent="0.3">
      <c r="A184" s="3">
        <v>45748</v>
      </c>
      <c r="B184" t="s">
        <v>9</v>
      </c>
      <c r="C184" t="s">
        <v>35</v>
      </c>
      <c r="D184" t="str">
        <f>TRIM(Table1[[#This Row],[Product]])</f>
        <v>Tablet</v>
      </c>
      <c r="E184" t="str">
        <f>PROPER(Table1[[#This Row],[Column1]])</f>
        <v>Tablet</v>
      </c>
      <c r="F184" s="8" t="str">
        <f t="shared" si="10"/>
        <v>Technology</v>
      </c>
      <c r="G184" s="5">
        <v>5</v>
      </c>
      <c r="H184">
        <v>31.56</v>
      </c>
      <c r="I184" t="s">
        <v>81</v>
      </c>
      <c r="J184" t="s">
        <v>65</v>
      </c>
      <c r="K184" s="7">
        <v>0</v>
      </c>
      <c r="L184" t="s">
        <v>23</v>
      </c>
      <c r="M184" s="5">
        <v>157.80000000000001</v>
      </c>
      <c r="N184" t="s">
        <v>59</v>
      </c>
      <c r="O184" t="s">
        <v>67</v>
      </c>
      <c r="P184" s="5">
        <v>1</v>
      </c>
      <c r="Q184" t="s">
        <v>439</v>
      </c>
      <c r="R184" t="s">
        <v>440</v>
      </c>
      <c r="S184" s="5">
        <v>29.56</v>
      </c>
      <c r="T184" s="3">
        <v>45748</v>
      </c>
      <c r="U184" s="3">
        <v>45751</v>
      </c>
      <c r="V184" t="s">
        <v>63</v>
      </c>
      <c r="W184">
        <f t="shared" si="12"/>
        <v>157.80000000000001</v>
      </c>
      <c r="X184">
        <f t="shared" si="13"/>
        <v>157.79999999999998</v>
      </c>
      <c r="Y184">
        <f t="shared" si="14"/>
        <v>0</v>
      </c>
      <c r="Z184" s="8" t="str">
        <f t="shared" si="11"/>
        <v>No Discount</v>
      </c>
      <c r="AA184" s="12">
        <f>DATE(YEAR(Table1[[#This Row],[OrderDate]]),MONTH(Table1[[#This Row],[OrderDate]]),1)</f>
        <v>45748</v>
      </c>
    </row>
    <row r="185" spans="1:27" x14ac:dyDescent="0.3">
      <c r="A185" s="3">
        <v>45474</v>
      </c>
      <c r="B185" t="s">
        <v>16</v>
      </c>
      <c r="C185" t="s">
        <v>31</v>
      </c>
      <c r="D185" t="str">
        <f>TRIM(Table1[[#This Row],[Product]])</f>
        <v>Laptop</v>
      </c>
      <c r="E185" t="str">
        <f>PROPER(Table1[[#This Row],[Column1]])</f>
        <v>Laptop</v>
      </c>
      <c r="F185" s="8" t="str">
        <f t="shared" si="10"/>
        <v>Technology</v>
      </c>
      <c r="G185" s="5">
        <v>16</v>
      </c>
      <c r="H185">
        <v>72.92</v>
      </c>
      <c r="I185" t="s">
        <v>78</v>
      </c>
      <c r="J185" t="s">
        <v>58</v>
      </c>
      <c r="K185" s="7">
        <v>0.05</v>
      </c>
      <c r="L185" t="s">
        <v>27</v>
      </c>
      <c r="M185" s="5">
        <v>1108.384</v>
      </c>
      <c r="N185" t="s">
        <v>88</v>
      </c>
      <c r="O185" t="s">
        <v>60</v>
      </c>
      <c r="P185" s="5">
        <v>0</v>
      </c>
      <c r="Q185" t="s">
        <v>441</v>
      </c>
      <c r="R185" t="s">
        <v>442</v>
      </c>
      <c r="S185" s="5">
        <v>5.7</v>
      </c>
      <c r="T185" s="3">
        <v>45474</v>
      </c>
      <c r="U185" s="3">
        <v>45479</v>
      </c>
      <c r="V185" t="s">
        <v>95</v>
      </c>
      <c r="W185">
        <f t="shared" si="12"/>
        <v>1052.9648</v>
      </c>
      <c r="X185">
        <f t="shared" si="13"/>
        <v>1166.72</v>
      </c>
      <c r="Y185">
        <f t="shared" si="14"/>
        <v>113.75520000000006</v>
      </c>
      <c r="Z185" s="8" t="str">
        <f t="shared" si="11"/>
        <v>Medium</v>
      </c>
      <c r="AA185" s="12">
        <f>DATE(YEAR(Table1[[#This Row],[OrderDate]]),MONTH(Table1[[#This Row],[OrderDate]]),1)</f>
        <v>45474</v>
      </c>
    </row>
    <row r="186" spans="1:27" x14ac:dyDescent="0.3">
      <c r="A186" s="3">
        <v>45269</v>
      </c>
      <c r="B186" t="s">
        <v>16</v>
      </c>
      <c r="C186" t="s">
        <v>34</v>
      </c>
      <c r="D186" t="str">
        <f>TRIM(Table1[[#This Row],[Product]])</f>
        <v>Printer</v>
      </c>
      <c r="E186" t="str">
        <f>PROPER(Table1[[#This Row],[Column1]])</f>
        <v>Printer</v>
      </c>
      <c r="F186" s="8" t="str">
        <f t="shared" si="10"/>
        <v>Office Supplies</v>
      </c>
      <c r="G186" s="5">
        <v>18</v>
      </c>
      <c r="H186">
        <v>421.93</v>
      </c>
      <c r="I186" t="s">
        <v>81</v>
      </c>
      <c r="J186" t="s">
        <v>65</v>
      </c>
      <c r="K186" s="7">
        <v>0.05</v>
      </c>
      <c r="L186" t="s">
        <v>19</v>
      </c>
      <c r="M186" s="5">
        <v>7215.0029999999997</v>
      </c>
      <c r="N186" t="s">
        <v>66</v>
      </c>
      <c r="O186" t="s">
        <v>71</v>
      </c>
      <c r="P186" s="5">
        <v>0</v>
      </c>
      <c r="Q186" t="s">
        <v>443</v>
      </c>
      <c r="R186" t="s">
        <v>444</v>
      </c>
      <c r="S186" s="5">
        <v>23.42</v>
      </c>
      <c r="T186" s="3">
        <v>45269</v>
      </c>
      <c r="U186" s="3">
        <v>45278</v>
      </c>
      <c r="V186" t="s">
        <v>95</v>
      </c>
      <c r="W186">
        <f t="shared" si="12"/>
        <v>6854.2528499999989</v>
      </c>
      <c r="X186">
        <f t="shared" si="13"/>
        <v>7594.74</v>
      </c>
      <c r="Y186">
        <f t="shared" si="14"/>
        <v>740.48715000000084</v>
      </c>
      <c r="Z186" s="8" t="str">
        <f t="shared" si="11"/>
        <v>Medium</v>
      </c>
      <c r="AA186" s="12">
        <f>DATE(YEAR(Table1[[#This Row],[OrderDate]]),MONTH(Table1[[#This Row],[OrderDate]]),1)</f>
        <v>45261</v>
      </c>
    </row>
    <row r="187" spans="1:27" x14ac:dyDescent="0.3">
      <c r="A187" s="3">
        <v>45104</v>
      </c>
      <c r="B187" t="s">
        <v>11</v>
      </c>
      <c r="C187" t="s">
        <v>30</v>
      </c>
      <c r="D187" t="str">
        <f>TRIM(Table1[[#This Row],[Product]])</f>
        <v>Desk</v>
      </c>
      <c r="E187" t="str">
        <f>PROPER(Table1[[#This Row],[Column1]])</f>
        <v>Desk</v>
      </c>
      <c r="F187" s="8" t="str">
        <f t="shared" si="10"/>
        <v>Furniture</v>
      </c>
      <c r="G187" s="5">
        <v>15</v>
      </c>
      <c r="H187">
        <v>478.41</v>
      </c>
      <c r="I187" t="s">
        <v>57</v>
      </c>
      <c r="J187" t="s">
        <v>65</v>
      </c>
      <c r="K187" s="7">
        <v>0.1</v>
      </c>
      <c r="L187" t="s">
        <v>21</v>
      </c>
      <c r="M187" s="5">
        <v>6458.5350000000008</v>
      </c>
      <c r="N187" t="s">
        <v>85</v>
      </c>
      <c r="O187" t="s">
        <v>60</v>
      </c>
      <c r="P187" s="5">
        <v>0</v>
      </c>
      <c r="Q187" t="s">
        <v>445</v>
      </c>
      <c r="R187" t="s">
        <v>446</v>
      </c>
      <c r="S187" s="5">
        <v>35.630000000000003</v>
      </c>
      <c r="T187" s="3">
        <v>45104</v>
      </c>
      <c r="U187" s="3">
        <v>45107</v>
      </c>
      <c r="V187" t="s">
        <v>74</v>
      </c>
      <c r="W187">
        <f t="shared" si="12"/>
        <v>5812.6815000000006</v>
      </c>
      <c r="X187">
        <f t="shared" si="13"/>
        <v>7176.1500000000005</v>
      </c>
      <c r="Y187">
        <f t="shared" si="14"/>
        <v>1363.4684999999999</v>
      </c>
      <c r="Z187" s="8" t="str">
        <f t="shared" si="11"/>
        <v>Medium</v>
      </c>
      <c r="AA187" s="12">
        <f>DATE(YEAR(Table1[[#This Row],[OrderDate]]),MONTH(Table1[[#This Row],[OrderDate]]),1)</f>
        <v>45078</v>
      </c>
    </row>
    <row r="188" spans="1:27" x14ac:dyDescent="0.3">
      <c r="A188" s="3">
        <v>45121</v>
      </c>
      <c r="B188" t="s">
        <v>13</v>
      </c>
      <c r="C188" t="s">
        <v>29</v>
      </c>
      <c r="D188" t="str">
        <f>TRIM(Table1[[#This Row],[Product]])</f>
        <v>Chair</v>
      </c>
      <c r="E188" t="str">
        <f>PROPER(Table1[[#This Row],[Column1]])</f>
        <v>Chair</v>
      </c>
      <c r="F188" s="8" t="str">
        <f t="shared" si="10"/>
        <v>Furniture</v>
      </c>
      <c r="G188" s="5">
        <v>9</v>
      </c>
      <c r="H188">
        <v>501.74</v>
      </c>
      <c r="I188" t="s">
        <v>81</v>
      </c>
      <c r="J188" t="s">
        <v>65</v>
      </c>
      <c r="K188" s="7">
        <v>0</v>
      </c>
      <c r="L188" t="s">
        <v>19</v>
      </c>
      <c r="M188" s="5">
        <v>4515.66</v>
      </c>
      <c r="N188" t="s">
        <v>59</v>
      </c>
      <c r="O188" t="s">
        <v>67</v>
      </c>
      <c r="P188" s="5">
        <v>1</v>
      </c>
      <c r="Q188" t="s">
        <v>447</v>
      </c>
      <c r="R188" t="s">
        <v>448</v>
      </c>
      <c r="S188" s="5">
        <v>39.74</v>
      </c>
      <c r="T188" s="3">
        <v>45121</v>
      </c>
      <c r="U188" s="3">
        <v>45124</v>
      </c>
      <c r="V188" t="s">
        <v>70</v>
      </c>
      <c r="W188">
        <f t="shared" si="12"/>
        <v>4515.66</v>
      </c>
      <c r="X188">
        <f t="shared" si="13"/>
        <v>4515.66</v>
      </c>
      <c r="Y188">
        <f t="shared" si="14"/>
        <v>0</v>
      </c>
      <c r="Z188" s="8" t="str">
        <f t="shared" si="11"/>
        <v>No Discount</v>
      </c>
      <c r="AA188" s="12">
        <f>DATE(YEAR(Table1[[#This Row],[OrderDate]]),MONTH(Table1[[#This Row],[OrderDate]]),1)</f>
        <v>45108</v>
      </c>
    </row>
    <row r="189" spans="1:27" x14ac:dyDescent="0.3">
      <c r="A189" s="3">
        <v>44965</v>
      </c>
      <c r="B189" t="s">
        <v>13</v>
      </c>
      <c r="C189" t="s">
        <v>35</v>
      </c>
      <c r="D189" t="str">
        <f>TRIM(Table1[[#This Row],[Product]])</f>
        <v>Tablet</v>
      </c>
      <c r="E189" t="str">
        <f>PROPER(Table1[[#This Row],[Column1]])</f>
        <v>Tablet</v>
      </c>
      <c r="F189" s="8" t="str">
        <f t="shared" si="10"/>
        <v>Technology</v>
      </c>
      <c r="G189" s="5">
        <v>7</v>
      </c>
      <c r="H189">
        <v>247.53</v>
      </c>
      <c r="I189" t="s">
        <v>78</v>
      </c>
      <c r="J189" t="s">
        <v>58</v>
      </c>
      <c r="K189" s="7">
        <v>0.15</v>
      </c>
      <c r="L189" t="s">
        <v>18</v>
      </c>
      <c r="M189" s="5">
        <v>1472.8035</v>
      </c>
      <c r="N189" t="s">
        <v>66</v>
      </c>
      <c r="O189" t="s">
        <v>60</v>
      </c>
      <c r="P189" s="5">
        <v>0</v>
      </c>
      <c r="Q189" t="s">
        <v>449</v>
      </c>
      <c r="R189" t="s">
        <v>450</v>
      </c>
      <c r="S189" s="5">
        <v>13.63</v>
      </c>
      <c r="T189" s="3">
        <v>44965</v>
      </c>
      <c r="U189" s="3">
        <v>44973</v>
      </c>
      <c r="V189" t="s">
        <v>70</v>
      </c>
      <c r="W189">
        <f t="shared" si="12"/>
        <v>1251.882975</v>
      </c>
      <c r="X189">
        <f t="shared" si="13"/>
        <v>1732.71</v>
      </c>
      <c r="Y189">
        <f t="shared" si="14"/>
        <v>480.82702500000005</v>
      </c>
      <c r="Z189" s="8" t="str">
        <f t="shared" si="11"/>
        <v>High</v>
      </c>
      <c r="AA189" s="12">
        <f>DATE(YEAR(Table1[[#This Row],[OrderDate]]),MONTH(Table1[[#This Row],[OrderDate]]),1)</f>
        <v>44958</v>
      </c>
    </row>
    <row r="190" spans="1:27" x14ac:dyDescent="0.3">
      <c r="A190" s="3">
        <v>45471</v>
      </c>
      <c r="B190" t="s">
        <v>16</v>
      </c>
      <c r="C190" t="s">
        <v>35</v>
      </c>
      <c r="D190" t="str">
        <f>TRIM(Table1[[#This Row],[Product]])</f>
        <v>Tablet</v>
      </c>
      <c r="E190" t="str">
        <f>PROPER(Table1[[#This Row],[Column1]])</f>
        <v>Tablet</v>
      </c>
      <c r="F190" s="8" t="str">
        <f t="shared" si="10"/>
        <v>Technology</v>
      </c>
      <c r="G190" s="5">
        <v>6</v>
      </c>
      <c r="H190">
        <v>176.51</v>
      </c>
      <c r="I190" t="s">
        <v>78</v>
      </c>
      <c r="J190" t="s">
        <v>58</v>
      </c>
      <c r="K190" s="7">
        <v>0.15</v>
      </c>
      <c r="L190" t="s">
        <v>21</v>
      </c>
      <c r="M190" s="5">
        <v>900.20099999999991</v>
      </c>
      <c r="N190" t="s">
        <v>85</v>
      </c>
      <c r="O190" t="s">
        <v>60</v>
      </c>
      <c r="P190" s="5">
        <v>1</v>
      </c>
      <c r="Q190" t="s">
        <v>451</v>
      </c>
      <c r="R190" t="s">
        <v>452</v>
      </c>
      <c r="S190" s="5">
        <v>31.02</v>
      </c>
      <c r="T190" s="3">
        <v>45471</v>
      </c>
      <c r="U190" s="3">
        <v>45480</v>
      </c>
      <c r="V190" t="s">
        <v>95</v>
      </c>
      <c r="W190">
        <f t="shared" si="12"/>
        <v>765.17084999999986</v>
      </c>
      <c r="X190">
        <f t="shared" si="13"/>
        <v>1059.06</v>
      </c>
      <c r="Y190">
        <f t="shared" si="14"/>
        <v>293.88915000000009</v>
      </c>
      <c r="Z190" s="8" t="str">
        <f t="shared" si="11"/>
        <v>High</v>
      </c>
      <c r="AA190" s="12">
        <f>DATE(YEAR(Table1[[#This Row],[OrderDate]]),MONTH(Table1[[#This Row],[OrderDate]]),1)</f>
        <v>45444</v>
      </c>
    </row>
    <row r="191" spans="1:27" x14ac:dyDescent="0.3">
      <c r="A191" s="3">
        <v>45397</v>
      </c>
      <c r="B191" t="s">
        <v>16</v>
      </c>
      <c r="C191" t="s">
        <v>31</v>
      </c>
      <c r="D191" t="str">
        <f>TRIM(Table1[[#This Row],[Product]])</f>
        <v>Laptop</v>
      </c>
      <c r="E191" t="str">
        <f>PROPER(Table1[[#This Row],[Column1]])</f>
        <v>Laptop</v>
      </c>
      <c r="F191" s="8" t="str">
        <f t="shared" si="10"/>
        <v>Technology</v>
      </c>
      <c r="G191" s="5">
        <v>2</v>
      </c>
      <c r="H191">
        <v>143.43</v>
      </c>
      <c r="I191" t="s">
        <v>81</v>
      </c>
      <c r="J191" t="s">
        <v>58</v>
      </c>
      <c r="K191" s="7">
        <v>0</v>
      </c>
      <c r="L191" t="s">
        <v>19</v>
      </c>
      <c r="M191" s="5">
        <v>286.86</v>
      </c>
      <c r="N191" t="s">
        <v>82</v>
      </c>
      <c r="P191" s="5">
        <v>0</v>
      </c>
      <c r="Q191" t="s">
        <v>453</v>
      </c>
      <c r="R191" t="s">
        <v>454</v>
      </c>
      <c r="S191" s="5">
        <v>36.94</v>
      </c>
      <c r="T191" s="3">
        <v>45397</v>
      </c>
      <c r="U191" s="3">
        <v>45404</v>
      </c>
      <c r="V191" t="s">
        <v>95</v>
      </c>
      <c r="W191">
        <f t="shared" si="12"/>
        <v>286.86</v>
      </c>
      <c r="X191">
        <f t="shared" si="13"/>
        <v>286.86</v>
      </c>
      <c r="Y191">
        <f t="shared" si="14"/>
        <v>0</v>
      </c>
      <c r="Z191" s="8" t="str">
        <f t="shared" si="11"/>
        <v>No Discount</v>
      </c>
      <c r="AA191" s="12">
        <f>DATE(YEAR(Table1[[#This Row],[OrderDate]]),MONTH(Table1[[#This Row],[OrderDate]]),1)</f>
        <v>45383</v>
      </c>
    </row>
    <row r="192" spans="1:27" x14ac:dyDescent="0.3">
      <c r="A192" s="3">
        <v>45257</v>
      </c>
      <c r="B192" t="s">
        <v>9</v>
      </c>
      <c r="C192" t="s">
        <v>32</v>
      </c>
      <c r="D192" t="str">
        <f>TRIM(Table1[[#This Row],[Product]])</f>
        <v>Monitor</v>
      </c>
      <c r="E192" t="str">
        <f>PROPER(Table1[[#This Row],[Column1]])</f>
        <v>Monitor</v>
      </c>
      <c r="F192" s="8" t="str">
        <f t="shared" si="10"/>
        <v>Technology</v>
      </c>
      <c r="G192" s="5">
        <v>12</v>
      </c>
      <c r="H192">
        <v>538.5</v>
      </c>
      <c r="I192" t="s">
        <v>78</v>
      </c>
      <c r="J192" t="s">
        <v>58</v>
      </c>
      <c r="K192" s="7">
        <v>0.05</v>
      </c>
      <c r="L192" t="s">
        <v>18</v>
      </c>
      <c r="M192" s="5">
        <v>6138.9</v>
      </c>
      <c r="N192" t="s">
        <v>88</v>
      </c>
      <c r="O192" t="s">
        <v>67</v>
      </c>
      <c r="P192" s="5">
        <v>0</v>
      </c>
      <c r="Q192" t="s">
        <v>455</v>
      </c>
      <c r="R192" t="s">
        <v>456</v>
      </c>
      <c r="S192" s="5">
        <v>18.54</v>
      </c>
      <c r="T192" s="3">
        <v>45257</v>
      </c>
      <c r="U192" s="3">
        <v>45266</v>
      </c>
      <c r="V192" t="s">
        <v>63</v>
      </c>
      <c r="W192">
        <f t="shared" si="12"/>
        <v>5831.954999999999</v>
      </c>
      <c r="X192">
        <f t="shared" si="13"/>
        <v>6462</v>
      </c>
      <c r="Y192">
        <f t="shared" si="14"/>
        <v>630.04500000000098</v>
      </c>
      <c r="Z192" s="8" t="str">
        <f t="shared" si="11"/>
        <v>Medium</v>
      </c>
      <c r="AA192" s="12">
        <f>DATE(YEAR(Table1[[#This Row],[OrderDate]]),MONTH(Table1[[#This Row],[OrderDate]]),1)</f>
        <v>45231</v>
      </c>
    </row>
    <row r="193" spans="1:27" x14ac:dyDescent="0.3">
      <c r="A193" s="3">
        <v>45743</v>
      </c>
      <c r="B193" t="s">
        <v>9</v>
      </c>
      <c r="C193" t="s">
        <v>34</v>
      </c>
      <c r="D193" t="str">
        <f>TRIM(Table1[[#This Row],[Product]])</f>
        <v>Printer</v>
      </c>
      <c r="E193" t="str">
        <f>PROPER(Table1[[#This Row],[Column1]])</f>
        <v>Printer</v>
      </c>
      <c r="F193" s="8" t="str">
        <f t="shared" si="10"/>
        <v>Office Supplies</v>
      </c>
      <c r="G193" s="5">
        <v>5</v>
      </c>
      <c r="H193">
        <v>87.17</v>
      </c>
      <c r="I193" t="s">
        <v>81</v>
      </c>
      <c r="J193" t="s">
        <v>58</v>
      </c>
      <c r="K193" s="7">
        <v>0</v>
      </c>
      <c r="L193" t="s">
        <v>21</v>
      </c>
      <c r="M193" s="5">
        <v>435.85</v>
      </c>
      <c r="N193" t="s">
        <v>85</v>
      </c>
      <c r="P193" s="5">
        <v>0</v>
      </c>
      <c r="Q193" t="s">
        <v>457</v>
      </c>
      <c r="R193" t="s">
        <v>458</v>
      </c>
      <c r="S193" s="5">
        <v>13.01</v>
      </c>
      <c r="T193" s="3">
        <v>45743</v>
      </c>
      <c r="U193" s="3">
        <v>45745</v>
      </c>
      <c r="V193" t="s">
        <v>63</v>
      </c>
      <c r="W193">
        <f t="shared" si="12"/>
        <v>435.85</v>
      </c>
      <c r="X193">
        <f t="shared" si="13"/>
        <v>435.85</v>
      </c>
      <c r="Y193">
        <f t="shared" si="14"/>
        <v>0</v>
      </c>
      <c r="Z193" s="8" t="str">
        <f t="shared" si="11"/>
        <v>No Discount</v>
      </c>
      <c r="AA193" s="12">
        <f>DATE(YEAR(Table1[[#This Row],[OrderDate]]),MONTH(Table1[[#This Row],[OrderDate]]),1)</f>
        <v>45717</v>
      </c>
    </row>
    <row r="194" spans="1:27" x14ac:dyDescent="0.3">
      <c r="A194" s="3">
        <v>45144</v>
      </c>
      <c r="B194" t="s">
        <v>13</v>
      </c>
      <c r="C194" t="s">
        <v>32</v>
      </c>
      <c r="D194" t="str">
        <f>TRIM(Table1[[#This Row],[Product]])</f>
        <v>Monitor</v>
      </c>
      <c r="E194" t="str">
        <f>PROPER(Table1[[#This Row],[Column1]])</f>
        <v>Monitor</v>
      </c>
      <c r="F194" s="8" t="str">
        <f t="shared" ref="F194:F257" si="15">IF(OR(E194="Chair",E194="Desk"),"Furniture",IF(OR(E194="Laptop",E194="Monitor",E194="Phone",E194="Tablet"),"Technology",IF(E194="Printer","Office Supplies","Other")))</f>
        <v>Technology</v>
      </c>
      <c r="G194" s="5">
        <v>7</v>
      </c>
      <c r="H194">
        <v>498.32</v>
      </c>
      <c r="I194" t="s">
        <v>57</v>
      </c>
      <c r="J194" t="s">
        <v>58</v>
      </c>
      <c r="K194" s="7">
        <v>0.1</v>
      </c>
      <c r="L194" t="s">
        <v>18</v>
      </c>
      <c r="M194" s="5">
        <v>3139.4160000000002</v>
      </c>
      <c r="N194" t="s">
        <v>82</v>
      </c>
      <c r="O194" t="s">
        <v>71</v>
      </c>
      <c r="P194" s="5">
        <v>1</v>
      </c>
      <c r="Q194" t="s">
        <v>459</v>
      </c>
      <c r="R194" t="s">
        <v>460</v>
      </c>
      <c r="S194" s="5">
        <v>27.65</v>
      </c>
      <c r="T194" s="3">
        <v>45144</v>
      </c>
      <c r="U194" s="3">
        <v>45148</v>
      </c>
      <c r="V194" t="s">
        <v>70</v>
      </c>
      <c r="W194">
        <f t="shared" si="12"/>
        <v>2825.4744000000001</v>
      </c>
      <c r="X194">
        <f t="shared" si="13"/>
        <v>3488.24</v>
      </c>
      <c r="Y194">
        <f t="shared" si="14"/>
        <v>662.76559999999972</v>
      </c>
      <c r="Z194" s="8" t="str">
        <f t="shared" ref="Z194:Z257" si="16">IF(K194=0,"No Discount",IF(K194&lt;5%,"Low",IF(K194&lt;15%,"Medium","High")))</f>
        <v>Medium</v>
      </c>
      <c r="AA194" s="12">
        <f>DATE(YEAR(Table1[[#This Row],[OrderDate]]),MONTH(Table1[[#This Row],[OrderDate]]),1)</f>
        <v>45139</v>
      </c>
    </row>
    <row r="195" spans="1:27" x14ac:dyDescent="0.3">
      <c r="A195" s="3">
        <v>45639</v>
      </c>
      <c r="B195" t="s">
        <v>13</v>
      </c>
      <c r="C195" t="s">
        <v>34</v>
      </c>
      <c r="D195" t="str">
        <f>TRIM(Table1[[#This Row],[Product]])</f>
        <v>Printer</v>
      </c>
      <c r="E195" t="str">
        <f>PROPER(Table1[[#This Row],[Column1]])</f>
        <v>Printer</v>
      </c>
      <c r="F195" s="8" t="str">
        <f t="shared" si="15"/>
        <v>Office Supplies</v>
      </c>
      <c r="G195" s="5">
        <v>15</v>
      </c>
      <c r="H195">
        <v>57.14</v>
      </c>
      <c r="I195" t="s">
        <v>57</v>
      </c>
      <c r="J195" t="s">
        <v>58</v>
      </c>
      <c r="K195" s="7">
        <v>0.15</v>
      </c>
      <c r="L195" t="s">
        <v>21</v>
      </c>
      <c r="M195" s="5">
        <v>728.53499999999997</v>
      </c>
      <c r="N195" t="s">
        <v>85</v>
      </c>
      <c r="O195" t="s">
        <v>60</v>
      </c>
      <c r="P195" s="5">
        <v>0</v>
      </c>
      <c r="Q195" t="s">
        <v>461</v>
      </c>
      <c r="R195" t="s">
        <v>462</v>
      </c>
      <c r="S195" s="5">
        <v>7.02</v>
      </c>
      <c r="T195" s="3">
        <v>45639</v>
      </c>
      <c r="U195" s="3">
        <v>45648</v>
      </c>
      <c r="V195" t="s">
        <v>70</v>
      </c>
      <c r="W195">
        <f t="shared" ref="W195:W258" si="17">M195*(1-K195)</f>
        <v>619.25474999999994</v>
      </c>
      <c r="X195">
        <f t="shared" ref="X195:X258" si="18">G195*H195</f>
        <v>857.1</v>
      </c>
      <c r="Y195">
        <f t="shared" ref="Y195:Y258" si="19">X195-W195</f>
        <v>237.84525000000008</v>
      </c>
      <c r="Z195" s="8" t="str">
        <f t="shared" si="16"/>
        <v>High</v>
      </c>
      <c r="AA195" s="12">
        <f>DATE(YEAR(Table1[[#This Row],[OrderDate]]),MONTH(Table1[[#This Row],[OrderDate]]),1)</f>
        <v>45627</v>
      </c>
    </row>
    <row r="196" spans="1:27" x14ac:dyDescent="0.3">
      <c r="A196" s="3">
        <v>45674</v>
      </c>
      <c r="B196" t="s">
        <v>7</v>
      </c>
      <c r="C196" t="s">
        <v>35</v>
      </c>
      <c r="D196" t="str">
        <f>TRIM(Table1[[#This Row],[Product]])</f>
        <v>Tablet</v>
      </c>
      <c r="E196" t="str">
        <f>PROPER(Table1[[#This Row],[Column1]])</f>
        <v>Tablet</v>
      </c>
      <c r="F196" s="8" t="str">
        <f t="shared" si="15"/>
        <v>Technology</v>
      </c>
      <c r="G196" s="5">
        <v>18</v>
      </c>
      <c r="H196">
        <v>124.18</v>
      </c>
      <c r="I196" t="s">
        <v>57</v>
      </c>
      <c r="J196" t="s">
        <v>58</v>
      </c>
      <c r="K196" s="7">
        <v>0.15</v>
      </c>
      <c r="L196" t="s">
        <v>21</v>
      </c>
      <c r="M196" s="5">
        <v>1899.954</v>
      </c>
      <c r="N196" t="s">
        <v>85</v>
      </c>
      <c r="O196" t="s">
        <v>67</v>
      </c>
      <c r="P196" s="5">
        <v>0</v>
      </c>
      <c r="Q196" t="s">
        <v>463</v>
      </c>
      <c r="R196" t="s">
        <v>464</v>
      </c>
      <c r="S196" s="5">
        <v>45.77</v>
      </c>
      <c r="T196" s="3">
        <v>45674</v>
      </c>
      <c r="U196" s="3">
        <v>45683</v>
      </c>
      <c r="V196" t="s">
        <v>77</v>
      </c>
      <c r="W196">
        <f t="shared" si="17"/>
        <v>1614.9608999999998</v>
      </c>
      <c r="X196">
        <f t="shared" si="18"/>
        <v>2235.2400000000002</v>
      </c>
      <c r="Y196">
        <f t="shared" si="19"/>
        <v>620.27910000000043</v>
      </c>
      <c r="Z196" s="8" t="str">
        <f t="shared" si="16"/>
        <v>High</v>
      </c>
      <c r="AA196" s="12">
        <f>DATE(YEAR(Table1[[#This Row],[OrderDate]]),MONTH(Table1[[#This Row],[OrderDate]]),1)</f>
        <v>45658</v>
      </c>
    </row>
    <row r="197" spans="1:27" x14ac:dyDescent="0.3">
      <c r="A197" s="3">
        <v>45256</v>
      </c>
      <c r="B197" t="s">
        <v>16</v>
      </c>
      <c r="C197" t="s">
        <v>30</v>
      </c>
      <c r="D197" t="str">
        <f>TRIM(Table1[[#This Row],[Product]])</f>
        <v>Desk</v>
      </c>
      <c r="E197" t="str">
        <f>PROPER(Table1[[#This Row],[Column1]])</f>
        <v>Desk</v>
      </c>
      <c r="F197" s="8" t="str">
        <f t="shared" si="15"/>
        <v>Furniture</v>
      </c>
      <c r="G197" s="5">
        <v>12</v>
      </c>
      <c r="H197">
        <v>107.45</v>
      </c>
      <c r="I197" t="s">
        <v>78</v>
      </c>
      <c r="J197" t="s">
        <v>65</v>
      </c>
      <c r="K197" s="7">
        <v>0.1</v>
      </c>
      <c r="L197" t="s">
        <v>19</v>
      </c>
      <c r="M197" s="5">
        <v>1160.46</v>
      </c>
      <c r="N197" t="s">
        <v>59</v>
      </c>
      <c r="O197" t="s">
        <v>60</v>
      </c>
      <c r="P197" s="5">
        <v>0</v>
      </c>
      <c r="Q197" t="s">
        <v>465</v>
      </c>
      <c r="R197" t="s">
        <v>466</v>
      </c>
      <c r="S197" s="5">
        <v>18.170000000000002</v>
      </c>
      <c r="T197" s="3">
        <v>45256</v>
      </c>
      <c r="U197" s="3">
        <v>45262</v>
      </c>
      <c r="V197" t="s">
        <v>95</v>
      </c>
      <c r="W197">
        <f t="shared" si="17"/>
        <v>1044.414</v>
      </c>
      <c r="X197">
        <f t="shared" si="18"/>
        <v>1289.4000000000001</v>
      </c>
      <c r="Y197">
        <f t="shared" si="19"/>
        <v>244.9860000000001</v>
      </c>
      <c r="Z197" s="8" t="str">
        <f t="shared" si="16"/>
        <v>Medium</v>
      </c>
      <c r="AA197" s="12">
        <f>DATE(YEAR(Table1[[#This Row],[OrderDate]]),MONTH(Table1[[#This Row],[OrderDate]]),1)</f>
        <v>45231</v>
      </c>
    </row>
    <row r="198" spans="1:27" x14ac:dyDescent="0.3">
      <c r="A198" s="3">
        <v>44971</v>
      </c>
      <c r="B198" t="s">
        <v>9</v>
      </c>
      <c r="C198" t="s">
        <v>29</v>
      </c>
      <c r="D198" t="str">
        <f>TRIM(Table1[[#This Row],[Product]])</f>
        <v>Chair</v>
      </c>
      <c r="E198" t="str">
        <f>PROPER(Table1[[#This Row],[Column1]])</f>
        <v>Chair</v>
      </c>
      <c r="F198" s="8" t="str">
        <f t="shared" si="15"/>
        <v>Furniture</v>
      </c>
      <c r="G198" s="5">
        <v>8</v>
      </c>
      <c r="H198">
        <v>411.26</v>
      </c>
      <c r="I198" t="s">
        <v>64</v>
      </c>
      <c r="J198" t="s">
        <v>65</v>
      </c>
      <c r="K198" s="7">
        <v>0.1</v>
      </c>
      <c r="L198" t="s">
        <v>27</v>
      </c>
      <c r="M198" s="5">
        <v>2961.0720000000001</v>
      </c>
      <c r="N198" t="s">
        <v>66</v>
      </c>
      <c r="O198" t="s">
        <v>71</v>
      </c>
      <c r="P198" s="5">
        <v>0</v>
      </c>
      <c r="Q198" t="s">
        <v>467</v>
      </c>
      <c r="R198" t="s">
        <v>468</v>
      </c>
      <c r="S198" s="5">
        <v>28.57</v>
      </c>
      <c r="T198" s="3">
        <v>44971</v>
      </c>
      <c r="U198" s="3">
        <v>44975</v>
      </c>
      <c r="V198" t="s">
        <v>63</v>
      </c>
      <c r="W198">
        <f t="shared" si="17"/>
        <v>2664.9648000000002</v>
      </c>
      <c r="X198">
        <f t="shared" si="18"/>
        <v>3290.08</v>
      </c>
      <c r="Y198">
        <f t="shared" si="19"/>
        <v>625.11519999999973</v>
      </c>
      <c r="Z198" s="8" t="str">
        <f t="shared" si="16"/>
        <v>Medium</v>
      </c>
      <c r="AA198" s="12">
        <f>DATE(YEAR(Table1[[#This Row],[OrderDate]]),MONTH(Table1[[#This Row],[OrderDate]]),1)</f>
        <v>44958</v>
      </c>
    </row>
    <row r="199" spans="1:27" x14ac:dyDescent="0.3">
      <c r="A199" s="3">
        <v>45690</v>
      </c>
      <c r="B199" t="s">
        <v>7</v>
      </c>
      <c r="C199" t="s">
        <v>34</v>
      </c>
      <c r="D199" t="str">
        <f>TRIM(Table1[[#This Row],[Product]])</f>
        <v>Printer</v>
      </c>
      <c r="E199" t="str">
        <f>PROPER(Table1[[#This Row],[Column1]])</f>
        <v>Printer</v>
      </c>
      <c r="F199" s="8" t="str">
        <f t="shared" si="15"/>
        <v>Office Supplies</v>
      </c>
      <c r="G199" s="5">
        <v>7</v>
      </c>
      <c r="H199">
        <v>248.1</v>
      </c>
      <c r="I199" t="s">
        <v>78</v>
      </c>
      <c r="J199" t="s">
        <v>65</v>
      </c>
      <c r="K199" s="7">
        <v>0</v>
      </c>
      <c r="L199" t="s">
        <v>23</v>
      </c>
      <c r="M199" s="5">
        <v>1736.7</v>
      </c>
      <c r="N199" t="s">
        <v>88</v>
      </c>
      <c r="O199" t="s">
        <v>71</v>
      </c>
      <c r="P199" s="5">
        <v>0</v>
      </c>
      <c r="Q199" t="s">
        <v>469</v>
      </c>
      <c r="R199" t="s">
        <v>470</v>
      </c>
      <c r="S199" s="5">
        <v>31.8</v>
      </c>
      <c r="T199" s="3">
        <v>45690</v>
      </c>
      <c r="U199" s="3">
        <v>45694</v>
      </c>
      <c r="V199" t="s">
        <v>77</v>
      </c>
      <c r="W199">
        <f t="shared" si="17"/>
        <v>1736.7</v>
      </c>
      <c r="X199">
        <f t="shared" si="18"/>
        <v>1736.7</v>
      </c>
      <c r="Y199">
        <f t="shared" si="19"/>
        <v>0</v>
      </c>
      <c r="Z199" s="8" t="str">
        <f t="shared" si="16"/>
        <v>No Discount</v>
      </c>
      <c r="AA199" s="12">
        <f>DATE(YEAR(Table1[[#This Row],[OrderDate]]),MONTH(Table1[[#This Row],[OrderDate]]),1)</f>
        <v>45689</v>
      </c>
    </row>
    <row r="200" spans="1:27" x14ac:dyDescent="0.3">
      <c r="A200" s="3">
        <v>45027</v>
      </c>
      <c r="B200" t="s">
        <v>16</v>
      </c>
      <c r="C200" t="s">
        <v>34</v>
      </c>
      <c r="D200" t="str">
        <f>TRIM(Table1[[#This Row],[Product]])</f>
        <v>Printer</v>
      </c>
      <c r="E200" t="str">
        <f>PROPER(Table1[[#This Row],[Column1]])</f>
        <v>Printer</v>
      </c>
      <c r="F200" s="8" t="str">
        <f t="shared" si="15"/>
        <v>Office Supplies</v>
      </c>
      <c r="G200" s="5">
        <v>3</v>
      </c>
      <c r="H200">
        <v>486.52</v>
      </c>
      <c r="I200" t="s">
        <v>57</v>
      </c>
      <c r="J200" t="s">
        <v>58</v>
      </c>
      <c r="K200" s="7">
        <v>0.1</v>
      </c>
      <c r="L200" t="s">
        <v>21</v>
      </c>
      <c r="M200" s="5">
        <v>1313.604</v>
      </c>
      <c r="N200" t="s">
        <v>66</v>
      </c>
      <c r="P200" s="5">
        <v>0</v>
      </c>
      <c r="Q200" t="s">
        <v>471</v>
      </c>
      <c r="R200" t="s">
        <v>472</v>
      </c>
      <c r="S200" s="5">
        <v>16.5</v>
      </c>
      <c r="T200" s="3">
        <v>45027</v>
      </c>
      <c r="U200" s="3">
        <v>45036</v>
      </c>
      <c r="V200" t="s">
        <v>95</v>
      </c>
      <c r="W200">
        <f t="shared" si="17"/>
        <v>1182.2436</v>
      </c>
      <c r="X200">
        <f t="shared" si="18"/>
        <v>1459.56</v>
      </c>
      <c r="Y200">
        <f t="shared" si="19"/>
        <v>277.31639999999993</v>
      </c>
      <c r="Z200" s="8" t="str">
        <f t="shared" si="16"/>
        <v>Medium</v>
      </c>
      <c r="AA200" s="12">
        <f>DATE(YEAR(Table1[[#This Row],[OrderDate]]),MONTH(Table1[[#This Row],[OrderDate]]),1)</f>
        <v>45017</v>
      </c>
    </row>
    <row r="201" spans="1:27" x14ac:dyDescent="0.3">
      <c r="A201" s="3">
        <v>45481</v>
      </c>
      <c r="B201" t="s">
        <v>11</v>
      </c>
      <c r="C201" t="s">
        <v>32</v>
      </c>
      <c r="D201" t="str">
        <f>TRIM(Table1[[#This Row],[Product]])</f>
        <v>Monitor</v>
      </c>
      <c r="E201" t="str">
        <f>PROPER(Table1[[#This Row],[Column1]])</f>
        <v>Monitor</v>
      </c>
      <c r="F201" s="8" t="str">
        <f t="shared" si="15"/>
        <v>Technology</v>
      </c>
      <c r="G201" s="5">
        <v>18</v>
      </c>
      <c r="H201">
        <v>415.04</v>
      </c>
      <c r="I201" t="s">
        <v>78</v>
      </c>
      <c r="J201" t="s">
        <v>58</v>
      </c>
      <c r="K201" s="7">
        <v>0.1</v>
      </c>
      <c r="L201" t="s">
        <v>25</v>
      </c>
      <c r="M201" s="5">
        <v>6723.6480000000001</v>
      </c>
      <c r="N201" t="s">
        <v>88</v>
      </c>
      <c r="O201" t="s">
        <v>71</v>
      </c>
      <c r="P201" s="5">
        <v>0</v>
      </c>
      <c r="Q201" t="s">
        <v>473</v>
      </c>
      <c r="R201" t="s">
        <v>474</v>
      </c>
      <c r="S201" s="5">
        <v>33.58</v>
      </c>
      <c r="T201" s="3">
        <v>45481</v>
      </c>
      <c r="U201" s="3">
        <v>45486</v>
      </c>
      <c r="V201" t="s">
        <v>74</v>
      </c>
      <c r="W201">
        <f t="shared" si="17"/>
        <v>6051.2831999999999</v>
      </c>
      <c r="X201">
        <f t="shared" si="18"/>
        <v>7470.72</v>
      </c>
      <c r="Y201">
        <f t="shared" si="19"/>
        <v>1419.4368000000004</v>
      </c>
      <c r="Z201" s="8" t="str">
        <f t="shared" si="16"/>
        <v>Medium</v>
      </c>
      <c r="AA201" s="12">
        <f>DATE(YEAR(Table1[[#This Row],[OrderDate]]),MONTH(Table1[[#This Row],[OrderDate]]),1)</f>
        <v>45474</v>
      </c>
    </row>
    <row r="202" spans="1:27" x14ac:dyDescent="0.3">
      <c r="A202" s="3">
        <v>44965</v>
      </c>
      <c r="B202" t="s">
        <v>7</v>
      </c>
      <c r="C202" t="s">
        <v>34</v>
      </c>
      <c r="D202" t="str">
        <f>TRIM(Table1[[#This Row],[Product]])</f>
        <v>Printer</v>
      </c>
      <c r="E202" t="str">
        <f>PROPER(Table1[[#This Row],[Column1]])</f>
        <v>Printer</v>
      </c>
      <c r="F202" s="8" t="str">
        <f t="shared" si="15"/>
        <v>Office Supplies</v>
      </c>
      <c r="G202" s="5">
        <v>19</v>
      </c>
      <c r="H202">
        <v>165.38</v>
      </c>
      <c r="I202" t="s">
        <v>57</v>
      </c>
      <c r="J202" t="s">
        <v>58</v>
      </c>
      <c r="K202" s="7">
        <v>0.15</v>
      </c>
      <c r="L202" t="s">
        <v>18</v>
      </c>
      <c r="M202" s="5">
        <v>2670.8870000000002</v>
      </c>
      <c r="N202" t="s">
        <v>59</v>
      </c>
      <c r="P202" s="5">
        <v>0</v>
      </c>
      <c r="Q202" t="s">
        <v>475</v>
      </c>
      <c r="R202" t="s">
        <v>476</v>
      </c>
      <c r="S202" s="5">
        <v>25.2</v>
      </c>
      <c r="T202" s="3">
        <v>44965</v>
      </c>
      <c r="U202" s="3">
        <v>44971</v>
      </c>
      <c r="V202" t="s">
        <v>77</v>
      </c>
      <c r="W202">
        <f t="shared" si="17"/>
        <v>2270.2539500000003</v>
      </c>
      <c r="X202">
        <f t="shared" si="18"/>
        <v>3142.22</v>
      </c>
      <c r="Y202">
        <f t="shared" si="19"/>
        <v>871.96604999999954</v>
      </c>
      <c r="Z202" s="8" t="str">
        <f t="shared" si="16"/>
        <v>High</v>
      </c>
      <c r="AA202" s="12">
        <f>DATE(YEAR(Table1[[#This Row],[OrderDate]]),MONTH(Table1[[#This Row],[OrderDate]]),1)</f>
        <v>44958</v>
      </c>
    </row>
    <row r="203" spans="1:27" x14ac:dyDescent="0.3">
      <c r="A203" s="3">
        <v>45391</v>
      </c>
      <c r="B203" t="s">
        <v>16</v>
      </c>
      <c r="C203" t="s">
        <v>30</v>
      </c>
      <c r="D203" t="str">
        <f>TRIM(Table1[[#This Row],[Product]])</f>
        <v>Desk</v>
      </c>
      <c r="E203" t="str">
        <f>PROPER(Table1[[#This Row],[Column1]])</f>
        <v>Desk</v>
      </c>
      <c r="F203" s="8" t="str">
        <f t="shared" si="15"/>
        <v>Furniture</v>
      </c>
      <c r="G203" s="5">
        <v>2</v>
      </c>
      <c r="H203">
        <v>117.47</v>
      </c>
      <c r="I203" t="s">
        <v>78</v>
      </c>
      <c r="J203" t="s">
        <v>58</v>
      </c>
      <c r="K203" s="7">
        <v>0</v>
      </c>
      <c r="L203" t="s">
        <v>25</v>
      </c>
      <c r="M203" s="5">
        <v>234.94</v>
      </c>
      <c r="N203" t="s">
        <v>82</v>
      </c>
      <c r="O203" t="s">
        <v>60</v>
      </c>
      <c r="P203" s="5">
        <v>0</v>
      </c>
      <c r="Q203" t="s">
        <v>477</v>
      </c>
      <c r="R203" t="s">
        <v>478</v>
      </c>
      <c r="S203" s="5">
        <v>6.58</v>
      </c>
      <c r="T203" s="3">
        <v>45391</v>
      </c>
      <c r="U203" s="3">
        <v>45398</v>
      </c>
      <c r="V203" t="s">
        <v>95</v>
      </c>
      <c r="W203">
        <f t="shared" si="17"/>
        <v>234.94</v>
      </c>
      <c r="X203">
        <f t="shared" si="18"/>
        <v>234.94</v>
      </c>
      <c r="Y203">
        <f t="shared" si="19"/>
        <v>0</v>
      </c>
      <c r="Z203" s="8" t="str">
        <f t="shared" si="16"/>
        <v>No Discount</v>
      </c>
      <c r="AA203" s="12">
        <f>DATE(YEAR(Table1[[#This Row],[OrderDate]]),MONTH(Table1[[#This Row],[OrderDate]]),1)</f>
        <v>45383</v>
      </c>
    </row>
    <row r="204" spans="1:27" x14ac:dyDescent="0.3">
      <c r="A204" s="3">
        <v>45152</v>
      </c>
      <c r="B204" t="s">
        <v>7</v>
      </c>
      <c r="C204" t="s">
        <v>34</v>
      </c>
      <c r="D204" t="str">
        <f>TRIM(Table1[[#This Row],[Product]])</f>
        <v>Printer</v>
      </c>
      <c r="E204" t="str">
        <f>PROPER(Table1[[#This Row],[Column1]])</f>
        <v>Printer</v>
      </c>
      <c r="F204" s="8" t="str">
        <f t="shared" si="15"/>
        <v>Office Supplies</v>
      </c>
      <c r="G204" s="5">
        <v>9</v>
      </c>
      <c r="H204">
        <v>461.79</v>
      </c>
      <c r="I204" t="s">
        <v>78</v>
      </c>
      <c r="J204" t="s">
        <v>58</v>
      </c>
      <c r="K204" s="7">
        <v>0.15</v>
      </c>
      <c r="L204" t="s">
        <v>27</v>
      </c>
      <c r="M204" s="5">
        <v>3532.6934999999999</v>
      </c>
      <c r="N204" t="s">
        <v>66</v>
      </c>
      <c r="P204" s="5">
        <v>0</v>
      </c>
      <c r="Q204" t="s">
        <v>479</v>
      </c>
      <c r="R204" t="s">
        <v>480</v>
      </c>
      <c r="S204" s="5">
        <v>47.81</v>
      </c>
      <c r="T204" s="3">
        <v>45152</v>
      </c>
      <c r="U204" s="3">
        <v>45156</v>
      </c>
      <c r="V204" t="s">
        <v>77</v>
      </c>
      <c r="W204">
        <f t="shared" si="17"/>
        <v>3002.7894749999996</v>
      </c>
      <c r="X204">
        <f t="shared" si="18"/>
        <v>4156.1100000000006</v>
      </c>
      <c r="Y204">
        <f t="shared" si="19"/>
        <v>1153.320525000001</v>
      </c>
      <c r="Z204" s="8" t="str">
        <f t="shared" si="16"/>
        <v>High</v>
      </c>
      <c r="AA204" s="12">
        <f>DATE(YEAR(Table1[[#This Row],[OrderDate]]),MONTH(Table1[[#This Row],[OrderDate]]),1)</f>
        <v>45139</v>
      </c>
    </row>
    <row r="205" spans="1:27" x14ac:dyDescent="0.3">
      <c r="A205" s="3">
        <v>45537</v>
      </c>
      <c r="B205" t="s">
        <v>16</v>
      </c>
      <c r="C205" t="s">
        <v>35</v>
      </c>
      <c r="D205" t="str">
        <f>TRIM(Table1[[#This Row],[Product]])</f>
        <v>Tablet</v>
      </c>
      <c r="E205" t="str">
        <f>PROPER(Table1[[#This Row],[Column1]])</f>
        <v>Tablet</v>
      </c>
      <c r="F205" s="8" t="str">
        <f t="shared" si="15"/>
        <v>Technology</v>
      </c>
      <c r="G205" s="5">
        <v>19</v>
      </c>
      <c r="H205">
        <v>208.72</v>
      </c>
      <c r="I205" t="s">
        <v>81</v>
      </c>
      <c r="J205" t="s">
        <v>65</v>
      </c>
      <c r="K205" s="7">
        <v>0.05</v>
      </c>
      <c r="L205" t="s">
        <v>27</v>
      </c>
      <c r="M205" s="5">
        <v>3767.3960000000002</v>
      </c>
      <c r="N205" t="s">
        <v>82</v>
      </c>
      <c r="O205" t="s">
        <v>60</v>
      </c>
      <c r="P205" s="5">
        <v>0</v>
      </c>
      <c r="Q205" t="s">
        <v>481</v>
      </c>
      <c r="R205" t="s">
        <v>482</v>
      </c>
      <c r="S205" s="5">
        <v>38.409999999999997</v>
      </c>
      <c r="T205" s="3">
        <v>45537</v>
      </c>
      <c r="U205" s="3">
        <v>45541</v>
      </c>
      <c r="V205" t="s">
        <v>95</v>
      </c>
      <c r="W205">
        <f t="shared" si="17"/>
        <v>3579.0261999999998</v>
      </c>
      <c r="X205">
        <f t="shared" si="18"/>
        <v>3965.68</v>
      </c>
      <c r="Y205">
        <f t="shared" si="19"/>
        <v>386.65380000000005</v>
      </c>
      <c r="Z205" s="8" t="str">
        <f t="shared" si="16"/>
        <v>Medium</v>
      </c>
      <c r="AA205" s="12">
        <f>DATE(YEAR(Table1[[#This Row],[OrderDate]]),MONTH(Table1[[#This Row],[OrderDate]]),1)</f>
        <v>45536</v>
      </c>
    </row>
    <row r="206" spans="1:27" x14ac:dyDescent="0.3">
      <c r="A206" s="3">
        <v>45837</v>
      </c>
      <c r="B206" t="s">
        <v>7</v>
      </c>
      <c r="C206" t="s">
        <v>32</v>
      </c>
      <c r="D206" t="str">
        <f>TRIM(Table1[[#This Row],[Product]])</f>
        <v>Monitor</v>
      </c>
      <c r="E206" t="str">
        <f>PROPER(Table1[[#This Row],[Column1]])</f>
        <v>Monitor</v>
      </c>
      <c r="F206" s="8" t="str">
        <f t="shared" si="15"/>
        <v>Technology</v>
      </c>
      <c r="G206" s="5">
        <v>16</v>
      </c>
      <c r="H206">
        <v>278.13</v>
      </c>
      <c r="I206" t="s">
        <v>64</v>
      </c>
      <c r="J206" t="s">
        <v>58</v>
      </c>
      <c r="K206" s="7">
        <v>0.15</v>
      </c>
      <c r="L206" t="s">
        <v>18</v>
      </c>
      <c r="M206" s="5">
        <v>3782.5680000000002</v>
      </c>
      <c r="N206" t="s">
        <v>88</v>
      </c>
      <c r="O206" t="s">
        <v>67</v>
      </c>
      <c r="P206" s="5">
        <v>0</v>
      </c>
      <c r="Q206" t="s">
        <v>483</v>
      </c>
      <c r="R206" t="s">
        <v>484</v>
      </c>
      <c r="S206" s="5">
        <v>24.29</v>
      </c>
      <c r="T206" s="3">
        <v>45837</v>
      </c>
      <c r="U206" s="3">
        <v>45842</v>
      </c>
      <c r="V206" t="s">
        <v>77</v>
      </c>
      <c r="W206">
        <f t="shared" si="17"/>
        <v>3215.1828</v>
      </c>
      <c r="X206">
        <f t="shared" si="18"/>
        <v>4450.08</v>
      </c>
      <c r="Y206">
        <f t="shared" si="19"/>
        <v>1234.8971999999999</v>
      </c>
      <c r="Z206" s="8" t="str">
        <f t="shared" si="16"/>
        <v>High</v>
      </c>
      <c r="AA206" s="12">
        <f>DATE(YEAR(Table1[[#This Row],[OrderDate]]),MONTH(Table1[[#This Row],[OrderDate]]),1)</f>
        <v>45809</v>
      </c>
    </row>
    <row r="207" spans="1:27" x14ac:dyDescent="0.3">
      <c r="A207" s="3">
        <v>45749</v>
      </c>
      <c r="B207" t="s">
        <v>16</v>
      </c>
      <c r="C207" t="s">
        <v>31</v>
      </c>
      <c r="D207" t="str">
        <f>TRIM(Table1[[#This Row],[Product]])</f>
        <v>Laptop</v>
      </c>
      <c r="E207" t="str">
        <f>PROPER(Table1[[#This Row],[Column1]])</f>
        <v>Laptop</v>
      </c>
      <c r="F207" s="8" t="str">
        <f t="shared" si="15"/>
        <v>Technology</v>
      </c>
      <c r="G207" s="5">
        <v>2</v>
      </c>
      <c r="H207">
        <v>580.19000000000005</v>
      </c>
      <c r="I207" t="s">
        <v>57</v>
      </c>
      <c r="J207" t="s">
        <v>58</v>
      </c>
      <c r="K207" s="7">
        <v>0.05</v>
      </c>
      <c r="L207" t="s">
        <v>23</v>
      </c>
      <c r="M207" s="5">
        <v>1102.3610000000001</v>
      </c>
      <c r="N207" t="s">
        <v>85</v>
      </c>
      <c r="O207" t="s">
        <v>71</v>
      </c>
      <c r="P207" s="5">
        <v>0</v>
      </c>
      <c r="Q207" t="s">
        <v>485</v>
      </c>
      <c r="R207" t="s">
        <v>486</v>
      </c>
      <c r="S207" s="5">
        <v>7.33</v>
      </c>
      <c r="T207" s="3">
        <v>45749</v>
      </c>
      <c r="U207" s="3">
        <v>45755</v>
      </c>
      <c r="V207" t="s">
        <v>95</v>
      </c>
      <c r="W207">
        <f t="shared" si="17"/>
        <v>1047.2429500000001</v>
      </c>
      <c r="X207">
        <f t="shared" si="18"/>
        <v>1160.3800000000001</v>
      </c>
      <c r="Y207">
        <f t="shared" si="19"/>
        <v>113.13705000000004</v>
      </c>
      <c r="Z207" s="8" t="str">
        <f t="shared" si="16"/>
        <v>Medium</v>
      </c>
      <c r="AA207" s="12">
        <f>DATE(YEAR(Table1[[#This Row],[OrderDate]]),MONTH(Table1[[#This Row],[OrderDate]]),1)</f>
        <v>45748</v>
      </c>
    </row>
    <row r="208" spans="1:27" x14ac:dyDescent="0.3">
      <c r="A208" s="3">
        <v>45043</v>
      </c>
      <c r="B208" t="s">
        <v>7</v>
      </c>
      <c r="C208" t="s">
        <v>35</v>
      </c>
      <c r="D208" t="str">
        <f>TRIM(Table1[[#This Row],[Product]])</f>
        <v>Tablet</v>
      </c>
      <c r="E208" t="str">
        <f>PROPER(Table1[[#This Row],[Column1]])</f>
        <v>Tablet</v>
      </c>
      <c r="F208" s="8" t="str">
        <f t="shared" si="15"/>
        <v>Technology</v>
      </c>
      <c r="G208" s="5">
        <v>8</v>
      </c>
      <c r="H208">
        <v>536.42999999999995</v>
      </c>
      <c r="I208" t="s">
        <v>57</v>
      </c>
      <c r="J208" t="s">
        <v>65</v>
      </c>
      <c r="K208" s="7">
        <v>0</v>
      </c>
      <c r="L208" t="s">
        <v>21</v>
      </c>
      <c r="M208" s="5">
        <v>4291.4399999999996</v>
      </c>
      <c r="N208" t="s">
        <v>88</v>
      </c>
      <c r="P208" s="5">
        <v>1</v>
      </c>
      <c r="Q208" t="s">
        <v>487</v>
      </c>
      <c r="R208" t="s">
        <v>488</v>
      </c>
      <c r="S208" s="5">
        <v>14.58</v>
      </c>
      <c r="T208" s="3">
        <v>45043</v>
      </c>
      <c r="U208" s="3">
        <v>45053</v>
      </c>
      <c r="V208" t="s">
        <v>77</v>
      </c>
      <c r="W208">
        <f t="shared" si="17"/>
        <v>4291.4399999999996</v>
      </c>
      <c r="X208">
        <f t="shared" si="18"/>
        <v>4291.4399999999996</v>
      </c>
      <c r="Y208">
        <f t="shared" si="19"/>
        <v>0</v>
      </c>
      <c r="Z208" s="8" t="str">
        <f t="shared" si="16"/>
        <v>No Discount</v>
      </c>
      <c r="AA208" s="12">
        <f>DATE(YEAR(Table1[[#This Row],[OrderDate]]),MONTH(Table1[[#This Row],[OrderDate]]),1)</f>
        <v>45017</v>
      </c>
    </row>
    <row r="209" spans="1:27" x14ac:dyDescent="0.3">
      <c r="A209" s="3">
        <v>45511</v>
      </c>
      <c r="B209" t="s">
        <v>9</v>
      </c>
      <c r="C209" t="s">
        <v>33</v>
      </c>
      <c r="D209" t="str">
        <f>TRIM(Table1[[#This Row],[Product]])</f>
        <v>Phone</v>
      </c>
      <c r="E209" t="str">
        <f>PROPER(Table1[[#This Row],[Column1]])</f>
        <v>Phone</v>
      </c>
      <c r="F209" s="8" t="str">
        <f t="shared" si="15"/>
        <v>Technology</v>
      </c>
      <c r="G209" s="5">
        <v>1</v>
      </c>
      <c r="H209">
        <v>94.33</v>
      </c>
      <c r="I209" t="s">
        <v>64</v>
      </c>
      <c r="J209" t="s">
        <v>58</v>
      </c>
      <c r="K209" s="7">
        <v>0</v>
      </c>
      <c r="L209" t="s">
        <v>21</v>
      </c>
      <c r="M209" s="5">
        <v>94.33</v>
      </c>
      <c r="N209" t="s">
        <v>59</v>
      </c>
      <c r="P209" s="5">
        <v>0</v>
      </c>
      <c r="Q209" t="s">
        <v>489</v>
      </c>
      <c r="R209" t="s">
        <v>490</v>
      </c>
      <c r="S209" s="5">
        <v>49.17</v>
      </c>
      <c r="T209" s="3">
        <v>45511</v>
      </c>
      <c r="U209" s="3">
        <v>45521</v>
      </c>
      <c r="V209" t="s">
        <v>63</v>
      </c>
      <c r="W209">
        <f t="shared" si="17"/>
        <v>94.33</v>
      </c>
      <c r="X209">
        <f t="shared" si="18"/>
        <v>94.33</v>
      </c>
      <c r="Y209">
        <f t="shared" si="19"/>
        <v>0</v>
      </c>
      <c r="Z209" s="8" t="str">
        <f t="shared" si="16"/>
        <v>No Discount</v>
      </c>
      <c r="AA209" s="12">
        <f>DATE(YEAR(Table1[[#This Row],[OrderDate]]),MONTH(Table1[[#This Row],[OrderDate]]),1)</f>
        <v>45505</v>
      </c>
    </row>
    <row r="210" spans="1:27" x14ac:dyDescent="0.3">
      <c r="A210" s="3">
        <v>45031</v>
      </c>
      <c r="B210" t="s">
        <v>16</v>
      </c>
      <c r="C210" t="s">
        <v>31</v>
      </c>
      <c r="D210" t="str">
        <f>TRIM(Table1[[#This Row],[Product]])</f>
        <v>Laptop</v>
      </c>
      <c r="E210" t="str">
        <f>PROPER(Table1[[#This Row],[Column1]])</f>
        <v>Laptop</v>
      </c>
      <c r="F210" s="8" t="str">
        <f t="shared" si="15"/>
        <v>Technology</v>
      </c>
      <c r="G210" s="5">
        <v>16</v>
      </c>
      <c r="H210">
        <v>489.94</v>
      </c>
      <c r="I210" t="s">
        <v>78</v>
      </c>
      <c r="J210" t="s">
        <v>65</v>
      </c>
      <c r="K210" s="7">
        <v>0.1</v>
      </c>
      <c r="L210" t="s">
        <v>27</v>
      </c>
      <c r="M210" s="5">
        <v>7055.1360000000004</v>
      </c>
      <c r="N210" t="s">
        <v>88</v>
      </c>
      <c r="O210" t="s">
        <v>67</v>
      </c>
      <c r="P210" s="5">
        <v>0</v>
      </c>
      <c r="Q210" t="s">
        <v>491</v>
      </c>
      <c r="R210" t="s">
        <v>191</v>
      </c>
      <c r="S210" s="5">
        <v>9.69</v>
      </c>
      <c r="T210" s="3">
        <v>45031</v>
      </c>
      <c r="U210" s="3">
        <v>45041</v>
      </c>
      <c r="V210" t="s">
        <v>95</v>
      </c>
      <c r="W210">
        <f t="shared" si="17"/>
        <v>6349.6224000000002</v>
      </c>
      <c r="X210">
        <f t="shared" si="18"/>
        <v>7839.04</v>
      </c>
      <c r="Y210">
        <f t="shared" si="19"/>
        <v>1489.4175999999998</v>
      </c>
      <c r="Z210" s="8" t="str">
        <f t="shared" si="16"/>
        <v>Medium</v>
      </c>
      <c r="AA210" s="12">
        <f>DATE(YEAR(Table1[[#This Row],[OrderDate]]),MONTH(Table1[[#This Row],[OrderDate]]),1)</f>
        <v>45017</v>
      </c>
    </row>
    <row r="211" spans="1:27" x14ac:dyDescent="0.3">
      <c r="A211" s="3">
        <v>45150</v>
      </c>
      <c r="B211" t="s">
        <v>13</v>
      </c>
      <c r="C211" t="s">
        <v>30</v>
      </c>
      <c r="D211" t="str">
        <f>TRIM(Table1[[#This Row],[Product]])</f>
        <v>Desk</v>
      </c>
      <c r="E211" t="str">
        <f>PROPER(Table1[[#This Row],[Column1]])</f>
        <v>Desk</v>
      </c>
      <c r="F211" s="8" t="str">
        <f t="shared" si="15"/>
        <v>Furniture</v>
      </c>
      <c r="G211" s="5">
        <v>4</v>
      </c>
      <c r="H211">
        <v>551.71</v>
      </c>
      <c r="I211" t="s">
        <v>64</v>
      </c>
      <c r="J211" t="s">
        <v>65</v>
      </c>
      <c r="K211" s="7">
        <v>0.05</v>
      </c>
      <c r="L211" t="s">
        <v>25</v>
      </c>
      <c r="M211" s="5">
        <v>2096.498</v>
      </c>
      <c r="N211" t="s">
        <v>66</v>
      </c>
      <c r="P211" s="5">
        <v>1</v>
      </c>
      <c r="Q211" t="s">
        <v>492</v>
      </c>
      <c r="R211" t="s">
        <v>493</v>
      </c>
      <c r="S211" s="5">
        <v>26.32</v>
      </c>
      <c r="T211" s="3">
        <v>45150</v>
      </c>
      <c r="U211" s="3">
        <v>45153</v>
      </c>
      <c r="V211" t="s">
        <v>70</v>
      </c>
      <c r="W211">
        <f t="shared" si="17"/>
        <v>1991.6731</v>
      </c>
      <c r="X211">
        <f t="shared" si="18"/>
        <v>2206.84</v>
      </c>
      <c r="Y211">
        <f t="shared" si="19"/>
        <v>215.16690000000017</v>
      </c>
      <c r="Z211" s="8" t="str">
        <f t="shared" si="16"/>
        <v>Medium</v>
      </c>
      <c r="AA211" s="12">
        <f>DATE(YEAR(Table1[[#This Row],[OrderDate]]),MONTH(Table1[[#This Row],[OrderDate]]),1)</f>
        <v>45139</v>
      </c>
    </row>
    <row r="212" spans="1:27" x14ac:dyDescent="0.3">
      <c r="A212" s="3">
        <v>45096</v>
      </c>
      <c r="B212" t="s">
        <v>16</v>
      </c>
      <c r="C212" t="s">
        <v>34</v>
      </c>
      <c r="D212" t="str">
        <f>TRIM(Table1[[#This Row],[Product]])</f>
        <v>Printer</v>
      </c>
      <c r="E212" t="str">
        <f>PROPER(Table1[[#This Row],[Column1]])</f>
        <v>Printer</v>
      </c>
      <c r="F212" s="8" t="str">
        <f t="shared" si="15"/>
        <v>Office Supplies</v>
      </c>
      <c r="G212" s="5">
        <v>17</v>
      </c>
      <c r="H212">
        <v>595.57000000000005</v>
      </c>
      <c r="I212" t="s">
        <v>81</v>
      </c>
      <c r="J212" t="s">
        <v>65</v>
      </c>
      <c r="K212" s="7">
        <v>0.15</v>
      </c>
      <c r="L212" t="s">
        <v>19</v>
      </c>
      <c r="M212" s="5">
        <v>8605.9865000000009</v>
      </c>
      <c r="N212" t="s">
        <v>82</v>
      </c>
      <c r="O212" t="s">
        <v>71</v>
      </c>
      <c r="P212" s="5">
        <v>0</v>
      </c>
      <c r="Q212" t="s">
        <v>494</v>
      </c>
      <c r="R212" t="s">
        <v>495</v>
      </c>
      <c r="S212" s="5">
        <v>9.73</v>
      </c>
      <c r="T212" s="3">
        <v>45096</v>
      </c>
      <c r="U212" s="3">
        <v>45105</v>
      </c>
      <c r="V212" t="s">
        <v>95</v>
      </c>
      <c r="W212">
        <f t="shared" si="17"/>
        <v>7315.0885250000001</v>
      </c>
      <c r="X212">
        <f t="shared" si="18"/>
        <v>10124.69</v>
      </c>
      <c r="Y212">
        <f t="shared" si="19"/>
        <v>2809.6014750000004</v>
      </c>
      <c r="Z212" s="8" t="str">
        <f t="shared" si="16"/>
        <v>High</v>
      </c>
      <c r="AA212" s="12">
        <f>DATE(YEAR(Table1[[#This Row],[OrderDate]]),MONTH(Table1[[#This Row],[OrderDate]]),1)</f>
        <v>45078</v>
      </c>
    </row>
    <row r="213" spans="1:27" x14ac:dyDescent="0.3">
      <c r="A213" s="3">
        <v>45289</v>
      </c>
      <c r="B213" t="s">
        <v>9</v>
      </c>
      <c r="C213" t="s">
        <v>34</v>
      </c>
      <c r="D213" t="str">
        <f>TRIM(Table1[[#This Row],[Product]])</f>
        <v>Printer</v>
      </c>
      <c r="E213" t="str">
        <f>PROPER(Table1[[#This Row],[Column1]])</f>
        <v>Printer</v>
      </c>
      <c r="F213" s="8" t="str">
        <f t="shared" si="15"/>
        <v>Office Supplies</v>
      </c>
      <c r="G213" s="5">
        <v>1</v>
      </c>
      <c r="H213">
        <v>180.12</v>
      </c>
      <c r="I213" t="s">
        <v>64</v>
      </c>
      <c r="J213" t="s">
        <v>58</v>
      </c>
      <c r="K213" s="7">
        <v>0.1</v>
      </c>
      <c r="L213" t="s">
        <v>25</v>
      </c>
      <c r="M213" s="5">
        <v>162.108</v>
      </c>
      <c r="N213" t="s">
        <v>85</v>
      </c>
      <c r="P213" s="5">
        <v>0</v>
      </c>
      <c r="Q213" t="s">
        <v>496</v>
      </c>
      <c r="R213" t="s">
        <v>497</v>
      </c>
      <c r="S213" s="5">
        <v>27.07</v>
      </c>
      <c r="T213" s="3">
        <v>45289</v>
      </c>
      <c r="U213" s="3">
        <v>45298</v>
      </c>
      <c r="V213" t="s">
        <v>63</v>
      </c>
      <c r="W213">
        <f t="shared" si="17"/>
        <v>145.8972</v>
      </c>
      <c r="X213">
        <f t="shared" si="18"/>
        <v>180.12</v>
      </c>
      <c r="Y213">
        <f t="shared" si="19"/>
        <v>34.222800000000007</v>
      </c>
      <c r="Z213" s="8" t="str">
        <f t="shared" si="16"/>
        <v>Medium</v>
      </c>
      <c r="AA213" s="12">
        <f>DATE(YEAR(Table1[[#This Row],[OrderDate]]),MONTH(Table1[[#This Row],[OrderDate]]),1)</f>
        <v>45261</v>
      </c>
    </row>
    <row r="214" spans="1:27" x14ac:dyDescent="0.3">
      <c r="A214" s="3">
        <v>45011</v>
      </c>
      <c r="B214" t="s">
        <v>9</v>
      </c>
      <c r="C214" t="s">
        <v>30</v>
      </c>
      <c r="D214" t="str">
        <f>TRIM(Table1[[#This Row],[Product]])</f>
        <v>Desk</v>
      </c>
      <c r="E214" t="str">
        <f>PROPER(Table1[[#This Row],[Column1]])</f>
        <v>Desk</v>
      </c>
      <c r="F214" s="8" t="str">
        <f t="shared" si="15"/>
        <v>Furniture</v>
      </c>
      <c r="G214" s="5">
        <v>12</v>
      </c>
      <c r="H214">
        <v>301.5</v>
      </c>
      <c r="I214" t="s">
        <v>81</v>
      </c>
      <c r="J214" t="s">
        <v>65</v>
      </c>
      <c r="K214" s="7">
        <v>0.15</v>
      </c>
      <c r="L214" t="s">
        <v>19</v>
      </c>
      <c r="M214" s="5">
        <v>3075.3</v>
      </c>
      <c r="N214" t="s">
        <v>82</v>
      </c>
      <c r="O214" t="s">
        <v>60</v>
      </c>
      <c r="P214" s="5">
        <v>1</v>
      </c>
      <c r="Q214" t="s">
        <v>498</v>
      </c>
      <c r="R214" t="s">
        <v>499</v>
      </c>
      <c r="S214" s="5">
        <v>43.67</v>
      </c>
      <c r="T214" s="3">
        <v>45011</v>
      </c>
      <c r="U214" s="3">
        <v>45015</v>
      </c>
      <c r="V214" t="s">
        <v>63</v>
      </c>
      <c r="W214">
        <f t="shared" si="17"/>
        <v>2614.0050000000001</v>
      </c>
      <c r="X214">
        <f t="shared" si="18"/>
        <v>3618</v>
      </c>
      <c r="Y214">
        <f t="shared" si="19"/>
        <v>1003.9949999999999</v>
      </c>
      <c r="Z214" s="8" t="str">
        <f t="shared" si="16"/>
        <v>High</v>
      </c>
      <c r="AA214" s="12">
        <f>DATE(YEAR(Table1[[#This Row],[OrderDate]]),MONTH(Table1[[#This Row],[OrderDate]]),1)</f>
        <v>44986</v>
      </c>
    </row>
    <row r="215" spans="1:27" x14ac:dyDescent="0.3">
      <c r="A215" s="3">
        <v>45170</v>
      </c>
      <c r="B215" t="s">
        <v>13</v>
      </c>
      <c r="C215" t="s">
        <v>33</v>
      </c>
      <c r="D215" t="str">
        <f>TRIM(Table1[[#This Row],[Product]])</f>
        <v>Phone</v>
      </c>
      <c r="E215" t="str">
        <f>PROPER(Table1[[#This Row],[Column1]])</f>
        <v>Phone</v>
      </c>
      <c r="F215" s="8" t="str">
        <f t="shared" si="15"/>
        <v>Technology</v>
      </c>
      <c r="G215" s="5">
        <v>20</v>
      </c>
      <c r="H215">
        <v>273.55</v>
      </c>
      <c r="I215" t="s">
        <v>81</v>
      </c>
      <c r="J215" t="s">
        <v>65</v>
      </c>
      <c r="K215" s="7">
        <v>0.15</v>
      </c>
      <c r="L215" t="s">
        <v>27</v>
      </c>
      <c r="M215" s="5">
        <v>4650.3499999999995</v>
      </c>
      <c r="N215" t="s">
        <v>85</v>
      </c>
      <c r="P215" s="5">
        <v>0</v>
      </c>
      <c r="Q215" t="s">
        <v>500</v>
      </c>
      <c r="R215" t="s">
        <v>501</v>
      </c>
      <c r="S215" s="5">
        <v>14.76</v>
      </c>
      <c r="T215" s="3">
        <v>45170</v>
      </c>
      <c r="U215" s="3">
        <v>45176</v>
      </c>
      <c r="V215" t="s">
        <v>70</v>
      </c>
      <c r="W215">
        <f t="shared" si="17"/>
        <v>3952.7974999999992</v>
      </c>
      <c r="X215">
        <f t="shared" si="18"/>
        <v>5471</v>
      </c>
      <c r="Y215">
        <f t="shared" si="19"/>
        <v>1518.2025000000008</v>
      </c>
      <c r="Z215" s="8" t="str">
        <f t="shared" si="16"/>
        <v>High</v>
      </c>
      <c r="AA215" s="12">
        <f>DATE(YEAR(Table1[[#This Row],[OrderDate]]),MONTH(Table1[[#This Row],[OrderDate]]),1)</f>
        <v>45170</v>
      </c>
    </row>
    <row r="216" spans="1:27" x14ac:dyDescent="0.3">
      <c r="A216" s="3">
        <v>45509</v>
      </c>
      <c r="B216" t="s">
        <v>16</v>
      </c>
      <c r="C216" t="s">
        <v>35</v>
      </c>
      <c r="D216" t="str">
        <f>TRIM(Table1[[#This Row],[Product]])</f>
        <v>Tablet</v>
      </c>
      <c r="E216" t="str">
        <f>PROPER(Table1[[#This Row],[Column1]])</f>
        <v>Tablet</v>
      </c>
      <c r="F216" s="8" t="str">
        <f t="shared" si="15"/>
        <v>Technology</v>
      </c>
      <c r="G216" s="5">
        <v>6</v>
      </c>
      <c r="H216">
        <v>187.06</v>
      </c>
      <c r="I216" t="s">
        <v>57</v>
      </c>
      <c r="J216" t="s">
        <v>58</v>
      </c>
      <c r="K216" s="7">
        <v>0.1</v>
      </c>
      <c r="L216" t="s">
        <v>27</v>
      </c>
      <c r="M216" s="5">
        <v>1010.124</v>
      </c>
      <c r="N216" t="s">
        <v>85</v>
      </c>
      <c r="O216" t="s">
        <v>60</v>
      </c>
      <c r="P216" s="5">
        <v>0</v>
      </c>
      <c r="Q216" t="s">
        <v>502</v>
      </c>
      <c r="R216" t="s">
        <v>503</v>
      </c>
      <c r="S216" s="5">
        <v>11.03</v>
      </c>
      <c r="T216" s="3">
        <v>45509</v>
      </c>
      <c r="U216" s="3">
        <v>45517</v>
      </c>
      <c r="V216" t="s">
        <v>95</v>
      </c>
      <c r="W216">
        <f t="shared" si="17"/>
        <v>909.11160000000007</v>
      </c>
      <c r="X216">
        <f t="shared" si="18"/>
        <v>1122.3600000000001</v>
      </c>
      <c r="Y216">
        <f t="shared" si="19"/>
        <v>213.24840000000006</v>
      </c>
      <c r="Z216" s="8" t="str">
        <f t="shared" si="16"/>
        <v>Medium</v>
      </c>
      <c r="AA216" s="12">
        <f>DATE(YEAR(Table1[[#This Row],[OrderDate]]),MONTH(Table1[[#This Row],[OrderDate]]),1)</f>
        <v>45505</v>
      </c>
    </row>
    <row r="217" spans="1:27" x14ac:dyDescent="0.3">
      <c r="A217" s="3">
        <v>45680</v>
      </c>
      <c r="B217" t="s">
        <v>11</v>
      </c>
      <c r="C217" t="s">
        <v>29</v>
      </c>
      <c r="D217" t="str">
        <f>TRIM(Table1[[#This Row],[Product]])</f>
        <v>Chair</v>
      </c>
      <c r="E217" t="str">
        <f>PROPER(Table1[[#This Row],[Column1]])</f>
        <v>Chair</v>
      </c>
      <c r="F217" s="8" t="str">
        <f t="shared" si="15"/>
        <v>Furniture</v>
      </c>
      <c r="G217" s="5">
        <v>16</v>
      </c>
      <c r="H217">
        <v>562.52</v>
      </c>
      <c r="I217" t="s">
        <v>81</v>
      </c>
      <c r="J217" t="s">
        <v>65</v>
      </c>
      <c r="K217" s="7">
        <v>0</v>
      </c>
      <c r="L217" t="s">
        <v>27</v>
      </c>
      <c r="M217" s="5">
        <v>9000.32</v>
      </c>
      <c r="N217" t="s">
        <v>66</v>
      </c>
      <c r="P217" s="5">
        <v>0</v>
      </c>
      <c r="Q217" t="s">
        <v>504</v>
      </c>
      <c r="R217" t="s">
        <v>505</v>
      </c>
      <c r="S217" s="5">
        <v>18.23</v>
      </c>
      <c r="T217" s="3">
        <v>45680</v>
      </c>
      <c r="U217" s="3">
        <v>45684</v>
      </c>
      <c r="V217" t="s">
        <v>74</v>
      </c>
      <c r="W217">
        <f t="shared" si="17"/>
        <v>9000.32</v>
      </c>
      <c r="X217">
        <f t="shared" si="18"/>
        <v>9000.32</v>
      </c>
      <c r="Y217">
        <f t="shared" si="19"/>
        <v>0</v>
      </c>
      <c r="Z217" s="8" t="str">
        <f t="shared" si="16"/>
        <v>No Discount</v>
      </c>
      <c r="AA217" s="12">
        <f>DATE(YEAR(Table1[[#This Row],[OrderDate]]),MONTH(Table1[[#This Row],[OrderDate]]),1)</f>
        <v>45658</v>
      </c>
    </row>
    <row r="218" spans="1:27" x14ac:dyDescent="0.3">
      <c r="A218" s="3">
        <v>45062</v>
      </c>
      <c r="B218" t="s">
        <v>9</v>
      </c>
      <c r="C218" t="s">
        <v>35</v>
      </c>
      <c r="D218" t="str">
        <f>TRIM(Table1[[#This Row],[Product]])</f>
        <v>Tablet</v>
      </c>
      <c r="E218" t="str">
        <f>PROPER(Table1[[#This Row],[Column1]])</f>
        <v>Tablet</v>
      </c>
      <c r="F218" s="8" t="str">
        <f t="shared" si="15"/>
        <v>Technology</v>
      </c>
      <c r="G218" s="5">
        <v>4</v>
      </c>
      <c r="H218">
        <v>85.16</v>
      </c>
      <c r="I218" t="s">
        <v>81</v>
      </c>
      <c r="J218" t="s">
        <v>58</v>
      </c>
      <c r="K218" s="7">
        <v>0.1</v>
      </c>
      <c r="L218" t="s">
        <v>21</v>
      </c>
      <c r="M218" s="5">
        <v>306.57600000000002</v>
      </c>
      <c r="N218" t="s">
        <v>82</v>
      </c>
      <c r="P218" s="5">
        <v>0</v>
      </c>
      <c r="Q218" t="s">
        <v>506</v>
      </c>
      <c r="R218" t="s">
        <v>507</v>
      </c>
      <c r="S218" s="5">
        <v>38.51</v>
      </c>
      <c r="T218" s="3">
        <v>45062</v>
      </c>
      <c r="U218" s="3">
        <v>45069</v>
      </c>
      <c r="V218" t="s">
        <v>63</v>
      </c>
      <c r="W218">
        <f t="shared" si="17"/>
        <v>275.91840000000002</v>
      </c>
      <c r="X218">
        <f t="shared" si="18"/>
        <v>340.64</v>
      </c>
      <c r="Y218">
        <f t="shared" si="19"/>
        <v>64.721599999999967</v>
      </c>
      <c r="Z218" s="8" t="str">
        <f t="shared" si="16"/>
        <v>Medium</v>
      </c>
      <c r="AA218" s="12">
        <f>DATE(YEAR(Table1[[#This Row],[OrderDate]]),MONTH(Table1[[#This Row],[OrderDate]]),1)</f>
        <v>45047</v>
      </c>
    </row>
    <row r="219" spans="1:27" x14ac:dyDescent="0.3">
      <c r="A219" s="3">
        <v>44971</v>
      </c>
      <c r="B219" t="s">
        <v>11</v>
      </c>
      <c r="C219" t="s">
        <v>35</v>
      </c>
      <c r="D219" t="str">
        <f>TRIM(Table1[[#This Row],[Product]])</f>
        <v>Tablet</v>
      </c>
      <c r="E219" t="str">
        <f>PROPER(Table1[[#This Row],[Column1]])</f>
        <v>Tablet</v>
      </c>
      <c r="F219" s="8" t="str">
        <f t="shared" si="15"/>
        <v>Technology</v>
      </c>
      <c r="G219" s="5">
        <v>12</v>
      </c>
      <c r="H219">
        <v>451.51</v>
      </c>
      <c r="I219" t="s">
        <v>57</v>
      </c>
      <c r="J219" t="s">
        <v>58</v>
      </c>
      <c r="K219" s="7">
        <v>0.15</v>
      </c>
      <c r="L219" t="s">
        <v>21</v>
      </c>
      <c r="M219" s="5">
        <v>4605.402</v>
      </c>
      <c r="N219" t="s">
        <v>59</v>
      </c>
      <c r="O219" t="s">
        <v>71</v>
      </c>
      <c r="P219" s="5">
        <v>0</v>
      </c>
      <c r="Q219" t="s">
        <v>508</v>
      </c>
      <c r="R219" t="s">
        <v>509</v>
      </c>
      <c r="S219" s="5">
        <v>9.5399999999999991</v>
      </c>
      <c r="T219" s="3">
        <v>44971</v>
      </c>
      <c r="U219" s="3">
        <v>44979</v>
      </c>
      <c r="V219" t="s">
        <v>74</v>
      </c>
      <c r="W219">
        <f t="shared" si="17"/>
        <v>3914.5916999999999</v>
      </c>
      <c r="X219">
        <f t="shared" si="18"/>
        <v>5418.12</v>
      </c>
      <c r="Y219">
        <f t="shared" si="19"/>
        <v>1503.5282999999999</v>
      </c>
      <c r="Z219" s="8" t="str">
        <f t="shared" si="16"/>
        <v>High</v>
      </c>
      <c r="AA219" s="12">
        <f>DATE(YEAR(Table1[[#This Row],[OrderDate]]),MONTH(Table1[[#This Row],[OrderDate]]),1)</f>
        <v>44958</v>
      </c>
    </row>
    <row r="220" spans="1:27" x14ac:dyDescent="0.3">
      <c r="A220" s="3">
        <v>45446</v>
      </c>
      <c r="B220" t="s">
        <v>7</v>
      </c>
      <c r="C220" t="s">
        <v>35</v>
      </c>
      <c r="D220" t="str">
        <f>TRIM(Table1[[#This Row],[Product]])</f>
        <v>Tablet</v>
      </c>
      <c r="E220" t="str">
        <f>PROPER(Table1[[#This Row],[Column1]])</f>
        <v>Tablet</v>
      </c>
      <c r="F220" s="8" t="str">
        <f t="shared" si="15"/>
        <v>Technology</v>
      </c>
      <c r="G220" s="5">
        <v>1</v>
      </c>
      <c r="H220">
        <v>259.87</v>
      </c>
      <c r="I220" t="s">
        <v>81</v>
      </c>
      <c r="J220" t="s">
        <v>65</v>
      </c>
      <c r="K220" s="7">
        <v>0.15</v>
      </c>
      <c r="L220" t="s">
        <v>25</v>
      </c>
      <c r="M220" s="5">
        <v>220.8895</v>
      </c>
      <c r="N220" t="s">
        <v>66</v>
      </c>
      <c r="O220" t="s">
        <v>60</v>
      </c>
      <c r="P220" s="5">
        <v>0</v>
      </c>
      <c r="Q220" t="s">
        <v>510</v>
      </c>
      <c r="R220" t="s">
        <v>511</v>
      </c>
      <c r="S220" s="5">
        <v>19.2</v>
      </c>
      <c r="T220" s="3">
        <v>45446</v>
      </c>
      <c r="U220" s="3">
        <v>45455</v>
      </c>
      <c r="V220" t="s">
        <v>77</v>
      </c>
      <c r="W220">
        <f t="shared" si="17"/>
        <v>187.75607499999998</v>
      </c>
      <c r="X220">
        <f t="shared" si="18"/>
        <v>259.87</v>
      </c>
      <c r="Y220">
        <f t="shared" si="19"/>
        <v>72.113925000000023</v>
      </c>
      <c r="Z220" s="8" t="str">
        <f t="shared" si="16"/>
        <v>High</v>
      </c>
      <c r="AA220" s="12">
        <f>DATE(YEAR(Table1[[#This Row],[OrderDate]]),MONTH(Table1[[#This Row],[OrderDate]]),1)</f>
        <v>45444</v>
      </c>
    </row>
    <row r="221" spans="1:27" x14ac:dyDescent="0.3">
      <c r="A221" s="3">
        <v>45238</v>
      </c>
      <c r="B221" t="s">
        <v>7</v>
      </c>
      <c r="C221" t="s">
        <v>35</v>
      </c>
      <c r="D221" t="str">
        <f>TRIM(Table1[[#This Row],[Product]])</f>
        <v>Tablet</v>
      </c>
      <c r="E221" t="str">
        <f>PROPER(Table1[[#This Row],[Column1]])</f>
        <v>Tablet</v>
      </c>
      <c r="F221" s="8" t="str">
        <f t="shared" si="15"/>
        <v>Technology</v>
      </c>
      <c r="G221" s="5">
        <v>20</v>
      </c>
      <c r="H221">
        <v>268.25</v>
      </c>
      <c r="I221" t="s">
        <v>81</v>
      </c>
      <c r="J221" t="s">
        <v>65</v>
      </c>
      <c r="K221" s="7">
        <v>0.05</v>
      </c>
      <c r="L221" t="s">
        <v>23</v>
      </c>
      <c r="M221" s="5">
        <v>5096.75</v>
      </c>
      <c r="N221" t="s">
        <v>88</v>
      </c>
      <c r="O221" t="s">
        <v>60</v>
      </c>
      <c r="P221" s="5">
        <v>0</v>
      </c>
      <c r="Q221" t="s">
        <v>512</v>
      </c>
      <c r="R221" t="s">
        <v>513</v>
      </c>
      <c r="S221" s="5">
        <v>20.96</v>
      </c>
      <c r="T221" s="3">
        <v>45238</v>
      </c>
      <c r="U221" s="3">
        <v>45245</v>
      </c>
      <c r="V221" t="s">
        <v>77</v>
      </c>
      <c r="W221">
        <f t="shared" si="17"/>
        <v>4841.9124999999995</v>
      </c>
      <c r="X221">
        <f t="shared" si="18"/>
        <v>5365</v>
      </c>
      <c r="Y221">
        <f t="shared" si="19"/>
        <v>523.08750000000055</v>
      </c>
      <c r="Z221" s="8" t="str">
        <f t="shared" si="16"/>
        <v>Medium</v>
      </c>
      <c r="AA221" s="12">
        <f>DATE(YEAR(Table1[[#This Row],[OrderDate]]),MONTH(Table1[[#This Row],[OrderDate]]),1)</f>
        <v>45231</v>
      </c>
    </row>
    <row r="222" spans="1:27" x14ac:dyDescent="0.3">
      <c r="A222" s="3">
        <v>44950</v>
      </c>
      <c r="B222" t="s">
        <v>16</v>
      </c>
      <c r="C222" t="s">
        <v>33</v>
      </c>
      <c r="D222" t="str">
        <f>TRIM(Table1[[#This Row],[Product]])</f>
        <v>Phone</v>
      </c>
      <c r="E222" t="str">
        <f>PROPER(Table1[[#This Row],[Column1]])</f>
        <v>Phone</v>
      </c>
      <c r="F222" s="8" t="str">
        <f t="shared" si="15"/>
        <v>Technology</v>
      </c>
      <c r="G222" s="5">
        <v>10</v>
      </c>
      <c r="H222">
        <v>266.13</v>
      </c>
      <c r="I222" t="s">
        <v>57</v>
      </c>
      <c r="J222" t="s">
        <v>58</v>
      </c>
      <c r="K222" s="7">
        <v>0</v>
      </c>
      <c r="L222" t="s">
        <v>23</v>
      </c>
      <c r="M222" s="5">
        <v>2661.3</v>
      </c>
      <c r="N222" t="s">
        <v>66</v>
      </c>
      <c r="O222" t="s">
        <v>71</v>
      </c>
      <c r="P222" s="5">
        <v>0</v>
      </c>
      <c r="Q222" t="s">
        <v>514</v>
      </c>
      <c r="R222" t="s">
        <v>515</v>
      </c>
      <c r="S222" s="5">
        <v>21.01</v>
      </c>
      <c r="T222" s="3">
        <v>44950</v>
      </c>
      <c r="U222" s="3">
        <v>44952</v>
      </c>
      <c r="V222" t="s">
        <v>95</v>
      </c>
      <c r="W222">
        <f t="shared" si="17"/>
        <v>2661.3</v>
      </c>
      <c r="X222">
        <f t="shared" si="18"/>
        <v>2661.3</v>
      </c>
      <c r="Y222">
        <f t="shared" si="19"/>
        <v>0</v>
      </c>
      <c r="Z222" s="8" t="str">
        <f t="shared" si="16"/>
        <v>No Discount</v>
      </c>
      <c r="AA222" s="12">
        <f>DATE(YEAR(Table1[[#This Row],[OrderDate]]),MONTH(Table1[[#This Row],[OrderDate]]),1)</f>
        <v>44927</v>
      </c>
    </row>
    <row r="223" spans="1:27" x14ac:dyDescent="0.3">
      <c r="A223" s="3">
        <v>45736</v>
      </c>
      <c r="B223" t="s">
        <v>16</v>
      </c>
      <c r="C223" t="s">
        <v>31</v>
      </c>
      <c r="D223" t="str">
        <f>TRIM(Table1[[#This Row],[Product]])</f>
        <v>Laptop</v>
      </c>
      <c r="E223" t="str">
        <f>PROPER(Table1[[#This Row],[Column1]])</f>
        <v>Laptop</v>
      </c>
      <c r="F223" s="8" t="str">
        <f t="shared" si="15"/>
        <v>Technology</v>
      </c>
      <c r="G223" s="5">
        <v>18</v>
      </c>
      <c r="H223">
        <v>493.06</v>
      </c>
      <c r="I223" t="s">
        <v>81</v>
      </c>
      <c r="J223" t="s">
        <v>58</v>
      </c>
      <c r="K223" s="7">
        <v>0.05</v>
      </c>
      <c r="L223" t="s">
        <v>23</v>
      </c>
      <c r="M223" s="5">
        <v>8431.3259999999991</v>
      </c>
      <c r="N223" t="s">
        <v>88</v>
      </c>
      <c r="O223" t="s">
        <v>71</v>
      </c>
      <c r="P223" s="5">
        <v>1</v>
      </c>
      <c r="Q223" t="s">
        <v>516</v>
      </c>
      <c r="R223" t="s">
        <v>517</v>
      </c>
      <c r="S223" s="5">
        <v>46.87</v>
      </c>
      <c r="T223" s="3">
        <v>45736</v>
      </c>
      <c r="U223" s="3">
        <v>45744</v>
      </c>
      <c r="V223" t="s">
        <v>95</v>
      </c>
      <c r="W223">
        <f t="shared" si="17"/>
        <v>8009.7596999999987</v>
      </c>
      <c r="X223">
        <f t="shared" si="18"/>
        <v>8875.08</v>
      </c>
      <c r="Y223">
        <f t="shared" si="19"/>
        <v>865.32030000000123</v>
      </c>
      <c r="Z223" s="8" t="str">
        <f t="shared" si="16"/>
        <v>Medium</v>
      </c>
      <c r="AA223" s="12">
        <f>DATE(YEAR(Table1[[#This Row],[OrderDate]]),MONTH(Table1[[#This Row],[OrderDate]]),1)</f>
        <v>45717</v>
      </c>
    </row>
    <row r="224" spans="1:27" x14ac:dyDescent="0.3">
      <c r="A224" s="3">
        <v>45344</v>
      </c>
      <c r="B224" t="s">
        <v>16</v>
      </c>
      <c r="C224" t="s">
        <v>32</v>
      </c>
      <c r="D224" t="str">
        <f>TRIM(Table1[[#This Row],[Product]])</f>
        <v>Monitor</v>
      </c>
      <c r="E224" t="str">
        <f>PROPER(Table1[[#This Row],[Column1]])</f>
        <v>Monitor</v>
      </c>
      <c r="F224" s="8" t="str">
        <f t="shared" si="15"/>
        <v>Technology</v>
      </c>
      <c r="G224" s="5">
        <v>4</v>
      </c>
      <c r="H224">
        <v>36.82</v>
      </c>
      <c r="I224" t="s">
        <v>78</v>
      </c>
      <c r="J224" t="s">
        <v>58</v>
      </c>
      <c r="K224" s="7">
        <v>0.05</v>
      </c>
      <c r="L224" t="s">
        <v>27</v>
      </c>
      <c r="M224" s="5">
        <v>139.916</v>
      </c>
      <c r="N224" t="s">
        <v>82</v>
      </c>
      <c r="O224" t="s">
        <v>71</v>
      </c>
      <c r="P224" s="5">
        <v>1</v>
      </c>
      <c r="Q224" t="s">
        <v>518</v>
      </c>
      <c r="R224" t="s">
        <v>519</v>
      </c>
      <c r="S224" s="5">
        <v>24.86</v>
      </c>
      <c r="T224" s="3">
        <v>45344</v>
      </c>
      <c r="U224" s="3">
        <v>45352</v>
      </c>
      <c r="V224" t="s">
        <v>95</v>
      </c>
      <c r="W224">
        <f t="shared" si="17"/>
        <v>132.92019999999999</v>
      </c>
      <c r="X224">
        <f t="shared" si="18"/>
        <v>147.28</v>
      </c>
      <c r="Y224">
        <f t="shared" si="19"/>
        <v>14.359800000000007</v>
      </c>
      <c r="Z224" s="8" t="str">
        <f t="shared" si="16"/>
        <v>Medium</v>
      </c>
      <c r="AA224" s="12">
        <f>DATE(YEAR(Table1[[#This Row],[OrderDate]]),MONTH(Table1[[#This Row],[OrderDate]]),1)</f>
        <v>45323</v>
      </c>
    </row>
    <row r="225" spans="1:27" x14ac:dyDescent="0.3">
      <c r="A225" s="3">
        <v>45749</v>
      </c>
      <c r="B225" t="s">
        <v>11</v>
      </c>
      <c r="C225" t="s">
        <v>34</v>
      </c>
      <c r="D225" t="str">
        <f>TRIM(Table1[[#This Row],[Product]])</f>
        <v>Printer</v>
      </c>
      <c r="E225" t="str">
        <f>PROPER(Table1[[#This Row],[Column1]])</f>
        <v>Printer</v>
      </c>
      <c r="F225" s="8" t="str">
        <f t="shared" si="15"/>
        <v>Office Supplies</v>
      </c>
      <c r="G225" s="5">
        <v>12</v>
      </c>
      <c r="H225">
        <v>413.45</v>
      </c>
      <c r="I225" t="s">
        <v>81</v>
      </c>
      <c r="J225" t="s">
        <v>65</v>
      </c>
      <c r="K225" s="7">
        <v>0.15</v>
      </c>
      <c r="L225" t="s">
        <v>19</v>
      </c>
      <c r="M225" s="5">
        <v>4217.1899999999996</v>
      </c>
      <c r="N225" t="s">
        <v>88</v>
      </c>
      <c r="O225" t="s">
        <v>60</v>
      </c>
      <c r="P225" s="5">
        <v>0</v>
      </c>
      <c r="Q225" t="s">
        <v>520</v>
      </c>
      <c r="R225" t="s">
        <v>521</v>
      </c>
      <c r="S225" s="5">
        <v>23.25</v>
      </c>
      <c r="T225" s="3">
        <v>45749</v>
      </c>
      <c r="U225" s="3">
        <v>45757</v>
      </c>
      <c r="V225" t="s">
        <v>74</v>
      </c>
      <c r="W225">
        <f t="shared" si="17"/>
        <v>3584.6114999999995</v>
      </c>
      <c r="X225">
        <f t="shared" si="18"/>
        <v>4961.3999999999996</v>
      </c>
      <c r="Y225">
        <f t="shared" si="19"/>
        <v>1376.7885000000001</v>
      </c>
      <c r="Z225" s="8" t="str">
        <f t="shared" si="16"/>
        <v>High</v>
      </c>
      <c r="AA225" s="12">
        <f>DATE(YEAR(Table1[[#This Row],[OrderDate]]),MONTH(Table1[[#This Row],[OrderDate]]),1)</f>
        <v>45748</v>
      </c>
    </row>
    <row r="226" spans="1:27" x14ac:dyDescent="0.3">
      <c r="A226" s="3">
        <v>45820</v>
      </c>
      <c r="B226" t="s">
        <v>11</v>
      </c>
      <c r="C226" t="s">
        <v>29</v>
      </c>
      <c r="D226" t="str">
        <f>TRIM(Table1[[#This Row],[Product]])</f>
        <v>Chair</v>
      </c>
      <c r="E226" t="str">
        <f>PROPER(Table1[[#This Row],[Column1]])</f>
        <v>Chair</v>
      </c>
      <c r="F226" s="8" t="str">
        <f t="shared" si="15"/>
        <v>Furniture</v>
      </c>
      <c r="G226" s="5">
        <v>19</v>
      </c>
      <c r="H226">
        <v>446.25</v>
      </c>
      <c r="I226" t="s">
        <v>57</v>
      </c>
      <c r="J226" t="s">
        <v>65</v>
      </c>
      <c r="K226" s="7">
        <v>0.1</v>
      </c>
      <c r="L226" t="s">
        <v>25</v>
      </c>
      <c r="M226" s="5">
        <v>7630.875</v>
      </c>
      <c r="N226" t="s">
        <v>66</v>
      </c>
      <c r="P226" s="5">
        <v>0</v>
      </c>
      <c r="Q226" t="s">
        <v>522</v>
      </c>
      <c r="R226" t="s">
        <v>523</v>
      </c>
      <c r="S226" s="5">
        <v>14.88</v>
      </c>
      <c r="T226" s="3">
        <v>45820</v>
      </c>
      <c r="U226" s="3">
        <v>45826</v>
      </c>
      <c r="V226" t="s">
        <v>74</v>
      </c>
      <c r="W226">
        <f t="shared" si="17"/>
        <v>6867.7875000000004</v>
      </c>
      <c r="X226">
        <f t="shared" si="18"/>
        <v>8478.75</v>
      </c>
      <c r="Y226">
        <f t="shared" si="19"/>
        <v>1610.9624999999996</v>
      </c>
      <c r="Z226" s="8" t="str">
        <f t="shared" si="16"/>
        <v>Medium</v>
      </c>
      <c r="AA226" s="12">
        <f>DATE(YEAR(Table1[[#This Row],[OrderDate]]),MONTH(Table1[[#This Row],[OrderDate]]),1)</f>
        <v>45809</v>
      </c>
    </row>
    <row r="227" spans="1:27" x14ac:dyDescent="0.3">
      <c r="A227" s="3">
        <v>45059</v>
      </c>
      <c r="B227" t="s">
        <v>9</v>
      </c>
      <c r="C227" t="s">
        <v>31</v>
      </c>
      <c r="D227" t="str">
        <f>TRIM(Table1[[#This Row],[Product]])</f>
        <v>Laptop</v>
      </c>
      <c r="E227" t="str">
        <f>PROPER(Table1[[#This Row],[Column1]])</f>
        <v>Laptop</v>
      </c>
      <c r="F227" s="8" t="str">
        <f t="shared" si="15"/>
        <v>Technology</v>
      </c>
      <c r="G227" s="5">
        <v>7</v>
      </c>
      <c r="H227">
        <v>82.77</v>
      </c>
      <c r="I227" t="s">
        <v>81</v>
      </c>
      <c r="J227" t="s">
        <v>58</v>
      </c>
      <c r="K227" s="7">
        <v>0.15</v>
      </c>
      <c r="L227" t="s">
        <v>27</v>
      </c>
      <c r="M227" s="5">
        <v>492.48149999999998</v>
      </c>
      <c r="N227" t="s">
        <v>85</v>
      </c>
      <c r="O227" t="s">
        <v>67</v>
      </c>
      <c r="P227" s="5">
        <v>1</v>
      </c>
      <c r="Q227" t="s">
        <v>524</v>
      </c>
      <c r="R227" t="s">
        <v>525</v>
      </c>
      <c r="S227" s="5">
        <v>15.66</v>
      </c>
      <c r="T227" s="3">
        <v>45059</v>
      </c>
      <c r="U227" s="3">
        <v>45063</v>
      </c>
      <c r="V227" t="s">
        <v>63</v>
      </c>
      <c r="W227">
        <f t="shared" si="17"/>
        <v>418.60927499999997</v>
      </c>
      <c r="X227">
        <f t="shared" si="18"/>
        <v>579.39</v>
      </c>
      <c r="Y227">
        <f t="shared" si="19"/>
        <v>160.78072500000002</v>
      </c>
      <c r="Z227" s="8" t="str">
        <f t="shared" si="16"/>
        <v>High</v>
      </c>
      <c r="AA227" s="12">
        <f>DATE(YEAR(Table1[[#This Row],[OrderDate]]),MONTH(Table1[[#This Row],[OrderDate]]),1)</f>
        <v>45047</v>
      </c>
    </row>
    <row r="228" spans="1:27" x14ac:dyDescent="0.3">
      <c r="A228" s="3">
        <v>45010</v>
      </c>
      <c r="B228" t="s">
        <v>13</v>
      </c>
      <c r="C228" t="s">
        <v>30</v>
      </c>
      <c r="D228" t="str">
        <f>TRIM(Table1[[#This Row],[Product]])</f>
        <v>Desk</v>
      </c>
      <c r="E228" t="str">
        <f>PROPER(Table1[[#This Row],[Column1]])</f>
        <v>Desk</v>
      </c>
      <c r="F228" s="8" t="str">
        <f t="shared" si="15"/>
        <v>Furniture</v>
      </c>
      <c r="G228" s="5">
        <v>17</v>
      </c>
      <c r="H228">
        <v>339.88</v>
      </c>
      <c r="I228" t="s">
        <v>64</v>
      </c>
      <c r="J228" t="s">
        <v>65</v>
      </c>
      <c r="K228" s="7">
        <v>0</v>
      </c>
      <c r="L228" t="s">
        <v>18</v>
      </c>
      <c r="M228" s="5">
        <v>5777.96</v>
      </c>
      <c r="N228" t="s">
        <v>88</v>
      </c>
      <c r="P228" s="5">
        <v>0</v>
      </c>
      <c r="Q228" t="s">
        <v>526</v>
      </c>
      <c r="R228" t="s">
        <v>527</v>
      </c>
      <c r="S228" s="5">
        <v>44.86</v>
      </c>
      <c r="T228" s="3">
        <v>45010</v>
      </c>
      <c r="U228" s="3">
        <v>45013</v>
      </c>
      <c r="V228" t="s">
        <v>70</v>
      </c>
      <c r="W228">
        <f t="shared" si="17"/>
        <v>5777.96</v>
      </c>
      <c r="X228">
        <f t="shared" si="18"/>
        <v>5777.96</v>
      </c>
      <c r="Y228">
        <f t="shared" si="19"/>
        <v>0</v>
      </c>
      <c r="Z228" s="8" t="str">
        <f t="shared" si="16"/>
        <v>No Discount</v>
      </c>
      <c r="AA228" s="12">
        <f>DATE(YEAR(Table1[[#This Row],[OrderDate]]),MONTH(Table1[[#This Row],[OrderDate]]),1)</f>
        <v>44986</v>
      </c>
    </row>
    <row r="229" spans="1:27" x14ac:dyDescent="0.3">
      <c r="A229" s="3">
        <v>45618</v>
      </c>
      <c r="B229" t="s">
        <v>13</v>
      </c>
      <c r="C229" t="s">
        <v>34</v>
      </c>
      <c r="D229" t="str">
        <f>TRIM(Table1[[#This Row],[Product]])</f>
        <v>Printer</v>
      </c>
      <c r="E229" t="str">
        <f>PROPER(Table1[[#This Row],[Column1]])</f>
        <v>Printer</v>
      </c>
      <c r="F229" s="8" t="str">
        <f t="shared" si="15"/>
        <v>Office Supplies</v>
      </c>
      <c r="G229" s="5">
        <v>19</v>
      </c>
      <c r="H229">
        <v>364.32</v>
      </c>
      <c r="I229" t="s">
        <v>57</v>
      </c>
      <c r="J229" t="s">
        <v>65</v>
      </c>
      <c r="K229" s="7">
        <v>0.15</v>
      </c>
      <c r="L229" t="s">
        <v>27</v>
      </c>
      <c r="M229" s="5">
        <v>5883.768</v>
      </c>
      <c r="N229" t="s">
        <v>85</v>
      </c>
      <c r="P229" s="5">
        <v>1</v>
      </c>
      <c r="Q229" t="s">
        <v>528</v>
      </c>
      <c r="R229" t="s">
        <v>529</v>
      </c>
      <c r="S229" s="5">
        <v>39.76</v>
      </c>
      <c r="T229" s="3">
        <v>45618</v>
      </c>
      <c r="U229" s="3">
        <v>45621</v>
      </c>
      <c r="V229" t="s">
        <v>70</v>
      </c>
      <c r="W229">
        <f t="shared" si="17"/>
        <v>5001.2028</v>
      </c>
      <c r="X229">
        <f t="shared" si="18"/>
        <v>6922.08</v>
      </c>
      <c r="Y229">
        <f t="shared" si="19"/>
        <v>1920.8771999999999</v>
      </c>
      <c r="Z229" s="8" t="str">
        <f t="shared" si="16"/>
        <v>High</v>
      </c>
      <c r="AA229" s="12">
        <f>DATE(YEAR(Table1[[#This Row],[OrderDate]]),MONTH(Table1[[#This Row],[OrderDate]]),1)</f>
        <v>45597</v>
      </c>
    </row>
    <row r="230" spans="1:27" x14ac:dyDescent="0.3">
      <c r="A230" s="3">
        <v>45114</v>
      </c>
      <c r="B230" t="s">
        <v>9</v>
      </c>
      <c r="C230" t="s">
        <v>35</v>
      </c>
      <c r="D230" t="str">
        <f>TRIM(Table1[[#This Row],[Product]])</f>
        <v>Tablet</v>
      </c>
      <c r="E230" t="str">
        <f>PROPER(Table1[[#This Row],[Column1]])</f>
        <v>Tablet</v>
      </c>
      <c r="F230" s="8" t="str">
        <f t="shared" si="15"/>
        <v>Technology</v>
      </c>
      <c r="G230" s="5">
        <v>3</v>
      </c>
      <c r="H230">
        <v>71.91</v>
      </c>
      <c r="I230" t="s">
        <v>57</v>
      </c>
      <c r="J230" t="s">
        <v>58</v>
      </c>
      <c r="K230" s="7">
        <v>0</v>
      </c>
      <c r="L230" t="s">
        <v>18</v>
      </c>
      <c r="M230" s="5">
        <v>215.73</v>
      </c>
      <c r="N230" t="s">
        <v>66</v>
      </c>
      <c r="O230" t="s">
        <v>71</v>
      </c>
      <c r="P230" s="5">
        <v>1</v>
      </c>
      <c r="Q230" t="s">
        <v>530</v>
      </c>
      <c r="R230" t="s">
        <v>531</v>
      </c>
      <c r="S230" s="5">
        <v>46.25</v>
      </c>
      <c r="T230" s="3">
        <v>45114</v>
      </c>
      <c r="U230" s="3">
        <v>45124</v>
      </c>
      <c r="V230" t="s">
        <v>63</v>
      </c>
      <c r="W230">
        <f t="shared" si="17"/>
        <v>215.73</v>
      </c>
      <c r="X230">
        <f t="shared" si="18"/>
        <v>215.73</v>
      </c>
      <c r="Y230">
        <f t="shared" si="19"/>
        <v>0</v>
      </c>
      <c r="Z230" s="8" t="str">
        <f t="shared" si="16"/>
        <v>No Discount</v>
      </c>
      <c r="AA230" s="12">
        <f>DATE(YEAR(Table1[[#This Row],[OrderDate]]),MONTH(Table1[[#This Row],[OrderDate]]),1)</f>
        <v>45108</v>
      </c>
    </row>
    <row r="231" spans="1:27" x14ac:dyDescent="0.3">
      <c r="A231" s="3">
        <v>45570</v>
      </c>
      <c r="B231" t="s">
        <v>9</v>
      </c>
      <c r="C231" t="s">
        <v>35</v>
      </c>
      <c r="D231" t="str">
        <f>TRIM(Table1[[#This Row],[Product]])</f>
        <v>Tablet</v>
      </c>
      <c r="E231" t="str">
        <f>PROPER(Table1[[#This Row],[Column1]])</f>
        <v>Tablet</v>
      </c>
      <c r="F231" s="8" t="str">
        <f t="shared" si="15"/>
        <v>Technology</v>
      </c>
      <c r="G231" s="5">
        <v>20</v>
      </c>
      <c r="H231">
        <v>576.29999999999995</v>
      </c>
      <c r="I231" t="s">
        <v>81</v>
      </c>
      <c r="J231" t="s">
        <v>58</v>
      </c>
      <c r="K231" s="7">
        <v>0.05</v>
      </c>
      <c r="L231" t="s">
        <v>25</v>
      </c>
      <c r="M231" s="5">
        <v>10949.7</v>
      </c>
      <c r="N231" t="s">
        <v>82</v>
      </c>
      <c r="P231" s="5">
        <v>0</v>
      </c>
      <c r="Q231" t="s">
        <v>532</v>
      </c>
      <c r="R231" t="s">
        <v>533</v>
      </c>
      <c r="S231" s="5">
        <v>25.22</v>
      </c>
      <c r="T231" s="3">
        <v>45570</v>
      </c>
      <c r="U231" s="3">
        <v>45574</v>
      </c>
      <c r="V231" t="s">
        <v>63</v>
      </c>
      <c r="W231">
        <f t="shared" si="17"/>
        <v>10402.215</v>
      </c>
      <c r="X231">
        <f t="shared" si="18"/>
        <v>11526</v>
      </c>
      <c r="Y231">
        <f t="shared" si="19"/>
        <v>1123.7849999999999</v>
      </c>
      <c r="Z231" s="8" t="str">
        <f t="shared" si="16"/>
        <v>Medium</v>
      </c>
      <c r="AA231" s="12">
        <f>DATE(YEAR(Table1[[#This Row],[OrderDate]]),MONTH(Table1[[#This Row],[OrderDate]]),1)</f>
        <v>45566</v>
      </c>
    </row>
    <row r="232" spans="1:27" x14ac:dyDescent="0.3">
      <c r="A232" s="3">
        <v>45382</v>
      </c>
      <c r="B232" t="s">
        <v>16</v>
      </c>
      <c r="C232" t="s">
        <v>31</v>
      </c>
      <c r="D232" t="str">
        <f>TRIM(Table1[[#This Row],[Product]])</f>
        <v>Laptop</v>
      </c>
      <c r="E232" t="str">
        <f>PROPER(Table1[[#This Row],[Column1]])</f>
        <v>Laptop</v>
      </c>
      <c r="F232" s="8" t="str">
        <f t="shared" si="15"/>
        <v>Technology</v>
      </c>
      <c r="G232" s="5">
        <v>7</v>
      </c>
      <c r="H232">
        <v>120.6</v>
      </c>
      <c r="I232" t="s">
        <v>57</v>
      </c>
      <c r="J232" t="s">
        <v>58</v>
      </c>
      <c r="K232" s="7">
        <v>0</v>
      </c>
      <c r="L232" t="s">
        <v>23</v>
      </c>
      <c r="M232" s="5">
        <v>844.19999999999993</v>
      </c>
      <c r="N232" t="s">
        <v>59</v>
      </c>
      <c r="O232" t="s">
        <v>71</v>
      </c>
      <c r="P232" s="5">
        <v>0</v>
      </c>
      <c r="Q232" t="s">
        <v>534</v>
      </c>
      <c r="R232" t="s">
        <v>535</v>
      </c>
      <c r="S232" s="5">
        <v>43.8</v>
      </c>
      <c r="T232" s="3">
        <v>45382</v>
      </c>
      <c r="U232" s="3">
        <v>45390</v>
      </c>
      <c r="V232" t="s">
        <v>95</v>
      </c>
      <c r="W232">
        <f t="shared" si="17"/>
        <v>844.19999999999993</v>
      </c>
      <c r="X232">
        <f t="shared" si="18"/>
        <v>844.19999999999993</v>
      </c>
      <c r="Y232">
        <f t="shared" si="19"/>
        <v>0</v>
      </c>
      <c r="Z232" s="8" t="str">
        <f t="shared" si="16"/>
        <v>No Discount</v>
      </c>
      <c r="AA232" s="12">
        <f>DATE(YEAR(Table1[[#This Row],[OrderDate]]),MONTH(Table1[[#This Row],[OrderDate]]),1)</f>
        <v>45352</v>
      </c>
    </row>
    <row r="233" spans="1:27" x14ac:dyDescent="0.3">
      <c r="A233" s="3">
        <v>45748</v>
      </c>
      <c r="B233" t="s">
        <v>16</v>
      </c>
      <c r="C233" t="s">
        <v>34</v>
      </c>
      <c r="D233" t="str">
        <f>TRIM(Table1[[#This Row],[Product]])</f>
        <v>Printer</v>
      </c>
      <c r="E233" t="str">
        <f>PROPER(Table1[[#This Row],[Column1]])</f>
        <v>Printer</v>
      </c>
      <c r="F233" s="8" t="str">
        <f t="shared" si="15"/>
        <v>Office Supplies</v>
      </c>
      <c r="G233" s="5">
        <v>8</v>
      </c>
      <c r="H233">
        <v>96.19</v>
      </c>
      <c r="I233" t="s">
        <v>64</v>
      </c>
      <c r="J233" t="s">
        <v>58</v>
      </c>
      <c r="K233" s="7">
        <v>0.05</v>
      </c>
      <c r="L233" t="s">
        <v>21</v>
      </c>
      <c r="M233" s="5">
        <v>731.04399999999998</v>
      </c>
      <c r="N233" t="s">
        <v>85</v>
      </c>
      <c r="O233" t="s">
        <v>67</v>
      </c>
      <c r="P233" s="5">
        <v>0</v>
      </c>
      <c r="Q233" t="s">
        <v>536</v>
      </c>
      <c r="R233" t="s">
        <v>537</v>
      </c>
      <c r="S233" s="5">
        <v>34.07</v>
      </c>
      <c r="T233" s="3">
        <v>45748</v>
      </c>
      <c r="U233" s="3">
        <v>45751</v>
      </c>
      <c r="V233" t="s">
        <v>95</v>
      </c>
      <c r="W233">
        <f t="shared" si="17"/>
        <v>694.4917999999999</v>
      </c>
      <c r="X233">
        <f t="shared" si="18"/>
        <v>769.52</v>
      </c>
      <c r="Y233">
        <f t="shared" si="19"/>
        <v>75.028200000000083</v>
      </c>
      <c r="Z233" s="8" t="str">
        <f t="shared" si="16"/>
        <v>Medium</v>
      </c>
      <c r="AA233" s="12">
        <f>DATE(YEAR(Table1[[#This Row],[OrderDate]]),MONTH(Table1[[#This Row],[OrderDate]]),1)</f>
        <v>45748</v>
      </c>
    </row>
    <row r="234" spans="1:27" x14ac:dyDescent="0.3">
      <c r="A234" s="3">
        <v>45161</v>
      </c>
      <c r="B234" t="s">
        <v>16</v>
      </c>
      <c r="C234" t="s">
        <v>34</v>
      </c>
      <c r="D234" t="str">
        <f>TRIM(Table1[[#This Row],[Product]])</f>
        <v>Printer</v>
      </c>
      <c r="E234" t="str">
        <f>PROPER(Table1[[#This Row],[Column1]])</f>
        <v>Printer</v>
      </c>
      <c r="F234" s="8" t="str">
        <f t="shared" si="15"/>
        <v>Office Supplies</v>
      </c>
      <c r="G234" s="5">
        <v>14</v>
      </c>
      <c r="H234">
        <v>471.17</v>
      </c>
      <c r="I234" t="s">
        <v>64</v>
      </c>
      <c r="J234" t="s">
        <v>58</v>
      </c>
      <c r="K234" s="7">
        <v>0.05</v>
      </c>
      <c r="L234" t="s">
        <v>21</v>
      </c>
      <c r="M234" s="5">
        <v>6266.5609999999997</v>
      </c>
      <c r="N234" t="s">
        <v>66</v>
      </c>
      <c r="O234" t="s">
        <v>60</v>
      </c>
      <c r="P234" s="5">
        <v>0</v>
      </c>
      <c r="Q234" t="s">
        <v>538</v>
      </c>
      <c r="R234" t="s">
        <v>539</v>
      </c>
      <c r="S234" s="5">
        <v>26.38</v>
      </c>
      <c r="T234" s="3">
        <v>45161</v>
      </c>
      <c r="U234" s="3">
        <v>45164</v>
      </c>
      <c r="V234" t="s">
        <v>95</v>
      </c>
      <c r="W234">
        <f t="shared" si="17"/>
        <v>5953.2329499999996</v>
      </c>
      <c r="X234">
        <f t="shared" si="18"/>
        <v>6596.38</v>
      </c>
      <c r="Y234">
        <f t="shared" si="19"/>
        <v>643.14705000000049</v>
      </c>
      <c r="Z234" s="8" t="str">
        <f t="shared" si="16"/>
        <v>Medium</v>
      </c>
      <c r="AA234" s="12">
        <f>DATE(YEAR(Table1[[#This Row],[OrderDate]]),MONTH(Table1[[#This Row],[OrderDate]]),1)</f>
        <v>45139</v>
      </c>
    </row>
    <row r="235" spans="1:27" x14ac:dyDescent="0.3">
      <c r="A235" s="3">
        <v>45518</v>
      </c>
      <c r="B235" t="s">
        <v>13</v>
      </c>
      <c r="C235" t="s">
        <v>33</v>
      </c>
      <c r="D235" t="str">
        <f>TRIM(Table1[[#This Row],[Product]])</f>
        <v>Phone</v>
      </c>
      <c r="E235" t="str">
        <f>PROPER(Table1[[#This Row],[Column1]])</f>
        <v>Phone</v>
      </c>
      <c r="F235" s="8" t="str">
        <f t="shared" si="15"/>
        <v>Technology</v>
      </c>
      <c r="G235" s="5">
        <v>20</v>
      </c>
      <c r="H235">
        <v>14.33</v>
      </c>
      <c r="I235" t="s">
        <v>81</v>
      </c>
      <c r="J235" t="s">
        <v>58</v>
      </c>
      <c r="K235" s="7">
        <v>0.1</v>
      </c>
      <c r="L235" t="s">
        <v>21</v>
      </c>
      <c r="M235" s="5">
        <v>257.94000000000011</v>
      </c>
      <c r="N235" t="s">
        <v>85</v>
      </c>
      <c r="P235" s="5">
        <v>0</v>
      </c>
      <c r="Q235" t="s">
        <v>540</v>
      </c>
      <c r="R235" t="s">
        <v>541</v>
      </c>
      <c r="S235" s="5">
        <v>6.22</v>
      </c>
      <c r="T235" s="3">
        <v>45518</v>
      </c>
      <c r="U235" s="3">
        <v>45525</v>
      </c>
      <c r="V235" t="s">
        <v>70</v>
      </c>
      <c r="W235">
        <f t="shared" si="17"/>
        <v>232.1460000000001</v>
      </c>
      <c r="X235">
        <f t="shared" si="18"/>
        <v>286.60000000000002</v>
      </c>
      <c r="Y235">
        <f t="shared" si="19"/>
        <v>54.453999999999922</v>
      </c>
      <c r="Z235" s="8" t="str">
        <f t="shared" si="16"/>
        <v>Medium</v>
      </c>
      <c r="AA235" s="12">
        <f>DATE(YEAR(Table1[[#This Row],[OrderDate]]),MONTH(Table1[[#This Row],[OrderDate]]),1)</f>
        <v>45505</v>
      </c>
    </row>
    <row r="236" spans="1:27" x14ac:dyDescent="0.3">
      <c r="A236" s="3">
        <v>45702</v>
      </c>
      <c r="B236" t="s">
        <v>7</v>
      </c>
      <c r="C236" t="s">
        <v>35</v>
      </c>
      <c r="D236" t="str">
        <f>TRIM(Table1[[#This Row],[Product]])</f>
        <v>Tablet</v>
      </c>
      <c r="E236" t="str">
        <f>PROPER(Table1[[#This Row],[Column1]])</f>
        <v>Tablet</v>
      </c>
      <c r="F236" s="8" t="str">
        <f t="shared" si="15"/>
        <v>Technology</v>
      </c>
      <c r="G236" s="5">
        <v>18</v>
      </c>
      <c r="H236">
        <v>499.61</v>
      </c>
      <c r="I236" t="s">
        <v>57</v>
      </c>
      <c r="J236" t="s">
        <v>65</v>
      </c>
      <c r="K236" s="7">
        <v>0.15</v>
      </c>
      <c r="L236" t="s">
        <v>18</v>
      </c>
      <c r="M236" s="5">
        <v>7644.0329999999994</v>
      </c>
      <c r="N236" t="s">
        <v>85</v>
      </c>
      <c r="P236" s="5">
        <v>0</v>
      </c>
      <c r="Q236" t="s">
        <v>542</v>
      </c>
      <c r="R236" t="s">
        <v>543</v>
      </c>
      <c r="S236" s="5">
        <v>9.64</v>
      </c>
      <c r="T236" s="3">
        <v>45702</v>
      </c>
      <c r="U236" s="3">
        <v>45707</v>
      </c>
      <c r="V236" t="s">
        <v>77</v>
      </c>
      <c r="W236">
        <f t="shared" si="17"/>
        <v>6497.4280499999995</v>
      </c>
      <c r="X236">
        <f t="shared" si="18"/>
        <v>8992.98</v>
      </c>
      <c r="Y236">
        <f t="shared" si="19"/>
        <v>2495.55195</v>
      </c>
      <c r="Z236" s="8" t="str">
        <f t="shared" si="16"/>
        <v>High</v>
      </c>
      <c r="AA236" s="12">
        <f>DATE(YEAR(Table1[[#This Row],[OrderDate]]),MONTH(Table1[[#This Row],[OrderDate]]),1)</f>
        <v>45689</v>
      </c>
    </row>
    <row r="237" spans="1:27" x14ac:dyDescent="0.3">
      <c r="A237" s="3">
        <v>45241</v>
      </c>
      <c r="B237" t="s">
        <v>16</v>
      </c>
      <c r="C237" t="s">
        <v>32</v>
      </c>
      <c r="D237" t="str">
        <f>TRIM(Table1[[#This Row],[Product]])</f>
        <v>Monitor</v>
      </c>
      <c r="E237" t="str">
        <f>PROPER(Table1[[#This Row],[Column1]])</f>
        <v>Monitor</v>
      </c>
      <c r="F237" s="8" t="str">
        <f t="shared" si="15"/>
        <v>Technology</v>
      </c>
      <c r="G237" s="5">
        <v>14</v>
      </c>
      <c r="H237">
        <v>16.329999999999998</v>
      </c>
      <c r="I237" t="s">
        <v>57</v>
      </c>
      <c r="J237" t="s">
        <v>58</v>
      </c>
      <c r="K237" s="7">
        <v>0.1</v>
      </c>
      <c r="L237" t="s">
        <v>23</v>
      </c>
      <c r="M237" s="5">
        <v>205.75800000000001</v>
      </c>
      <c r="N237" t="s">
        <v>85</v>
      </c>
      <c r="O237" t="s">
        <v>71</v>
      </c>
      <c r="P237" s="5">
        <v>0</v>
      </c>
      <c r="Q237" t="s">
        <v>544</v>
      </c>
      <c r="R237" t="s">
        <v>545</v>
      </c>
      <c r="S237" s="5">
        <v>22.72</v>
      </c>
      <c r="T237" s="3">
        <v>45241</v>
      </c>
      <c r="U237" s="3">
        <v>45246</v>
      </c>
      <c r="V237" t="s">
        <v>95</v>
      </c>
      <c r="W237">
        <f t="shared" si="17"/>
        <v>185.18220000000002</v>
      </c>
      <c r="X237">
        <f t="shared" si="18"/>
        <v>228.61999999999998</v>
      </c>
      <c r="Y237">
        <f t="shared" si="19"/>
        <v>43.437799999999953</v>
      </c>
      <c r="Z237" s="8" t="str">
        <f t="shared" si="16"/>
        <v>Medium</v>
      </c>
      <c r="AA237" s="12">
        <f>DATE(YEAR(Table1[[#This Row],[OrderDate]]),MONTH(Table1[[#This Row],[OrderDate]]),1)</f>
        <v>45231</v>
      </c>
    </row>
    <row r="238" spans="1:27" x14ac:dyDescent="0.3">
      <c r="A238" s="3">
        <v>45383</v>
      </c>
      <c r="B238" t="s">
        <v>7</v>
      </c>
      <c r="C238" t="s">
        <v>30</v>
      </c>
      <c r="D238" t="str">
        <f>TRIM(Table1[[#This Row],[Product]])</f>
        <v>Desk</v>
      </c>
      <c r="E238" t="str">
        <f>PROPER(Table1[[#This Row],[Column1]])</f>
        <v>Desk</v>
      </c>
      <c r="F238" s="8" t="str">
        <f t="shared" si="15"/>
        <v>Furniture</v>
      </c>
      <c r="G238" s="5">
        <v>17</v>
      </c>
      <c r="H238">
        <v>480.62</v>
      </c>
      <c r="I238" t="s">
        <v>78</v>
      </c>
      <c r="J238" t="s">
        <v>58</v>
      </c>
      <c r="K238" s="7">
        <v>0.15</v>
      </c>
      <c r="L238" t="s">
        <v>21</v>
      </c>
      <c r="M238" s="5">
        <v>6944.9589999999998</v>
      </c>
      <c r="N238" t="s">
        <v>59</v>
      </c>
      <c r="O238" t="s">
        <v>60</v>
      </c>
      <c r="P238" s="5">
        <v>0</v>
      </c>
      <c r="Q238" t="s">
        <v>546</v>
      </c>
      <c r="R238" t="s">
        <v>547</v>
      </c>
      <c r="S238" s="5">
        <v>37.090000000000003</v>
      </c>
      <c r="T238" s="3">
        <v>45383</v>
      </c>
      <c r="U238" s="3">
        <v>45391</v>
      </c>
      <c r="V238" t="s">
        <v>77</v>
      </c>
      <c r="W238">
        <f t="shared" si="17"/>
        <v>5903.21515</v>
      </c>
      <c r="X238">
        <f t="shared" si="18"/>
        <v>8170.54</v>
      </c>
      <c r="Y238">
        <f t="shared" si="19"/>
        <v>2267.32485</v>
      </c>
      <c r="Z238" s="8" t="str">
        <f t="shared" si="16"/>
        <v>High</v>
      </c>
      <c r="AA238" s="12">
        <f>DATE(YEAR(Table1[[#This Row],[OrderDate]]),MONTH(Table1[[#This Row],[OrderDate]]),1)</f>
        <v>45383</v>
      </c>
    </row>
    <row r="239" spans="1:27" x14ac:dyDescent="0.3">
      <c r="A239" s="3">
        <v>45456</v>
      </c>
      <c r="B239" t="s">
        <v>13</v>
      </c>
      <c r="C239" t="s">
        <v>29</v>
      </c>
      <c r="D239" t="str">
        <f>TRIM(Table1[[#This Row],[Product]])</f>
        <v>Chair</v>
      </c>
      <c r="E239" t="str">
        <f>PROPER(Table1[[#This Row],[Column1]])</f>
        <v>Chair</v>
      </c>
      <c r="F239" s="8" t="str">
        <f t="shared" si="15"/>
        <v>Furniture</v>
      </c>
      <c r="G239" s="5">
        <v>5</v>
      </c>
      <c r="H239">
        <v>555.84</v>
      </c>
      <c r="I239" t="s">
        <v>78</v>
      </c>
      <c r="J239" t="s">
        <v>65</v>
      </c>
      <c r="K239" s="7">
        <v>0.05</v>
      </c>
      <c r="L239" t="s">
        <v>23</v>
      </c>
      <c r="M239" s="5">
        <v>2640.24</v>
      </c>
      <c r="N239" t="s">
        <v>82</v>
      </c>
      <c r="P239" s="5">
        <v>0</v>
      </c>
      <c r="Q239" t="s">
        <v>548</v>
      </c>
      <c r="R239" t="s">
        <v>549</v>
      </c>
      <c r="S239" s="5">
        <v>29.4</v>
      </c>
      <c r="T239" s="3">
        <v>45456</v>
      </c>
      <c r="U239" s="3">
        <v>45463</v>
      </c>
      <c r="V239" t="s">
        <v>70</v>
      </c>
      <c r="W239">
        <f t="shared" si="17"/>
        <v>2508.2279999999996</v>
      </c>
      <c r="X239">
        <f t="shared" si="18"/>
        <v>2779.2000000000003</v>
      </c>
      <c r="Y239">
        <f t="shared" si="19"/>
        <v>270.97200000000066</v>
      </c>
      <c r="Z239" s="8" t="str">
        <f t="shared" si="16"/>
        <v>Medium</v>
      </c>
      <c r="AA239" s="12">
        <f>DATE(YEAR(Table1[[#This Row],[OrderDate]]),MONTH(Table1[[#This Row],[OrderDate]]),1)</f>
        <v>45444</v>
      </c>
    </row>
    <row r="240" spans="1:27" x14ac:dyDescent="0.3">
      <c r="A240" s="3">
        <v>45258</v>
      </c>
      <c r="B240" t="s">
        <v>11</v>
      </c>
      <c r="C240" t="s">
        <v>29</v>
      </c>
      <c r="D240" t="str">
        <f>TRIM(Table1[[#This Row],[Product]])</f>
        <v>Chair</v>
      </c>
      <c r="E240" t="str">
        <f>PROPER(Table1[[#This Row],[Column1]])</f>
        <v>Chair</v>
      </c>
      <c r="F240" s="8" t="str">
        <f t="shared" si="15"/>
        <v>Furniture</v>
      </c>
      <c r="G240" s="5">
        <v>18</v>
      </c>
      <c r="H240">
        <v>174.03</v>
      </c>
      <c r="I240" t="s">
        <v>57</v>
      </c>
      <c r="J240" t="s">
        <v>58</v>
      </c>
      <c r="K240" s="7">
        <v>0.1</v>
      </c>
      <c r="L240" t="s">
        <v>27</v>
      </c>
      <c r="M240" s="5">
        <v>2819.2860000000001</v>
      </c>
      <c r="N240" t="s">
        <v>59</v>
      </c>
      <c r="O240" t="s">
        <v>67</v>
      </c>
      <c r="P240" s="5">
        <v>0</v>
      </c>
      <c r="Q240" t="s">
        <v>550</v>
      </c>
      <c r="R240" t="s">
        <v>551</v>
      </c>
      <c r="S240" s="5">
        <v>32.19</v>
      </c>
      <c r="T240" s="3">
        <v>45258</v>
      </c>
      <c r="U240" s="3">
        <v>45263</v>
      </c>
      <c r="V240" t="s">
        <v>74</v>
      </c>
      <c r="W240">
        <f t="shared" si="17"/>
        <v>2537.3574000000003</v>
      </c>
      <c r="X240">
        <f t="shared" si="18"/>
        <v>3132.54</v>
      </c>
      <c r="Y240">
        <f t="shared" si="19"/>
        <v>595.18259999999964</v>
      </c>
      <c r="Z240" s="8" t="str">
        <f t="shared" si="16"/>
        <v>Medium</v>
      </c>
      <c r="AA240" s="12">
        <f>DATE(YEAR(Table1[[#This Row],[OrderDate]]),MONTH(Table1[[#This Row],[OrderDate]]),1)</f>
        <v>45231</v>
      </c>
    </row>
    <row r="241" spans="1:27" x14ac:dyDescent="0.3">
      <c r="A241" s="3">
        <v>45607</v>
      </c>
      <c r="B241" t="s">
        <v>7</v>
      </c>
      <c r="C241" t="s">
        <v>30</v>
      </c>
      <c r="D241" t="str">
        <f>TRIM(Table1[[#This Row],[Product]])</f>
        <v>Desk</v>
      </c>
      <c r="E241" t="str">
        <f>PROPER(Table1[[#This Row],[Column1]])</f>
        <v>Desk</v>
      </c>
      <c r="F241" s="8" t="str">
        <f t="shared" si="15"/>
        <v>Furniture</v>
      </c>
      <c r="G241" s="5">
        <v>11</v>
      </c>
      <c r="H241">
        <v>286.05</v>
      </c>
      <c r="I241" t="s">
        <v>64</v>
      </c>
      <c r="J241" t="s">
        <v>65</v>
      </c>
      <c r="K241" s="7">
        <v>0.1</v>
      </c>
      <c r="L241" t="s">
        <v>19</v>
      </c>
      <c r="M241" s="5">
        <v>2831.895</v>
      </c>
      <c r="N241" t="s">
        <v>85</v>
      </c>
      <c r="P241" s="5">
        <v>1</v>
      </c>
      <c r="Q241" t="s">
        <v>552</v>
      </c>
      <c r="R241" t="s">
        <v>553</v>
      </c>
      <c r="S241" s="5">
        <v>8.59</v>
      </c>
      <c r="T241" s="3">
        <v>45607</v>
      </c>
      <c r="U241" s="3">
        <v>45612</v>
      </c>
      <c r="V241" t="s">
        <v>77</v>
      </c>
      <c r="W241">
        <f t="shared" si="17"/>
        <v>2548.7055</v>
      </c>
      <c r="X241">
        <f t="shared" si="18"/>
        <v>3146.55</v>
      </c>
      <c r="Y241">
        <f t="shared" si="19"/>
        <v>597.84450000000015</v>
      </c>
      <c r="Z241" s="8" t="str">
        <f t="shared" si="16"/>
        <v>Medium</v>
      </c>
      <c r="AA241" s="12">
        <f>DATE(YEAR(Table1[[#This Row],[OrderDate]]),MONTH(Table1[[#This Row],[OrderDate]]),1)</f>
        <v>45597</v>
      </c>
    </row>
    <row r="242" spans="1:27" x14ac:dyDescent="0.3">
      <c r="A242" s="3">
        <v>45600</v>
      </c>
      <c r="B242" t="s">
        <v>11</v>
      </c>
      <c r="C242" t="s">
        <v>30</v>
      </c>
      <c r="D242" t="str">
        <f>TRIM(Table1[[#This Row],[Product]])</f>
        <v>Desk</v>
      </c>
      <c r="E242" t="str">
        <f>PROPER(Table1[[#This Row],[Column1]])</f>
        <v>Desk</v>
      </c>
      <c r="F242" s="8" t="str">
        <f t="shared" si="15"/>
        <v>Furniture</v>
      </c>
      <c r="G242" s="5">
        <v>16</v>
      </c>
      <c r="H242">
        <v>40.729999999999997</v>
      </c>
      <c r="I242" t="s">
        <v>81</v>
      </c>
      <c r="J242" t="s">
        <v>65</v>
      </c>
      <c r="K242" s="7">
        <v>0</v>
      </c>
      <c r="L242" t="s">
        <v>18</v>
      </c>
      <c r="M242" s="5">
        <v>651.67999999999995</v>
      </c>
      <c r="N242" t="s">
        <v>82</v>
      </c>
      <c r="P242" s="5">
        <v>0</v>
      </c>
      <c r="Q242" t="s">
        <v>554</v>
      </c>
      <c r="R242" t="s">
        <v>555</v>
      </c>
      <c r="S242" s="5">
        <v>24.72</v>
      </c>
      <c r="T242" s="3">
        <v>45600</v>
      </c>
      <c r="U242" s="3">
        <v>45604</v>
      </c>
      <c r="V242" t="s">
        <v>74</v>
      </c>
      <c r="W242">
        <f t="shared" si="17"/>
        <v>651.67999999999995</v>
      </c>
      <c r="X242">
        <f t="shared" si="18"/>
        <v>651.67999999999995</v>
      </c>
      <c r="Y242">
        <f t="shared" si="19"/>
        <v>0</v>
      </c>
      <c r="Z242" s="8" t="str">
        <f t="shared" si="16"/>
        <v>No Discount</v>
      </c>
      <c r="AA242" s="12">
        <f>DATE(YEAR(Table1[[#This Row],[OrderDate]]),MONTH(Table1[[#This Row],[OrderDate]]),1)</f>
        <v>45597</v>
      </c>
    </row>
    <row r="243" spans="1:27" x14ac:dyDescent="0.3">
      <c r="A243" s="3">
        <v>44927</v>
      </c>
      <c r="B243" t="s">
        <v>7</v>
      </c>
      <c r="C243" t="s">
        <v>29</v>
      </c>
      <c r="D243" t="str">
        <f>TRIM(Table1[[#This Row],[Product]])</f>
        <v>Chair</v>
      </c>
      <c r="E243" t="str">
        <f>PROPER(Table1[[#This Row],[Column1]])</f>
        <v>Chair</v>
      </c>
      <c r="F243" s="8" t="str">
        <f t="shared" si="15"/>
        <v>Furniture</v>
      </c>
      <c r="G243" s="5">
        <v>11</v>
      </c>
      <c r="H243">
        <v>468.22</v>
      </c>
      <c r="I243" t="s">
        <v>81</v>
      </c>
      <c r="J243" t="s">
        <v>65</v>
      </c>
      <c r="K243" s="7">
        <v>0</v>
      </c>
      <c r="L243" t="s">
        <v>21</v>
      </c>
      <c r="M243" s="5">
        <v>5150.42</v>
      </c>
      <c r="N243" t="s">
        <v>85</v>
      </c>
      <c r="O243" t="s">
        <v>71</v>
      </c>
      <c r="P243" s="5">
        <v>0</v>
      </c>
      <c r="Q243" t="s">
        <v>556</v>
      </c>
      <c r="R243" t="s">
        <v>557</v>
      </c>
      <c r="S243" s="5">
        <v>19.920000000000002</v>
      </c>
      <c r="T243" s="3">
        <v>44927</v>
      </c>
      <c r="U243" s="3">
        <v>44937</v>
      </c>
      <c r="V243" t="s">
        <v>77</v>
      </c>
      <c r="W243">
        <f t="shared" si="17"/>
        <v>5150.42</v>
      </c>
      <c r="X243">
        <f t="shared" si="18"/>
        <v>5150.42</v>
      </c>
      <c r="Y243">
        <f t="shared" si="19"/>
        <v>0</v>
      </c>
      <c r="Z243" s="8" t="str">
        <f t="shared" si="16"/>
        <v>No Discount</v>
      </c>
      <c r="AA243" s="12">
        <f>DATE(YEAR(Table1[[#This Row],[OrderDate]]),MONTH(Table1[[#This Row],[OrderDate]]),1)</f>
        <v>44927</v>
      </c>
    </row>
    <row r="244" spans="1:27" x14ac:dyDescent="0.3">
      <c r="A244" s="3">
        <v>45675</v>
      </c>
      <c r="B244" t="s">
        <v>11</v>
      </c>
      <c r="C244" t="s">
        <v>35</v>
      </c>
      <c r="D244" t="str">
        <f>TRIM(Table1[[#This Row],[Product]])</f>
        <v>Tablet</v>
      </c>
      <c r="E244" t="str">
        <f>PROPER(Table1[[#This Row],[Column1]])</f>
        <v>Tablet</v>
      </c>
      <c r="F244" s="8" t="str">
        <f t="shared" si="15"/>
        <v>Technology</v>
      </c>
      <c r="G244" s="5">
        <v>1</v>
      </c>
      <c r="H244">
        <v>411.54</v>
      </c>
      <c r="I244" t="s">
        <v>78</v>
      </c>
      <c r="J244" t="s">
        <v>65</v>
      </c>
      <c r="K244" s="7">
        <v>0.1</v>
      </c>
      <c r="L244" t="s">
        <v>25</v>
      </c>
      <c r="M244" s="5">
        <v>370.38600000000002</v>
      </c>
      <c r="N244" t="s">
        <v>66</v>
      </c>
      <c r="O244" t="s">
        <v>71</v>
      </c>
      <c r="P244" s="5">
        <v>0</v>
      </c>
      <c r="Q244" t="s">
        <v>558</v>
      </c>
      <c r="R244" t="s">
        <v>559</v>
      </c>
      <c r="S244" s="5">
        <v>7.46</v>
      </c>
      <c r="T244" s="3">
        <v>45675</v>
      </c>
      <c r="U244" s="3">
        <v>45677</v>
      </c>
      <c r="V244" t="s">
        <v>74</v>
      </c>
      <c r="W244">
        <f t="shared" si="17"/>
        <v>333.34740000000005</v>
      </c>
      <c r="X244">
        <f t="shared" si="18"/>
        <v>411.54</v>
      </c>
      <c r="Y244">
        <f t="shared" si="19"/>
        <v>78.19259999999997</v>
      </c>
      <c r="Z244" s="8" t="str">
        <f t="shared" si="16"/>
        <v>Medium</v>
      </c>
      <c r="AA244" s="12">
        <f>DATE(YEAR(Table1[[#This Row],[OrderDate]]),MONTH(Table1[[#This Row],[OrderDate]]),1)</f>
        <v>45658</v>
      </c>
    </row>
    <row r="245" spans="1:27" x14ac:dyDescent="0.3">
      <c r="A245" s="3">
        <v>45048</v>
      </c>
      <c r="B245" t="s">
        <v>7</v>
      </c>
      <c r="C245" t="s">
        <v>34</v>
      </c>
      <c r="D245" t="str">
        <f>TRIM(Table1[[#This Row],[Product]])</f>
        <v>Printer</v>
      </c>
      <c r="E245" t="str">
        <f>PROPER(Table1[[#This Row],[Column1]])</f>
        <v>Printer</v>
      </c>
      <c r="F245" s="8" t="str">
        <f t="shared" si="15"/>
        <v>Office Supplies</v>
      </c>
      <c r="G245" s="5">
        <v>13</v>
      </c>
      <c r="H245">
        <v>134.19999999999999</v>
      </c>
      <c r="I245" t="s">
        <v>64</v>
      </c>
      <c r="J245" t="s">
        <v>58</v>
      </c>
      <c r="K245" s="7">
        <v>0.05</v>
      </c>
      <c r="L245" t="s">
        <v>25</v>
      </c>
      <c r="M245" s="5">
        <v>1657.37</v>
      </c>
      <c r="N245" t="s">
        <v>82</v>
      </c>
      <c r="O245" t="s">
        <v>71</v>
      </c>
      <c r="P245" s="5">
        <v>0</v>
      </c>
      <c r="Q245" t="s">
        <v>560</v>
      </c>
      <c r="R245" t="s">
        <v>561</v>
      </c>
      <c r="S245" s="5">
        <v>9.6</v>
      </c>
      <c r="T245" s="3">
        <v>45048</v>
      </c>
      <c r="U245" s="3">
        <v>45056</v>
      </c>
      <c r="V245" t="s">
        <v>77</v>
      </c>
      <c r="W245">
        <f t="shared" si="17"/>
        <v>1574.5014999999999</v>
      </c>
      <c r="X245">
        <f t="shared" si="18"/>
        <v>1744.6</v>
      </c>
      <c r="Y245">
        <f t="shared" si="19"/>
        <v>170.09850000000006</v>
      </c>
      <c r="Z245" s="8" t="str">
        <f t="shared" si="16"/>
        <v>Medium</v>
      </c>
      <c r="AA245" s="12">
        <f>DATE(YEAR(Table1[[#This Row],[OrderDate]]),MONTH(Table1[[#This Row],[OrderDate]]),1)</f>
        <v>45047</v>
      </c>
    </row>
    <row r="246" spans="1:27" x14ac:dyDescent="0.3">
      <c r="A246" s="3">
        <v>45804</v>
      </c>
      <c r="B246" t="s">
        <v>16</v>
      </c>
      <c r="C246" t="s">
        <v>34</v>
      </c>
      <c r="D246" t="str">
        <f>TRIM(Table1[[#This Row],[Product]])</f>
        <v>Printer</v>
      </c>
      <c r="E246" t="str">
        <f>PROPER(Table1[[#This Row],[Column1]])</f>
        <v>Printer</v>
      </c>
      <c r="F246" s="8" t="str">
        <f t="shared" si="15"/>
        <v>Office Supplies</v>
      </c>
      <c r="G246" s="5">
        <v>10</v>
      </c>
      <c r="H246">
        <v>351.23</v>
      </c>
      <c r="I246" t="s">
        <v>57</v>
      </c>
      <c r="J246" t="s">
        <v>65</v>
      </c>
      <c r="K246" s="7">
        <v>0.15</v>
      </c>
      <c r="L246" t="s">
        <v>27</v>
      </c>
      <c r="M246" s="5">
        <v>2985.4549999999999</v>
      </c>
      <c r="N246" t="s">
        <v>59</v>
      </c>
      <c r="P246" s="5">
        <v>0</v>
      </c>
      <c r="Q246" t="s">
        <v>562</v>
      </c>
      <c r="R246" t="s">
        <v>563</v>
      </c>
      <c r="S246" s="5">
        <v>42.74</v>
      </c>
      <c r="T246" s="3">
        <v>45804</v>
      </c>
      <c r="U246" s="3">
        <v>45810</v>
      </c>
      <c r="V246" t="s">
        <v>95</v>
      </c>
      <c r="W246">
        <f t="shared" si="17"/>
        <v>2537.6367499999997</v>
      </c>
      <c r="X246">
        <f t="shared" si="18"/>
        <v>3512.3</v>
      </c>
      <c r="Y246">
        <f t="shared" si="19"/>
        <v>974.66325000000052</v>
      </c>
      <c r="Z246" s="8" t="str">
        <f t="shared" si="16"/>
        <v>High</v>
      </c>
      <c r="AA246" s="12">
        <f>DATE(YEAR(Table1[[#This Row],[OrderDate]]),MONTH(Table1[[#This Row],[OrderDate]]),1)</f>
        <v>45778</v>
      </c>
    </row>
    <row r="247" spans="1:27" x14ac:dyDescent="0.3">
      <c r="A247" s="3">
        <v>45653</v>
      </c>
      <c r="B247" t="s">
        <v>13</v>
      </c>
      <c r="C247" t="s">
        <v>32</v>
      </c>
      <c r="D247" t="str">
        <f>TRIM(Table1[[#This Row],[Product]])</f>
        <v>Monitor</v>
      </c>
      <c r="E247" t="str">
        <f>PROPER(Table1[[#This Row],[Column1]])</f>
        <v>Monitor</v>
      </c>
      <c r="F247" s="8" t="str">
        <f t="shared" si="15"/>
        <v>Technology</v>
      </c>
      <c r="G247" s="5">
        <v>14</v>
      </c>
      <c r="H247">
        <v>551.14</v>
      </c>
      <c r="I247" t="s">
        <v>78</v>
      </c>
      <c r="J247" t="s">
        <v>58</v>
      </c>
      <c r="K247" s="7">
        <v>0.1</v>
      </c>
      <c r="L247" t="s">
        <v>23</v>
      </c>
      <c r="M247" s="5">
        <v>6944.3639999999996</v>
      </c>
      <c r="N247" t="s">
        <v>59</v>
      </c>
      <c r="O247" t="s">
        <v>60</v>
      </c>
      <c r="P247" s="5">
        <v>1</v>
      </c>
      <c r="Q247" t="s">
        <v>564</v>
      </c>
      <c r="R247" t="s">
        <v>565</v>
      </c>
      <c r="S247" s="5">
        <v>12.35</v>
      </c>
      <c r="T247" s="3">
        <v>45653</v>
      </c>
      <c r="U247" s="3">
        <v>45662</v>
      </c>
      <c r="V247" t="s">
        <v>70</v>
      </c>
      <c r="W247">
        <f t="shared" si="17"/>
        <v>6249.9276</v>
      </c>
      <c r="X247">
        <f t="shared" si="18"/>
        <v>7715.96</v>
      </c>
      <c r="Y247">
        <f t="shared" si="19"/>
        <v>1466.0324000000001</v>
      </c>
      <c r="Z247" s="8" t="str">
        <f t="shared" si="16"/>
        <v>Medium</v>
      </c>
      <c r="AA247" s="12">
        <f>DATE(YEAR(Table1[[#This Row],[OrderDate]]),MONTH(Table1[[#This Row],[OrderDate]]),1)</f>
        <v>45627</v>
      </c>
    </row>
    <row r="248" spans="1:27" x14ac:dyDescent="0.3">
      <c r="A248" s="3">
        <v>45734</v>
      </c>
      <c r="B248" t="s">
        <v>16</v>
      </c>
      <c r="C248" t="s">
        <v>29</v>
      </c>
      <c r="D248" t="str">
        <f>TRIM(Table1[[#This Row],[Product]])</f>
        <v>Chair</v>
      </c>
      <c r="E248" t="str">
        <f>PROPER(Table1[[#This Row],[Column1]])</f>
        <v>Chair</v>
      </c>
      <c r="F248" s="8" t="str">
        <f t="shared" si="15"/>
        <v>Furniture</v>
      </c>
      <c r="G248" s="5">
        <v>2</v>
      </c>
      <c r="H248">
        <v>131.13</v>
      </c>
      <c r="I248" t="s">
        <v>57</v>
      </c>
      <c r="J248" t="s">
        <v>65</v>
      </c>
      <c r="K248" s="7">
        <v>0.1</v>
      </c>
      <c r="L248" t="s">
        <v>25</v>
      </c>
      <c r="M248" s="5">
        <v>236.03399999999999</v>
      </c>
      <c r="N248" t="s">
        <v>85</v>
      </c>
      <c r="P248" s="5">
        <v>0</v>
      </c>
      <c r="Q248" t="s">
        <v>566</v>
      </c>
      <c r="R248" t="s">
        <v>567</v>
      </c>
      <c r="S248" s="5">
        <v>14.74</v>
      </c>
      <c r="T248" s="3">
        <v>45734</v>
      </c>
      <c r="U248" s="3">
        <v>45740</v>
      </c>
      <c r="V248" t="s">
        <v>95</v>
      </c>
      <c r="W248">
        <f t="shared" si="17"/>
        <v>212.4306</v>
      </c>
      <c r="X248">
        <f t="shared" si="18"/>
        <v>262.26</v>
      </c>
      <c r="Y248">
        <f t="shared" si="19"/>
        <v>49.829399999999993</v>
      </c>
      <c r="Z248" s="8" t="str">
        <f t="shared" si="16"/>
        <v>Medium</v>
      </c>
      <c r="AA248" s="12">
        <f>DATE(YEAR(Table1[[#This Row],[OrderDate]]),MONTH(Table1[[#This Row],[OrderDate]]),1)</f>
        <v>45717</v>
      </c>
    </row>
    <row r="249" spans="1:27" x14ac:dyDescent="0.3">
      <c r="A249" s="3">
        <v>45375</v>
      </c>
      <c r="B249" t="s">
        <v>9</v>
      </c>
      <c r="C249" t="s">
        <v>31</v>
      </c>
      <c r="D249" t="str">
        <f>TRIM(Table1[[#This Row],[Product]])</f>
        <v>Laptop</v>
      </c>
      <c r="E249" t="str">
        <f>PROPER(Table1[[#This Row],[Column1]])</f>
        <v>Laptop</v>
      </c>
      <c r="F249" s="8" t="str">
        <f t="shared" si="15"/>
        <v>Technology</v>
      </c>
      <c r="G249" s="5">
        <v>6</v>
      </c>
      <c r="H249">
        <v>595.11</v>
      </c>
      <c r="I249" t="s">
        <v>78</v>
      </c>
      <c r="J249" t="s">
        <v>58</v>
      </c>
      <c r="K249" s="7">
        <v>0</v>
      </c>
      <c r="L249" t="s">
        <v>23</v>
      </c>
      <c r="M249" s="5">
        <v>3570.66</v>
      </c>
      <c r="N249" t="s">
        <v>88</v>
      </c>
      <c r="O249" t="s">
        <v>67</v>
      </c>
      <c r="P249" s="5">
        <v>1</v>
      </c>
      <c r="Q249" t="s">
        <v>568</v>
      </c>
      <c r="R249" t="s">
        <v>183</v>
      </c>
      <c r="S249" s="5">
        <v>28.92</v>
      </c>
      <c r="T249" s="3">
        <v>45375</v>
      </c>
      <c r="U249" s="3">
        <v>45382</v>
      </c>
      <c r="V249" t="s">
        <v>63</v>
      </c>
      <c r="W249">
        <f t="shared" si="17"/>
        <v>3570.66</v>
      </c>
      <c r="X249">
        <f t="shared" si="18"/>
        <v>3570.66</v>
      </c>
      <c r="Y249">
        <f t="shared" si="19"/>
        <v>0</v>
      </c>
      <c r="Z249" s="8" t="str">
        <f t="shared" si="16"/>
        <v>No Discount</v>
      </c>
      <c r="AA249" s="12">
        <f>DATE(YEAR(Table1[[#This Row],[OrderDate]]),MONTH(Table1[[#This Row],[OrderDate]]),1)</f>
        <v>45352</v>
      </c>
    </row>
    <row r="250" spans="1:27" x14ac:dyDescent="0.3">
      <c r="A250" s="3">
        <v>45652</v>
      </c>
      <c r="B250" t="s">
        <v>9</v>
      </c>
      <c r="C250" t="s">
        <v>31</v>
      </c>
      <c r="D250" t="str">
        <f>TRIM(Table1[[#This Row],[Product]])</f>
        <v>Laptop</v>
      </c>
      <c r="E250" t="str">
        <f>PROPER(Table1[[#This Row],[Column1]])</f>
        <v>Laptop</v>
      </c>
      <c r="F250" s="8" t="str">
        <f t="shared" si="15"/>
        <v>Technology</v>
      </c>
      <c r="G250" s="5">
        <v>6</v>
      </c>
      <c r="H250">
        <v>516.66</v>
      </c>
      <c r="I250" t="s">
        <v>78</v>
      </c>
      <c r="J250" t="s">
        <v>58</v>
      </c>
      <c r="K250" s="7">
        <v>0.05</v>
      </c>
      <c r="L250" t="s">
        <v>19</v>
      </c>
      <c r="M250" s="5">
        <v>2944.962</v>
      </c>
      <c r="N250" t="s">
        <v>59</v>
      </c>
      <c r="P250" s="5">
        <v>1</v>
      </c>
      <c r="Q250" t="s">
        <v>569</v>
      </c>
      <c r="R250" t="s">
        <v>365</v>
      </c>
      <c r="S250" s="5">
        <v>5.15</v>
      </c>
      <c r="T250" s="3">
        <v>45652</v>
      </c>
      <c r="U250" s="3">
        <v>45660</v>
      </c>
      <c r="V250" t="s">
        <v>63</v>
      </c>
      <c r="W250">
        <f t="shared" si="17"/>
        <v>2797.7138999999997</v>
      </c>
      <c r="X250">
        <f t="shared" si="18"/>
        <v>3099.96</v>
      </c>
      <c r="Y250">
        <f t="shared" si="19"/>
        <v>302.2461000000003</v>
      </c>
      <c r="Z250" s="8" t="str">
        <f t="shared" si="16"/>
        <v>Medium</v>
      </c>
      <c r="AA250" s="12">
        <f>DATE(YEAR(Table1[[#This Row],[OrderDate]]),MONTH(Table1[[#This Row],[OrderDate]]),1)</f>
        <v>45627</v>
      </c>
    </row>
    <row r="251" spans="1:27" x14ac:dyDescent="0.3">
      <c r="A251" s="3">
        <v>44937</v>
      </c>
      <c r="B251" t="s">
        <v>11</v>
      </c>
      <c r="C251" t="s">
        <v>30</v>
      </c>
      <c r="D251" t="str">
        <f>TRIM(Table1[[#This Row],[Product]])</f>
        <v>Desk</v>
      </c>
      <c r="E251" t="str">
        <f>PROPER(Table1[[#This Row],[Column1]])</f>
        <v>Desk</v>
      </c>
      <c r="F251" s="8" t="str">
        <f t="shared" si="15"/>
        <v>Furniture</v>
      </c>
      <c r="G251" s="5">
        <v>6</v>
      </c>
      <c r="H251">
        <v>202.57</v>
      </c>
      <c r="I251" t="s">
        <v>81</v>
      </c>
      <c r="J251" t="s">
        <v>65</v>
      </c>
      <c r="K251" s="7">
        <v>0.05</v>
      </c>
      <c r="L251" t="s">
        <v>25</v>
      </c>
      <c r="M251" s="5">
        <v>1154.6489999999999</v>
      </c>
      <c r="N251" t="s">
        <v>66</v>
      </c>
      <c r="O251" t="s">
        <v>60</v>
      </c>
      <c r="P251" s="5">
        <v>0</v>
      </c>
      <c r="Q251" t="s">
        <v>570</v>
      </c>
      <c r="R251" t="s">
        <v>571</v>
      </c>
      <c r="S251" s="5">
        <v>24.39</v>
      </c>
      <c r="T251" s="3">
        <v>44937</v>
      </c>
      <c r="U251" s="3">
        <v>44940</v>
      </c>
      <c r="V251" t="s">
        <v>74</v>
      </c>
      <c r="W251">
        <f t="shared" si="17"/>
        <v>1096.9165499999999</v>
      </c>
      <c r="X251">
        <f t="shared" si="18"/>
        <v>1215.42</v>
      </c>
      <c r="Y251">
        <f t="shared" si="19"/>
        <v>118.50345000000016</v>
      </c>
      <c r="Z251" s="8" t="str">
        <f t="shared" si="16"/>
        <v>Medium</v>
      </c>
      <c r="AA251" s="12">
        <f>DATE(YEAR(Table1[[#This Row],[OrderDate]]),MONTH(Table1[[#This Row],[OrderDate]]),1)</f>
        <v>44927</v>
      </c>
    </row>
    <row r="252" spans="1:27" x14ac:dyDescent="0.3">
      <c r="A252" s="3">
        <v>45809</v>
      </c>
      <c r="B252" t="s">
        <v>13</v>
      </c>
      <c r="C252" t="s">
        <v>31</v>
      </c>
      <c r="D252" t="str">
        <f>TRIM(Table1[[#This Row],[Product]])</f>
        <v>Laptop</v>
      </c>
      <c r="E252" t="str">
        <f>PROPER(Table1[[#This Row],[Column1]])</f>
        <v>Laptop</v>
      </c>
      <c r="F252" s="8" t="str">
        <f t="shared" si="15"/>
        <v>Technology</v>
      </c>
      <c r="G252" s="5">
        <v>13</v>
      </c>
      <c r="H252">
        <v>306.16000000000003</v>
      </c>
      <c r="I252" t="s">
        <v>64</v>
      </c>
      <c r="J252" t="s">
        <v>58</v>
      </c>
      <c r="K252" s="7">
        <v>0.15</v>
      </c>
      <c r="L252" t="s">
        <v>27</v>
      </c>
      <c r="M252" s="5">
        <v>3383.0680000000002</v>
      </c>
      <c r="N252" t="s">
        <v>88</v>
      </c>
      <c r="O252" t="s">
        <v>67</v>
      </c>
      <c r="P252" s="5">
        <v>0</v>
      </c>
      <c r="Q252" t="s">
        <v>572</v>
      </c>
      <c r="R252" t="s">
        <v>573</v>
      </c>
      <c r="S252" s="5">
        <v>25.16</v>
      </c>
      <c r="T252" s="3">
        <v>45809</v>
      </c>
      <c r="U252" s="3">
        <v>45818</v>
      </c>
      <c r="V252" t="s">
        <v>70</v>
      </c>
      <c r="W252">
        <f t="shared" si="17"/>
        <v>2875.6078000000002</v>
      </c>
      <c r="X252">
        <f t="shared" si="18"/>
        <v>3980.0800000000004</v>
      </c>
      <c r="Y252">
        <f t="shared" si="19"/>
        <v>1104.4722000000002</v>
      </c>
      <c r="Z252" s="8" t="str">
        <f t="shared" si="16"/>
        <v>High</v>
      </c>
      <c r="AA252" s="12">
        <f>DATE(YEAR(Table1[[#This Row],[OrderDate]]),MONTH(Table1[[#This Row],[OrderDate]]),1)</f>
        <v>45809</v>
      </c>
    </row>
    <row r="253" spans="1:27" x14ac:dyDescent="0.3">
      <c r="A253" s="3">
        <v>45561</v>
      </c>
      <c r="B253" t="s">
        <v>9</v>
      </c>
      <c r="C253" t="s">
        <v>30</v>
      </c>
      <c r="D253" t="str">
        <f>TRIM(Table1[[#This Row],[Product]])</f>
        <v>Desk</v>
      </c>
      <c r="E253" t="str">
        <f>PROPER(Table1[[#This Row],[Column1]])</f>
        <v>Desk</v>
      </c>
      <c r="F253" s="8" t="str">
        <f t="shared" si="15"/>
        <v>Furniture</v>
      </c>
      <c r="G253" s="5">
        <v>11</v>
      </c>
      <c r="H253">
        <v>472.74</v>
      </c>
      <c r="I253" t="s">
        <v>81</v>
      </c>
      <c r="J253" t="s">
        <v>65</v>
      </c>
      <c r="K253" s="7">
        <v>0.15</v>
      </c>
      <c r="L253" t="s">
        <v>21</v>
      </c>
      <c r="M253" s="5">
        <v>4420.1190000000006</v>
      </c>
      <c r="N253" t="s">
        <v>82</v>
      </c>
      <c r="P253" s="5">
        <v>1</v>
      </c>
      <c r="Q253" t="s">
        <v>574</v>
      </c>
      <c r="R253" t="s">
        <v>575</v>
      </c>
      <c r="S253" s="5">
        <v>16.8</v>
      </c>
      <c r="T253" s="3">
        <v>45561</v>
      </c>
      <c r="U253" s="3">
        <v>45566</v>
      </c>
      <c r="V253" t="s">
        <v>63</v>
      </c>
      <c r="W253">
        <f t="shared" si="17"/>
        <v>3757.1011500000004</v>
      </c>
      <c r="X253">
        <f t="shared" si="18"/>
        <v>5200.1400000000003</v>
      </c>
      <c r="Y253">
        <f t="shared" si="19"/>
        <v>1443.0388499999999</v>
      </c>
      <c r="Z253" s="8" t="str">
        <f t="shared" si="16"/>
        <v>High</v>
      </c>
      <c r="AA253" s="12">
        <f>DATE(YEAR(Table1[[#This Row],[OrderDate]]),MONTH(Table1[[#This Row],[OrderDate]]),1)</f>
        <v>45536</v>
      </c>
    </row>
    <row r="254" spans="1:27" x14ac:dyDescent="0.3">
      <c r="A254" s="3">
        <v>45514</v>
      </c>
      <c r="B254" t="s">
        <v>9</v>
      </c>
      <c r="C254" t="s">
        <v>33</v>
      </c>
      <c r="D254" t="str">
        <f>TRIM(Table1[[#This Row],[Product]])</f>
        <v>Phone</v>
      </c>
      <c r="E254" t="str">
        <f>PROPER(Table1[[#This Row],[Column1]])</f>
        <v>Phone</v>
      </c>
      <c r="F254" s="8" t="str">
        <f t="shared" si="15"/>
        <v>Technology</v>
      </c>
      <c r="G254" s="5">
        <v>20</v>
      </c>
      <c r="H254">
        <v>337.37</v>
      </c>
      <c r="I254" t="s">
        <v>78</v>
      </c>
      <c r="J254" t="s">
        <v>65</v>
      </c>
      <c r="K254" s="7">
        <v>0.1</v>
      </c>
      <c r="L254" t="s">
        <v>23</v>
      </c>
      <c r="M254" s="5">
        <v>6072.66</v>
      </c>
      <c r="N254" t="s">
        <v>66</v>
      </c>
      <c r="P254" s="5">
        <v>0</v>
      </c>
      <c r="Q254" t="s">
        <v>576</v>
      </c>
      <c r="R254" t="s">
        <v>577</v>
      </c>
      <c r="S254" s="5">
        <v>43.17</v>
      </c>
      <c r="T254" s="3">
        <v>45514</v>
      </c>
      <c r="U254" s="3">
        <v>45521</v>
      </c>
      <c r="V254" t="s">
        <v>63</v>
      </c>
      <c r="W254">
        <f t="shared" si="17"/>
        <v>5465.3940000000002</v>
      </c>
      <c r="X254">
        <f t="shared" si="18"/>
        <v>6747.4</v>
      </c>
      <c r="Y254">
        <f t="shared" si="19"/>
        <v>1282.0059999999994</v>
      </c>
      <c r="Z254" s="8" t="str">
        <f t="shared" si="16"/>
        <v>Medium</v>
      </c>
      <c r="AA254" s="12">
        <f>DATE(YEAR(Table1[[#This Row],[OrderDate]]),MONTH(Table1[[#This Row],[OrderDate]]),1)</f>
        <v>45505</v>
      </c>
    </row>
    <row r="255" spans="1:27" x14ac:dyDescent="0.3">
      <c r="A255" s="3">
        <v>45718</v>
      </c>
      <c r="B255" t="s">
        <v>13</v>
      </c>
      <c r="C255" t="s">
        <v>33</v>
      </c>
      <c r="D255" t="str">
        <f>TRIM(Table1[[#This Row],[Product]])</f>
        <v>Phone</v>
      </c>
      <c r="E255" t="str">
        <f>PROPER(Table1[[#This Row],[Column1]])</f>
        <v>Phone</v>
      </c>
      <c r="F255" s="8" t="str">
        <f t="shared" si="15"/>
        <v>Technology</v>
      </c>
      <c r="G255" s="5">
        <v>12</v>
      </c>
      <c r="H255">
        <v>34.24</v>
      </c>
      <c r="I255" t="s">
        <v>78</v>
      </c>
      <c r="J255" t="s">
        <v>65</v>
      </c>
      <c r="K255" s="7">
        <v>0.1</v>
      </c>
      <c r="L255" t="s">
        <v>27</v>
      </c>
      <c r="M255" s="5">
        <v>369.79199999999997</v>
      </c>
      <c r="N255" t="s">
        <v>88</v>
      </c>
      <c r="P255" s="5">
        <v>0</v>
      </c>
      <c r="Q255" t="s">
        <v>578</v>
      </c>
      <c r="R255" t="s">
        <v>579</v>
      </c>
      <c r="S255" s="5">
        <v>17.64</v>
      </c>
      <c r="T255" s="3">
        <v>45718</v>
      </c>
      <c r="U255" s="3">
        <v>45726</v>
      </c>
      <c r="V255" t="s">
        <v>70</v>
      </c>
      <c r="W255">
        <f t="shared" si="17"/>
        <v>332.81279999999998</v>
      </c>
      <c r="X255">
        <f t="shared" si="18"/>
        <v>410.88</v>
      </c>
      <c r="Y255">
        <f t="shared" si="19"/>
        <v>78.067200000000014</v>
      </c>
      <c r="Z255" s="8" t="str">
        <f t="shared" si="16"/>
        <v>Medium</v>
      </c>
      <c r="AA255" s="12">
        <f>DATE(YEAR(Table1[[#This Row],[OrderDate]]),MONTH(Table1[[#This Row],[OrderDate]]),1)</f>
        <v>45717</v>
      </c>
    </row>
    <row r="256" spans="1:27" x14ac:dyDescent="0.3">
      <c r="A256" s="3">
        <v>44978</v>
      </c>
      <c r="B256" t="s">
        <v>9</v>
      </c>
      <c r="C256" t="s">
        <v>35</v>
      </c>
      <c r="D256" t="str">
        <f>TRIM(Table1[[#This Row],[Product]])</f>
        <v>Tablet</v>
      </c>
      <c r="E256" t="str">
        <f>PROPER(Table1[[#This Row],[Column1]])</f>
        <v>Tablet</v>
      </c>
      <c r="F256" s="8" t="str">
        <f t="shared" si="15"/>
        <v>Technology</v>
      </c>
      <c r="G256" s="5">
        <v>4</v>
      </c>
      <c r="H256">
        <v>477.05</v>
      </c>
      <c r="I256" t="s">
        <v>57</v>
      </c>
      <c r="J256" t="s">
        <v>58</v>
      </c>
      <c r="K256" s="7">
        <v>0</v>
      </c>
      <c r="L256" t="s">
        <v>21</v>
      </c>
      <c r="M256" s="5">
        <v>1908.2</v>
      </c>
      <c r="N256" t="s">
        <v>82</v>
      </c>
      <c r="O256" t="s">
        <v>71</v>
      </c>
      <c r="P256" s="5">
        <v>0</v>
      </c>
      <c r="Q256" t="s">
        <v>580</v>
      </c>
      <c r="R256" t="s">
        <v>581</v>
      </c>
      <c r="S256" s="5">
        <v>45.54</v>
      </c>
      <c r="T256" s="3">
        <v>44978</v>
      </c>
      <c r="U256" s="3">
        <v>44987</v>
      </c>
      <c r="V256" t="s">
        <v>63</v>
      </c>
      <c r="W256">
        <f t="shared" si="17"/>
        <v>1908.2</v>
      </c>
      <c r="X256">
        <f t="shared" si="18"/>
        <v>1908.2</v>
      </c>
      <c r="Y256">
        <f t="shared" si="19"/>
        <v>0</v>
      </c>
      <c r="Z256" s="8" t="str">
        <f t="shared" si="16"/>
        <v>No Discount</v>
      </c>
      <c r="AA256" s="12">
        <f>DATE(YEAR(Table1[[#This Row],[OrderDate]]),MONTH(Table1[[#This Row],[OrderDate]]),1)</f>
        <v>44958</v>
      </c>
    </row>
    <row r="257" spans="1:27" x14ac:dyDescent="0.3">
      <c r="A257" s="3">
        <v>45616</v>
      </c>
      <c r="B257" t="s">
        <v>9</v>
      </c>
      <c r="C257" t="s">
        <v>31</v>
      </c>
      <c r="D257" t="str">
        <f>TRIM(Table1[[#This Row],[Product]])</f>
        <v>Laptop</v>
      </c>
      <c r="E257" t="str">
        <f>PROPER(Table1[[#This Row],[Column1]])</f>
        <v>Laptop</v>
      </c>
      <c r="F257" s="8" t="str">
        <f t="shared" si="15"/>
        <v>Technology</v>
      </c>
      <c r="G257" s="5">
        <v>6</v>
      </c>
      <c r="H257">
        <v>562.92999999999995</v>
      </c>
      <c r="I257" t="s">
        <v>78</v>
      </c>
      <c r="J257" t="s">
        <v>65</v>
      </c>
      <c r="K257" s="7">
        <v>0</v>
      </c>
      <c r="L257" t="s">
        <v>18</v>
      </c>
      <c r="M257" s="5">
        <v>3377.58</v>
      </c>
      <c r="N257" t="s">
        <v>82</v>
      </c>
      <c r="O257" t="s">
        <v>71</v>
      </c>
      <c r="P257" s="5">
        <v>0</v>
      </c>
      <c r="Q257" t="s">
        <v>582</v>
      </c>
      <c r="R257" t="s">
        <v>583</v>
      </c>
      <c r="S257" s="5">
        <v>43.73</v>
      </c>
      <c r="T257" s="3">
        <v>45616</v>
      </c>
      <c r="U257" s="3">
        <v>45623</v>
      </c>
      <c r="V257" t="s">
        <v>63</v>
      </c>
      <c r="W257">
        <f t="shared" si="17"/>
        <v>3377.58</v>
      </c>
      <c r="X257">
        <f t="shared" si="18"/>
        <v>3377.58</v>
      </c>
      <c r="Y257">
        <f t="shared" si="19"/>
        <v>0</v>
      </c>
      <c r="Z257" s="8" t="str">
        <f t="shared" si="16"/>
        <v>No Discount</v>
      </c>
      <c r="AA257" s="12">
        <f>DATE(YEAR(Table1[[#This Row],[OrderDate]]),MONTH(Table1[[#This Row],[OrderDate]]),1)</f>
        <v>45597</v>
      </c>
    </row>
    <row r="258" spans="1:27" x14ac:dyDescent="0.3">
      <c r="A258" s="3">
        <v>45164</v>
      </c>
      <c r="B258" t="s">
        <v>9</v>
      </c>
      <c r="C258" t="s">
        <v>29</v>
      </c>
      <c r="D258" t="str">
        <f>TRIM(Table1[[#This Row],[Product]])</f>
        <v>Chair</v>
      </c>
      <c r="E258" t="str">
        <f>PROPER(Table1[[#This Row],[Column1]])</f>
        <v>Chair</v>
      </c>
      <c r="F258" s="8" t="str">
        <f t="shared" ref="F258:F321" si="20">IF(OR(E258="Chair",E258="Desk"),"Furniture",IF(OR(E258="Laptop",E258="Monitor",E258="Phone",E258="Tablet"),"Technology",IF(E258="Printer","Office Supplies","Other")))</f>
        <v>Furniture</v>
      </c>
      <c r="G258" s="5">
        <v>20</v>
      </c>
      <c r="H258">
        <v>18.29</v>
      </c>
      <c r="I258" t="s">
        <v>57</v>
      </c>
      <c r="J258" t="s">
        <v>65</v>
      </c>
      <c r="K258" s="7">
        <v>0</v>
      </c>
      <c r="L258" t="s">
        <v>23</v>
      </c>
      <c r="M258" s="5">
        <v>365.8</v>
      </c>
      <c r="N258" t="s">
        <v>85</v>
      </c>
      <c r="O258" t="s">
        <v>60</v>
      </c>
      <c r="P258" s="5">
        <v>1</v>
      </c>
      <c r="Q258" t="s">
        <v>584</v>
      </c>
      <c r="R258" t="s">
        <v>585</v>
      </c>
      <c r="S258" s="5">
        <v>35.369999999999997</v>
      </c>
      <c r="T258" s="3">
        <v>45164</v>
      </c>
      <c r="U258" s="3">
        <v>45167</v>
      </c>
      <c r="V258" t="s">
        <v>63</v>
      </c>
      <c r="W258">
        <f t="shared" si="17"/>
        <v>365.8</v>
      </c>
      <c r="X258">
        <f t="shared" si="18"/>
        <v>365.79999999999995</v>
      </c>
      <c r="Y258">
        <f t="shared" si="19"/>
        <v>0</v>
      </c>
      <c r="Z258" s="8" t="str">
        <f t="shared" ref="Z258:Z321" si="21">IF(K258=0,"No Discount",IF(K258&lt;5%,"Low",IF(K258&lt;15%,"Medium","High")))</f>
        <v>No Discount</v>
      </c>
      <c r="AA258" s="12">
        <f>DATE(YEAR(Table1[[#This Row],[OrderDate]]),MONTH(Table1[[#This Row],[OrderDate]]),1)</f>
        <v>45139</v>
      </c>
    </row>
    <row r="259" spans="1:27" x14ac:dyDescent="0.3">
      <c r="A259" s="3">
        <v>45292</v>
      </c>
      <c r="B259" t="s">
        <v>13</v>
      </c>
      <c r="C259" t="s">
        <v>32</v>
      </c>
      <c r="D259" t="str">
        <f>TRIM(Table1[[#This Row],[Product]])</f>
        <v>Monitor</v>
      </c>
      <c r="E259" t="str">
        <f>PROPER(Table1[[#This Row],[Column1]])</f>
        <v>Monitor</v>
      </c>
      <c r="F259" s="8" t="str">
        <f t="shared" si="20"/>
        <v>Technology</v>
      </c>
      <c r="G259" s="5">
        <v>7</v>
      </c>
      <c r="H259">
        <v>208.86</v>
      </c>
      <c r="I259" t="s">
        <v>57</v>
      </c>
      <c r="J259" t="s">
        <v>65</v>
      </c>
      <c r="K259" s="7">
        <v>0</v>
      </c>
      <c r="L259" t="s">
        <v>27</v>
      </c>
      <c r="M259" s="5">
        <v>1462.02</v>
      </c>
      <c r="N259" t="s">
        <v>88</v>
      </c>
      <c r="O259" t="s">
        <v>60</v>
      </c>
      <c r="P259" s="5">
        <v>0</v>
      </c>
      <c r="Q259" t="s">
        <v>586</v>
      </c>
      <c r="R259" t="s">
        <v>587</v>
      </c>
      <c r="S259" s="5">
        <v>20.64</v>
      </c>
      <c r="T259" s="3">
        <v>45292</v>
      </c>
      <c r="U259" s="3">
        <v>45299</v>
      </c>
      <c r="V259" t="s">
        <v>70</v>
      </c>
      <c r="W259">
        <f t="shared" ref="W259:W322" si="22">M259*(1-K259)</f>
        <v>1462.02</v>
      </c>
      <c r="X259">
        <f t="shared" ref="X259:X322" si="23">G259*H259</f>
        <v>1462.02</v>
      </c>
      <c r="Y259">
        <f t="shared" ref="Y259:Y322" si="24">X259-W259</f>
        <v>0</v>
      </c>
      <c r="Z259" s="8" t="str">
        <f t="shared" si="21"/>
        <v>No Discount</v>
      </c>
      <c r="AA259" s="12">
        <f>DATE(YEAR(Table1[[#This Row],[OrderDate]]),MONTH(Table1[[#This Row],[OrderDate]]),1)</f>
        <v>45292</v>
      </c>
    </row>
    <row r="260" spans="1:27" x14ac:dyDescent="0.3">
      <c r="A260" s="3">
        <v>45620</v>
      </c>
      <c r="B260" t="s">
        <v>13</v>
      </c>
      <c r="C260" t="s">
        <v>34</v>
      </c>
      <c r="D260" t="str">
        <f>TRIM(Table1[[#This Row],[Product]])</f>
        <v>Printer</v>
      </c>
      <c r="E260" t="str">
        <f>PROPER(Table1[[#This Row],[Column1]])</f>
        <v>Printer</v>
      </c>
      <c r="F260" s="8" t="str">
        <f t="shared" si="20"/>
        <v>Office Supplies</v>
      </c>
      <c r="G260" s="5">
        <v>12</v>
      </c>
      <c r="H260">
        <v>330.36</v>
      </c>
      <c r="I260" t="s">
        <v>81</v>
      </c>
      <c r="J260" t="s">
        <v>65</v>
      </c>
      <c r="K260" s="7">
        <v>0.05</v>
      </c>
      <c r="L260" t="s">
        <v>23</v>
      </c>
      <c r="M260" s="5">
        <v>3766.1039999999998</v>
      </c>
      <c r="N260" t="s">
        <v>88</v>
      </c>
      <c r="O260" t="s">
        <v>71</v>
      </c>
      <c r="P260" s="5">
        <v>0</v>
      </c>
      <c r="Q260" t="s">
        <v>588</v>
      </c>
      <c r="R260" t="s">
        <v>589</v>
      </c>
      <c r="S260" s="5">
        <v>48.33</v>
      </c>
      <c r="T260" s="3">
        <v>45620</v>
      </c>
      <c r="U260" s="3">
        <v>45626</v>
      </c>
      <c r="V260" t="s">
        <v>70</v>
      </c>
      <c r="W260">
        <f t="shared" si="22"/>
        <v>3577.7987999999996</v>
      </c>
      <c r="X260">
        <f t="shared" si="23"/>
        <v>3964.32</v>
      </c>
      <c r="Y260">
        <f t="shared" si="24"/>
        <v>386.52120000000059</v>
      </c>
      <c r="Z260" s="8" t="str">
        <f t="shared" si="21"/>
        <v>Medium</v>
      </c>
      <c r="AA260" s="12">
        <f>DATE(YEAR(Table1[[#This Row],[OrderDate]]),MONTH(Table1[[#This Row],[OrderDate]]),1)</f>
        <v>45597</v>
      </c>
    </row>
    <row r="261" spans="1:27" x14ac:dyDescent="0.3">
      <c r="A261" s="3">
        <v>45529</v>
      </c>
      <c r="B261" t="s">
        <v>13</v>
      </c>
      <c r="C261" t="s">
        <v>35</v>
      </c>
      <c r="D261" t="str">
        <f>TRIM(Table1[[#This Row],[Product]])</f>
        <v>Tablet</v>
      </c>
      <c r="E261" t="str">
        <f>PROPER(Table1[[#This Row],[Column1]])</f>
        <v>Tablet</v>
      </c>
      <c r="F261" s="8" t="str">
        <f t="shared" si="20"/>
        <v>Technology</v>
      </c>
      <c r="G261" s="5">
        <v>7</v>
      </c>
      <c r="H261">
        <v>50.26</v>
      </c>
      <c r="I261" t="s">
        <v>78</v>
      </c>
      <c r="J261" t="s">
        <v>65</v>
      </c>
      <c r="K261" s="7">
        <v>0.15</v>
      </c>
      <c r="L261" t="s">
        <v>23</v>
      </c>
      <c r="M261" s="5">
        <v>299.04700000000003</v>
      </c>
      <c r="N261" t="s">
        <v>88</v>
      </c>
      <c r="P261" s="5">
        <v>0</v>
      </c>
      <c r="Q261" t="s">
        <v>590</v>
      </c>
      <c r="R261" t="s">
        <v>591</v>
      </c>
      <c r="S261" s="5">
        <v>17.12</v>
      </c>
      <c r="T261" s="3">
        <v>45529</v>
      </c>
      <c r="U261" s="3">
        <v>45536</v>
      </c>
      <c r="V261" t="s">
        <v>70</v>
      </c>
      <c r="W261">
        <f t="shared" si="22"/>
        <v>254.18995000000001</v>
      </c>
      <c r="X261">
        <f t="shared" si="23"/>
        <v>351.82</v>
      </c>
      <c r="Y261">
        <f t="shared" si="24"/>
        <v>97.630049999999983</v>
      </c>
      <c r="Z261" s="8" t="str">
        <f t="shared" si="21"/>
        <v>High</v>
      </c>
      <c r="AA261" s="12">
        <f>DATE(YEAR(Table1[[#This Row],[OrderDate]]),MONTH(Table1[[#This Row],[OrderDate]]),1)</f>
        <v>45505</v>
      </c>
    </row>
    <row r="262" spans="1:27" x14ac:dyDescent="0.3">
      <c r="A262" s="3">
        <v>45087</v>
      </c>
      <c r="B262" t="s">
        <v>13</v>
      </c>
      <c r="C262" t="s">
        <v>31</v>
      </c>
      <c r="D262" t="str">
        <f>TRIM(Table1[[#This Row],[Product]])</f>
        <v>Laptop</v>
      </c>
      <c r="E262" t="str">
        <f>PROPER(Table1[[#This Row],[Column1]])</f>
        <v>Laptop</v>
      </c>
      <c r="F262" s="8" t="str">
        <f t="shared" si="20"/>
        <v>Technology</v>
      </c>
      <c r="G262" s="5">
        <v>2</v>
      </c>
      <c r="H262">
        <v>374.59</v>
      </c>
      <c r="I262" t="s">
        <v>78</v>
      </c>
      <c r="J262" t="s">
        <v>58</v>
      </c>
      <c r="K262" s="7">
        <v>0.15</v>
      </c>
      <c r="L262" t="s">
        <v>21</v>
      </c>
      <c r="M262" s="5">
        <v>636.803</v>
      </c>
      <c r="N262" t="s">
        <v>59</v>
      </c>
      <c r="O262" t="s">
        <v>67</v>
      </c>
      <c r="P262" s="5">
        <v>0</v>
      </c>
      <c r="Q262" t="s">
        <v>592</v>
      </c>
      <c r="R262" t="s">
        <v>593</v>
      </c>
      <c r="S262" s="5">
        <v>34.64</v>
      </c>
      <c r="T262" s="3">
        <v>45087</v>
      </c>
      <c r="U262" s="3">
        <v>45095</v>
      </c>
      <c r="V262" t="s">
        <v>70</v>
      </c>
      <c r="W262">
        <f t="shared" si="22"/>
        <v>541.28255000000001</v>
      </c>
      <c r="X262">
        <f t="shared" si="23"/>
        <v>749.18</v>
      </c>
      <c r="Y262">
        <f t="shared" si="24"/>
        <v>207.89744999999994</v>
      </c>
      <c r="Z262" s="8" t="str">
        <f t="shared" si="21"/>
        <v>High</v>
      </c>
      <c r="AA262" s="12">
        <f>DATE(YEAR(Table1[[#This Row],[OrderDate]]),MONTH(Table1[[#This Row],[OrderDate]]),1)</f>
        <v>45078</v>
      </c>
    </row>
    <row r="263" spans="1:27" x14ac:dyDescent="0.3">
      <c r="A263" s="3">
        <v>45644</v>
      </c>
      <c r="B263" t="s">
        <v>11</v>
      </c>
      <c r="C263" t="s">
        <v>34</v>
      </c>
      <c r="D263" t="str">
        <f>TRIM(Table1[[#This Row],[Product]])</f>
        <v>Printer</v>
      </c>
      <c r="E263" t="str">
        <f>PROPER(Table1[[#This Row],[Column1]])</f>
        <v>Printer</v>
      </c>
      <c r="F263" s="8" t="str">
        <f t="shared" si="20"/>
        <v>Office Supplies</v>
      </c>
      <c r="G263" s="5">
        <v>7</v>
      </c>
      <c r="H263">
        <v>467.6</v>
      </c>
      <c r="I263" t="s">
        <v>64</v>
      </c>
      <c r="J263" t="s">
        <v>65</v>
      </c>
      <c r="K263" s="7">
        <v>0.1</v>
      </c>
      <c r="L263" t="s">
        <v>21</v>
      </c>
      <c r="M263" s="5">
        <v>2945.88</v>
      </c>
      <c r="N263" t="s">
        <v>85</v>
      </c>
      <c r="P263" s="5">
        <v>0</v>
      </c>
      <c r="Q263" t="s">
        <v>594</v>
      </c>
      <c r="R263" t="s">
        <v>595</v>
      </c>
      <c r="S263" s="5">
        <v>15.64</v>
      </c>
      <c r="T263" s="3">
        <v>45644</v>
      </c>
      <c r="U263" s="3">
        <v>45652</v>
      </c>
      <c r="V263" t="s">
        <v>74</v>
      </c>
      <c r="W263">
        <f t="shared" si="22"/>
        <v>2651.2920000000004</v>
      </c>
      <c r="X263">
        <f t="shared" si="23"/>
        <v>3273.2000000000003</v>
      </c>
      <c r="Y263">
        <f t="shared" si="24"/>
        <v>621.9079999999999</v>
      </c>
      <c r="Z263" s="8" t="str">
        <f t="shared" si="21"/>
        <v>Medium</v>
      </c>
      <c r="AA263" s="12">
        <f>DATE(YEAR(Table1[[#This Row],[OrderDate]]),MONTH(Table1[[#This Row],[OrderDate]]),1)</f>
        <v>45627</v>
      </c>
    </row>
    <row r="264" spans="1:27" x14ac:dyDescent="0.3">
      <c r="A264" s="3">
        <v>45166</v>
      </c>
      <c r="B264" t="s">
        <v>9</v>
      </c>
      <c r="C264" t="s">
        <v>29</v>
      </c>
      <c r="D264" t="str">
        <f>TRIM(Table1[[#This Row],[Product]])</f>
        <v>Chair</v>
      </c>
      <c r="E264" t="str">
        <f>PROPER(Table1[[#This Row],[Column1]])</f>
        <v>Chair</v>
      </c>
      <c r="F264" s="8" t="str">
        <f t="shared" si="20"/>
        <v>Furniture</v>
      </c>
      <c r="G264" s="5">
        <v>3</v>
      </c>
      <c r="H264">
        <v>376.24</v>
      </c>
      <c r="I264" t="s">
        <v>64</v>
      </c>
      <c r="J264" t="s">
        <v>65</v>
      </c>
      <c r="K264" s="7">
        <v>0.05</v>
      </c>
      <c r="L264" t="s">
        <v>27</v>
      </c>
      <c r="M264" s="5">
        <v>1072.2840000000001</v>
      </c>
      <c r="N264" t="s">
        <v>85</v>
      </c>
      <c r="O264" t="s">
        <v>60</v>
      </c>
      <c r="P264" s="5">
        <v>1</v>
      </c>
      <c r="Q264" t="s">
        <v>596</v>
      </c>
      <c r="R264" t="s">
        <v>597</v>
      </c>
      <c r="S264" s="5">
        <v>6.15</v>
      </c>
      <c r="T264" s="3">
        <v>45166</v>
      </c>
      <c r="U264" s="3">
        <v>45170</v>
      </c>
      <c r="V264" t="s">
        <v>63</v>
      </c>
      <c r="W264">
        <f t="shared" si="22"/>
        <v>1018.6698</v>
      </c>
      <c r="X264">
        <f t="shared" si="23"/>
        <v>1128.72</v>
      </c>
      <c r="Y264">
        <f t="shared" si="24"/>
        <v>110.05020000000002</v>
      </c>
      <c r="Z264" s="8" t="str">
        <f t="shared" si="21"/>
        <v>Medium</v>
      </c>
      <c r="AA264" s="12">
        <f>DATE(YEAR(Table1[[#This Row],[OrderDate]]),MONTH(Table1[[#This Row],[OrderDate]]),1)</f>
        <v>45139</v>
      </c>
    </row>
    <row r="265" spans="1:27" x14ac:dyDescent="0.3">
      <c r="A265" s="3">
        <v>44948</v>
      </c>
      <c r="B265" t="s">
        <v>16</v>
      </c>
      <c r="C265" t="s">
        <v>33</v>
      </c>
      <c r="D265" t="str">
        <f>TRIM(Table1[[#This Row],[Product]])</f>
        <v>Phone</v>
      </c>
      <c r="E265" t="str">
        <f>PROPER(Table1[[#This Row],[Column1]])</f>
        <v>Phone</v>
      </c>
      <c r="F265" s="8" t="str">
        <f t="shared" si="20"/>
        <v>Technology</v>
      </c>
      <c r="G265" s="5">
        <v>13</v>
      </c>
      <c r="H265">
        <v>140.49</v>
      </c>
      <c r="I265" t="s">
        <v>64</v>
      </c>
      <c r="J265" t="s">
        <v>65</v>
      </c>
      <c r="K265" s="7">
        <v>0</v>
      </c>
      <c r="L265" t="s">
        <v>25</v>
      </c>
      <c r="M265" s="5">
        <v>1826.37</v>
      </c>
      <c r="N265" t="s">
        <v>85</v>
      </c>
      <c r="O265" t="s">
        <v>67</v>
      </c>
      <c r="P265" s="5">
        <v>0</v>
      </c>
      <c r="Q265" t="s">
        <v>598</v>
      </c>
      <c r="R265" t="s">
        <v>599</v>
      </c>
      <c r="S265" s="5">
        <v>17.690000000000001</v>
      </c>
      <c r="T265" s="3">
        <v>44948</v>
      </c>
      <c r="U265" s="3">
        <v>44957</v>
      </c>
      <c r="V265" t="s">
        <v>95</v>
      </c>
      <c r="W265">
        <f t="shared" si="22"/>
        <v>1826.37</v>
      </c>
      <c r="X265">
        <f t="shared" si="23"/>
        <v>1826.3700000000001</v>
      </c>
      <c r="Y265">
        <f t="shared" si="24"/>
        <v>0</v>
      </c>
      <c r="Z265" s="8" t="str">
        <f t="shared" si="21"/>
        <v>No Discount</v>
      </c>
      <c r="AA265" s="12">
        <f>DATE(YEAR(Table1[[#This Row],[OrderDate]]),MONTH(Table1[[#This Row],[OrderDate]]),1)</f>
        <v>44927</v>
      </c>
    </row>
    <row r="266" spans="1:27" x14ac:dyDescent="0.3">
      <c r="A266" s="3">
        <v>44964</v>
      </c>
      <c r="B266" t="s">
        <v>11</v>
      </c>
      <c r="C266" t="s">
        <v>32</v>
      </c>
      <c r="D266" t="str">
        <f>TRIM(Table1[[#This Row],[Product]])</f>
        <v>Monitor</v>
      </c>
      <c r="E266" t="str">
        <f>PROPER(Table1[[#This Row],[Column1]])</f>
        <v>Monitor</v>
      </c>
      <c r="F266" s="8" t="str">
        <f t="shared" si="20"/>
        <v>Technology</v>
      </c>
      <c r="G266" s="5">
        <v>3</v>
      </c>
      <c r="H266">
        <v>506.33</v>
      </c>
      <c r="I266" t="s">
        <v>57</v>
      </c>
      <c r="J266" t="s">
        <v>65</v>
      </c>
      <c r="K266" s="7">
        <v>0.15</v>
      </c>
      <c r="L266" t="s">
        <v>27</v>
      </c>
      <c r="M266" s="5">
        <v>1291.1415</v>
      </c>
      <c r="N266" t="s">
        <v>85</v>
      </c>
      <c r="O266" t="s">
        <v>60</v>
      </c>
      <c r="P266" s="5">
        <v>0</v>
      </c>
      <c r="Q266" t="s">
        <v>600</v>
      </c>
      <c r="R266" t="s">
        <v>601</v>
      </c>
      <c r="S266" s="5">
        <v>25.71</v>
      </c>
      <c r="T266" s="3">
        <v>44964</v>
      </c>
      <c r="U266" s="3">
        <v>44971</v>
      </c>
      <c r="V266" t="s">
        <v>74</v>
      </c>
      <c r="W266">
        <f t="shared" si="22"/>
        <v>1097.4702749999999</v>
      </c>
      <c r="X266">
        <f t="shared" si="23"/>
        <v>1518.99</v>
      </c>
      <c r="Y266">
        <f t="shared" si="24"/>
        <v>421.51972500000011</v>
      </c>
      <c r="Z266" s="8" t="str">
        <f t="shared" si="21"/>
        <v>High</v>
      </c>
      <c r="AA266" s="12">
        <f>DATE(YEAR(Table1[[#This Row],[OrderDate]]),MONTH(Table1[[#This Row],[OrderDate]]),1)</f>
        <v>44958</v>
      </c>
    </row>
    <row r="267" spans="1:27" x14ac:dyDescent="0.3">
      <c r="A267" s="3">
        <v>45252</v>
      </c>
      <c r="B267" t="s">
        <v>13</v>
      </c>
      <c r="C267" t="s">
        <v>32</v>
      </c>
      <c r="D267" t="str">
        <f>TRIM(Table1[[#This Row],[Product]])</f>
        <v>Monitor</v>
      </c>
      <c r="E267" t="str">
        <f>PROPER(Table1[[#This Row],[Column1]])</f>
        <v>Monitor</v>
      </c>
      <c r="F267" s="8" t="str">
        <f t="shared" si="20"/>
        <v>Technology</v>
      </c>
      <c r="G267" s="5">
        <v>8</v>
      </c>
      <c r="H267">
        <v>138.72999999999999</v>
      </c>
      <c r="I267" t="s">
        <v>64</v>
      </c>
      <c r="J267" t="s">
        <v>58</v>
      </c>
      <c r="K267" s="7">
        <v>0.05</v>
      </c>
      <c r="L267" t="s">
        <v>27</v>
      </c>
      <c r="M267" s="5">
        <v>1054.348</v>
      </c>
      <c r="N267" t="s">
        <v>59</v>
      </c>
      <c r="O267" t="s">
        <v>71</v>
      </c>
      <c r="P267" s="5">
        <v>1</v>
      </c>
      <c r="Q267" t="s">
        <v>602</v>
      </c>
      <c r="R267" t="s">
        <v>603</v>
      </c>
      <c r="S267" s="5">
        <v>48.51</v>
      </c>
      <c r="T267" s="3">
        <v>45252</v>
      </c>
      <c r="U267" s="3">
        <v>45259</v>
      </c>
      <c r="V267" t="s">
        <v>70</v>
      </c>
      <c r="W267">
        <f t="shared" si="22"/>
        <v>1001.6306</v>
      </c>
      <c r="X267">
        <f t="shared" si="23"/>
        <v>1109.8399999999999</v>
      </c>
      <c r="Y267">
        <f t="shared" si="24"/>
        <v>108.20939999999996</v>
      </c>
      <c r="Z267" s="8" t="str">
        <f t="shared" si="21"/>
        <v>Medium</v>
      </c>
      <c r="AA267" s="12">
        <f>DATE(YEAR(Table1[[#This Row],[OrderDate]]),MONTH(Table1[[#This Row],[OrderDate]]),1)</f>
        <v>45231</v>
      </c>
    </row>
    <row r="268" spans="1:27" x14ac:dyDescent="0.3">
      <c r="A268" s="3">
        <v>44951</v>
      </c>
      <c r="B268" t="s">
        <v>16</v>
      </c>
      <c r="C268" t="s">
        <v>30</v>
      </c>
      <c r="D268" t="str">
        <f>TRIM(Table1[[#This Row],[Product]])</f>
        <v>Desk</v>
      </c>
      <c r="E268" t="str">
        <f>PROPER(Table1[[#This Row],[Column1]])</f>
        <v>Desk</v>
      </c>
      <c r="F268" s="8" t="str">
        <f t="shared" si="20"/>
        <v>Furniture</v>
      </c>
      <c r="G268" s="5">
        <v>6</v>
      </c>
      <c r="H268">
        <v>134.53</v>
      </c>
      <c r="I268" t="s">
        <v>78</v>
      </c>
      <c r="J268" t="s">
        <v>65</v>
      </c>
      <c r="K268" s="7">
        <v>0.15</v>
      </c>
      <c r="L268" t="s">
        <v>21</v>
      </c>
      <c r="M268" s="5">
        <v>686.10300000000007</v>
      </c>
      <c r="N268" t="s">
        <v>85</v>
      </c>
      <c r="O268" t="s">
        <v>60</v>
      </c>
      <c r="P268" s="5">
        <v>1</v>
      </c>
      <c r="Q268" t="s">
        <v>604</v>
      </c>
      <c r="R268" t="s">
        <v>605</v>
      </c>
      <c r="S268" s="5">
        <v>33.5</v>
      </c>
      <c r="T268" s="3">
        <v>44951</v>
      </c>
      <c r="U268" s="3">
        <v>44955</v>
      </c>
      <c r="V268" t="s">
        <v>95</v>
      </c>
      <c r="W268">
        <f t="shared" si="22"/>
        <v>583.18754999999999</v>
      </c>
      <c r="X268">
        <f t="shared" si="23"/>
        <v>807.18000000000006</v>
      </c>
      <c r="Y268">
        <f t="shared" si="24"/>
        <v>223.99245000000008</v>
      </c>
      <c r="Z268" s="8" t="str">
        <f t="shared" si="21"/>
        <v>High</v>
      </c>
      <c r="AA268" s="12">
        <f>DATE(YEAR(Table1[[#This Row],[OrderDate]]),MONTH(Table1[[#This Row],[OrderDate]]),1)</f>
        <v>44927</v>
      </c>
    </row>
    <row r="269" spans="1:27" x14ac:dyDescent="0.3">
      <c r="A269" s="3">
        <v>45721</v>
      </c>
      <c r="B269" t="s">
        <v>13</v>
      </c>
      <c r="C269" t="s">
        <v>35</v>
      </c>
      <c r="D269" t="str">
        <f>TRIM(Table1[[#This Row],[Product]])</f>
        <v>Tablet</v>
      </c>
      <c r="E269" t="str">
        <f>PROPER(Table1[[#This Row],[Column1]])</f>
        <v>Tablet</v>
      </c>
      <c r="F269" s="8" t="str">
        <f t="shared" si="20"/>
        <v>Technology</v>
      </c>
      <c r="G269" s="5">
        <v>18</v>
      </c>
      <c r="H269">
        <v>375.96</v>
      </c>
      <c r="I269" t="s">
        <v>81</v>
      </c>
      <c r="J269" t="s">
        <v>58</v>
      </c>
      <c r="K269" s="7">
        <v>0.05</v>
      </c>
      <c r="L269" t="s">
        <v>23</v>
      </c>
      <c r="M269" s="5">
        <v>6428.9159999999993</v>
      </c>
      <c r="N269" t="s">
        <v>85</v>
      </c>
      <c r="O269" t="s">
        <v>67</v>
      </c>
      <c r="P269" s="5">
        <v>0</v>
      </c>
      <c r="Q269" t="s">
        <v>606</v>
      </c>
      <c r="R269" t="s">
        <v>607</v>
      </c>
      <c r="S269" s="5">
        <v>26.78</v>
      </c>
      <c r="T269" s="3">
        <v>45721</v>
      </c>
      <c r="U269" s="3">
        <v>45725</v>
      </c>
      <c r="V269" t="s">
        <v>70</v>
      </c>
      <c r="W269">
        <f t="shared" si="22"/>
        <v>6107.4701999999988</v>
      </c>
      <c r="X269">
        <f t="shared" si="23"/>
        <v>6767.28</v>
      </c>
      <c r="Y269">
        <f t="shared" si="24"/>
        <v>659.80980000000091</v>
      </c>
      <c r="Z269" s="8" t="str">
        <f t="shared" si="21"/>
        <v>Medium</v>
      </c>
      <c r="AA269" s="12">
        <f>DATE(YEAR(Table1[[#This Row],[OrderDate]]),MONTH(Table1[[#This Row],[OrderDate]]),1)</f>
        <v>45717</v>
      </c>
    </row>
    <row r="270" spans="1:27" x14ac:dyDescent="0.3">
      <c r="A270" s="3">
        <v>44959</v>
      </c>
      <c r="B270" t="s">
        <v>11</v>
      </c>
      <c r="C270" t="s">
        <v>34</v>
      </c>
      <c r="D270" t="str">
        <f>TRIM(Table1[[#This Row],[Product]])</f>
        <v>Printer</v>
      </c>
      <c r="E270" t="str">
        <f>PROPER(Table1[[#This Row],[Column1]])</f>
        <v>Printer</v>
      </c>
      <c r="F270" s="8" t="str">
        <f t="shared" si="20"/>
        <v>Office Supplies</v>
      </c>
      <c r="G270" s="5">
        <v>10</v>
      </c>
      <c r="H270">
        <v>538.47</v>
      </c>
      <c r="I270" t="s">
        <v>81</v>
      </c>
      <c r="J270" t="s">
        <v>65</v>
      </c>
      <c r="K270" s="7">
        <v>0.1</v>
      </c>
      <c r="L270" t="s">
        <v>19</v>
      </c>
      <c r="M270" s="5">
        <v>4846.2299999999996</v>
      </c>
      <c r="N270" t="s">
        <v>66</v>
      </c>
      <c r="O270" t="s">
        <v>71</v>
      </c>
      <c r="P270" s="5">
        <v>1</v>
      </c>
      <c r="Q270" t="s">
        <v>608</v>
      </c>
      <c r="R270" t="s">
        <v>609</v>
      </c>
      <c r="S270" s="5">
        <v>17.25</v>
      </c>
      <c r="T270" s="3">
        <v>44959</v>
      </c>
      <c r="U270" s="3">
        <v>44969</v>
      </c>
      <c r="V270" t="s">
        <v>74</v>
      </c>
      <c r="W270">
        <f t="shared" si="22"/>
        <v>4361.607</v>
      </c>
      <c r="X270">
        <f t="shared" si="23"/>
        <v>5384.7000000000007</v>
      </c>
      <c r="Y270">
        <f t="shared" si="24"/>
        <v>1023.0930000000008</v>
      </c>
      <c r="Z270" s="8" t="str">
        <f t="shared" si="21"/>
        <v>Medium</v>
      </c>
      <c r="AA270" s="12">
        <f>DATE(YEAR(Table1[[#This Row],[OrderDate]]),MONTH(Table1[[#This Row],[OrderDate]]),1)</f>
        <v>44958</v>
      </c>
    </row>
    <row r="271" spans="1:27" x14ac:dyDescent="0.3">
      <c r="A271" s="3">
        <v>45070</v>
      </c>
      <c r="B271" t="s">
        <v>11</v>
      </c>
      <c r="C271" t="s">
        <v>35</v>
      </c>
      <c r="D271" t="str">
        <f>TRIM(Table1[[#This Row],[Product]])</f>
        <v>Tablet</v>
      </c>
      <c r="E271" t="str">
        <f>PROPER(Table1[[#This Row],[Column1]])</f>
        <v>Tablet</v>
      </c>
      <c r="F271" s="8" t="str">
        <f t="shared" si="20"/>
        <v>Technology</v>
      </c>
      <c r="G271" s="5">
        <v>15</v>
      </c>
      <c r="H271">
        <v>505.44</v>
      </c>
      <c r="I271" t="s">
        <v>64</v>
      </c>
      <c r="J271" t="s">
        <v>58</v>
      </c>
      <c r="K271" s="7">
        <v>0.1</v>
      </c>
      <c r="L271" t="s">
        <v>18</v>
      </c>
      <c r="M271" s="5">
        <v>6823.4400000000014</v>
      </c>
      <c r="N271" t="s">
        <v>59</v>
      </c>
      <c r="O271" t="s">
        <v>67</v>
      </c>
      <c r="P271" s="5">
        <v>0</v>
      </c>
      <c r="Q271" t="s">
        <v>610</v>
      </c>
      <c r="R271" t="s">
        <v>611</v>
      </c>
      <c r="S271" s="5">
        <v>37.5</v>
      </c>
      <c r="T271" s="3">
        <v>45070</v>
      </c>
      <c r="U271" s="3">
        <v>45078</v>
      </c>
      <c r="V271" t="s">
        <v>74</v>
      </c>
      <c r="W271">
        <f t="shared" si="22"/>
        <v>6141.0960000000014</v>
      </c>
      <c r="X271">
        <f t="shared" si="23"/>
        <v>7581.6</v>
      </c>
      <c r="Y271">
        <f t="shared" si="24"/>
        <v>1440.503999999999</v>
      </c>
      <c r="Z271" s="8" t="str">
        <f t="shared" si="21"/>
        <v>Medium</v>
      </c>
      <c r="AA271" s="12">
        <f>DATE(YEAR(Table1[[#This Row],[OrderDate]]),MONTH(Table1[[#This Row],[OrderDate]]),1)</f>
        <v>45047</v>
      </c>
    </row>
    <row r="272" spans="1:27" x14ac:dyDescent="0.3">
      <c r="A272" s="3">
        <v>45442</v>
      </c>
      <c r="B272" t="s">
        <v>13</v>
      </c>
      <c r="C272" t="s">
        <v>34</v>
      </c>
      <c r="D272" t="str">
        <f>TRIM(Table1[[#This Row],[Product]])</f>
        <v>Printer</v>
      </c>
      <c r="E272" t="str">
        <f>PROPER(Table1[[#This Row],[Column1]])</f>
        <v>Printer</v>
      </c>
      <c r="F272" s="8" t="str">
        <f t="shared" si="20"/>
        <v>Office Supplies</v>
      </c>
      <c r="G272" s="5">
        <v>4</v>
      </c>
      <c r="H272">
        <v>312.08999999999997</v>
      </c>
      <c r="I272" t="s">
        <v>78</v>
      </c>
      <c r="J272" t="s">
        <v>58</v>
      </c>
      <c r="K272" s="7">
        <v>0.15</v>
      </c>
      <c r="L272" t="s">
        <v>23</v>
      </c>
      <c r="M272" s="5">
        <v>1061.106</v>
      </c>
      <c r="N272" t="s">
        <v>85</v>
      </c>
      <c r="O272" t="s">
        <v>67</v>
      </c>
      <c r="P272" s="5">
        <v>1</v>
      </c>
      <c r="Q272" t="s">
        <v>612</v>
      </c>
      <c r="R272" t="s">
        <v>155</v>
      </c>
      <c r="S272" s="5">
        <v>17.989999999999998</v>
      </c>
      <c r="T272" s="3">
        <v>45442</v>
      </c>
      <c r="U272" s="3">
        <v>45449</v>
      </c>
      <c r="V272" t="s">
        <v>70</v>
      </c>
      <c r="W272">
        <f t="shared" si="22"/>
        <v>901.94009999999992</v>
      </c>
      <c r="X272">
        <f t="shared" si="23"/>
        <v>1248.3599999999999</v>
      </c>
      <c r="Y272">
        <f t="shared" si="24"/>
        <v>346.41989999999998</v>
      </c>
      <c r="Z272" s="8" t="str">
        <f t="shared" si="21"/>
        <v>High</v>
      </c>
      <c r="AA272" s="12">
        <f>DATE(YEAR(Table1[[#This Row],[OrderDate]]),MONTH(Table1[[#This Row],[OrderDate]]),1)</f>
        <v>45413</v>
      </c>
    </row>
    <row r="273" spans="1:27" x14ac:dyDescent="0.3">
      <c r="A273" s="3">
        <v>45314</v>
      </c>
      <c r="B273" t="s">
        <v>16</v>
      </c>
      <c r="C273" t="s">
        <v>30</v>
      </c>
      <c r="D273" t="str">
        <f>TRIM(Table1[[#This Row],[Product]])</f>
        <v>Desk</v>
      </c>
      <c r="E273" t="str">
        <f>PROPER(Table1[[#This Row],[Column1]])</f>
        <v>Desk</v>
      </c>
      <c r="F273" s="8" t="str">
        <f t="shared" si="20"/>
        <v>Furniture</v>
      </c>
      <c r="G273" s="5">
        <v>15</v>
      </c>
      <c r="H273">
        <v>579.58000000000004</v>
      </c>
      <c r="I273" t="s">
        <v>78</v>
      </c>
      <c r="J273" t="s">
        <v>65</v>
      </c>
      <c r="K273" s="7">
        <v>0.15</v>
      </c>
      <c r="L273" t="s">
        <v>25</v>
      </c>
      <c r="M273" s="5">
        <v>7389.6450000000004</v>
      </c>
      <c r="N273" t="s">
        <v>82</v>
      </c>
      <c r="P273" s="5">
        <v>0</v>
      </c>
      <c r="Q273" t="s">
        <v>613</v>
      </c>
      <c r="R273" t="s">
        <v>614</v>
      </c>
      <c r="S273" s="5">
        <v>31.22</v>
      </c>
      <c r="T273" s="3">
        <v>45314</v>
      </c>
      <c r="U273" s="3">
        <v>45322</v>
      </c>
      <c r="V273" t="s">
        <v>95</v>
      </c>
      <c r="W273">
        <f t="shared" si="22"/>
        <v>6281.1982500000004</v>
      </c>
      <c r="X273">
        <f t="shared" si="23"/>
        <v>8693.7000000000007</v>
      </c>
      <c r="Y273">
        <f t="shared" si="24"/>
        <v>2412.5017500000004</v>
      </c>
      <c r="Z273" s="8" t="str">
        <f t="shared" si="21"/>
        <v>High</v>
      </c>
      <c r="AA273" s="12">
        <f>DATE(YEAR(Table1[[#This Row],[OrderDate]]),MONTH(Table1[[#This Row],[OrderDate]]),1)</f>
        <v>45292</v>
      </c>
    </row>
    <row r="274" spans="1:27" x14ac:dyDescent="0.3">
      <c r="A274" s="3">
        <v>44963</v>
      </c>
      <c r="B274" t="s">
        <v>11</v>
      </c>
      <c r="C274" t="s">
        <v>29</v>
      </c>
      <c r="D274" t="str">
        <f>TRIM(Table1[[#This Row],[Product]])</f>
        <v>Chair</v>
      </c>
      <c r="E274" t="str">
        <f>PROPER(Table1[[#This Row],[Column1]])</f>
        <v>Chair</v>
      </c>
      <c r="F274" s="8" t="str">
        <f t="shared" si="20"/>
        <v>Furniture</v>
      </c>
      <c r="G274" s="5">
        <v>10</v>
      </c>
      <c r="H274">
        <v>217.43</v>
      </c>
      <c r="I274" t="s">
        <v>64</v>
      </c>
      <c r="J274" t="s">
        <v>65</v>
      </c>
      <c r="K274" s="7">
        <v>0.15</v>
      </c>
      <c r="L274" t="s">
        <v>19</v>
      </c>
      <c r="M274" s="5">
        <v>1848.155</v>
      </c>
      <c r="N274" t="s">
        <v>82</v>
      </c>
      <c r="O274" t="s">
        <v>60</v>
      </c>
      <c r="P274" s="5">
        <v>0</v>
      </c>
      <c r="Q274" t="s">
        <v>615</v>
      </c>
      <c r="R274" t="s">
        <v>616</v>
      </c>
      <c r="S274" s="5">
        <v>33.14</v>
      </c>
      <c r="T274" s="3">
        <v>44963</v>
      </c>
      <c r="U274" s="3">
        <v>44972</v>
      </c>
      <c r="V274" t="s">
        <v>74</v>
      </c>
      <c r="W274">
        <f t="shared" si="22"/>
        <v>1570.93175</v>
      </c>
      <c r="X274">
        <f t="shared" si="23"/>
        <v>2174.3000000000002</v>
      </c>
      <c r="Y274">
        <f t="shared" si="24"/>
        <v>603.36825000000022</v>
      </c>
      <c r="Z274" s="8" t="str">
        <f t="shared" si="21"/>
        <v>High</v>
      </c>
      <c r="AA274" s="12">
        <f>DATE(YEAR(Table1[[#This Row],[OrderDate]]),MONTH(Table1[[#This Row],[OrderDate]]),1)</f>
        <v>44958</v>
      </c>
    </row>
    <row r="275" spans="1:27" x14ac:dyDescent="0.3">
      <c r="A275" s="3">
        <v>45488</v>
      </c>
      <c r="B275" t="s">
        <v>16</v>
      </c>
      <c r="C275" t="s">
        <v>33</v>
      </c>
      <c r="D275" t="str">
        <f>TRIM(Table1[[#This Row],[Product]])</f>
        <v>Phone</v>
      </c>
      <c r="E275" t="str">
        <f>PROPER(Table1[[#This Row],[Column1]])</f>
        <v>Phone</v>
      </c>
      <c r="F275" s="8" t="str">
        <f t="shared" si="20"/>
        <v>Technology</v>
      </c>
      <c r="G275" s="5">
        <v>15</v>
      </c>
      <c r="H275">
        <v>476.15</v>
      </c>
      <c r="I275" t="s">
        <v>57</v>
      </c>
      <c r="J275" t="s">
        <v>58</v>
      </c>
      <c r="K275" s="7">
        <v>0.05</v>
      </c>
      <c r="L275" t="s">
        <v>21</v>
      </c>
      <c r="M275" s="5">
        <v>6785.1374999999998</v>
      </c>
      <c r="N275" t="s">
        <v>59</v>
      </c>
      <c r="O275" t="s">
        <v>67</v>
      </c>
      <c r="P275" s="5">
        <v>0</v>
      </c>
      <c r="Q275" t="s">
        <v>617</v>
      </c>
      <c r="R275" t="s">
        <v>618</v>
      </c>
      <c r="S275" s="5">
        <v>24.48</v>
      </c>
      <c r="T275" s="3">
        <v>45488</v>
      </c>
      <c r="U275" s="3">
        <v>45492</v>
      </c>
      <c r="V275" t="s">
        <v>95</v>
      </c>
      <c r="W275">
        <f t="shared" si="22"/>
        <v>6445.8806249999998</v>
      </c>
      <c r="X275">
        <f t="shared" si="23"/>
        <v>7142.25</v>
      </c>
      <c r="Y275">
        <f t="shared" si="24"/>
        <v>696.36937500000022</v>
      </c>
      <c r="Z275" s="8" t="str">
        <f t="shared" si="21"/>
        <v>Medium</v>
      </c>
      <c r="AA275" s="12">
        <f>DATE(YEAR(Table1[[#This Row],[OrderDate]]),MONTH(Table1[[#This Row],[OrderDate]]),1)</f>
        <v>45474</v>
      </c>
    </row>
    <row r="276" spans="1:27" x14ac:dyDescent="0.3">
      <c r="A276" s="3">
        <v>45722</v>
      </c>
      <c r="B276" t="s">
        <v>9</v>
      </c>
      <c r="C276" t="s">
        <v>29</v>
      </c>
      <c r="D276" t="str">
        <f>TRIM(Table1[[#This Row],[Product]])</f>
        <v>Chair</v>
      </c>
      <c r="E276" t="str">
        <f>PROPER(Table1[[#This Row],[Column1]])</f>
        <v>Chair</v>
      </c>
      <c r="F276" s="8" t="str">
        <f t="shared" si="20"/>
        <v>Furniture</v>
      </c>
      <c r="G276" s="5">
        <v>5</v>
      </c>
      <c r="H276">
        <v>89.03</v>
      </c>
      <c r="I276" t="s">
        <v>78</v>
      </c>
      <c r="J276" t="s">
        <v>58</v>
      </c>
      <c r="K276" s="7">
        <v>0.1</v>
      </c>
      <c r="L276" t="s">
        <v>27</v>
      </c>
      <c r="M276" s="5">
        <v>400.63499999999999</v>
      </c>
      <c r="N276" t="s">
        <v>85</v>
      </c>
      <c r="O276" t="s">
        <v>71</v>
      </c>
      <c r="P276" s="5">
        <v>0</v>
      </c>
      <c r="Q276" t="s">
        <v>619</v>
      </c>
      <c r="R276" t="s">
        <v>620</v>
      </c>
      <c r="S276" s="5">
        <v>22.42</v>
      </c>
      <c r="T276" s="3">
        <v>45722</v>
      </c>
      <c r="U276" s="3">
        <v>45732</v>
      </c>
      <c r="V276" t="s">
        <v>63</v>
      </c>
      <c r="W276">
        <f t="shared" si="22"/>
        <v>360.57150000000001</v>
      </c>
      <c r="X276">
        <f t="shared" si="23"/>
        <v>445.15</v>
      </c>
      <c r="Y276">
        <f t="shared" si="24"/>
        <v>84.578499999999963</v>
      </c>
      <c r="Z276" s="8" t="str">
        <f t="shared" si="21"/>
        <v>Medium</v>
      </c>
      <c r="AA276" s="12">
        <f>DATE(YEAR(Table1[[#This Row],[OrderDate]]),MONTH(Table1[[#This Row],[OrderDate]]),1)</f>
        <v>45717</v>
      </c>
    </row>
    <row r="277" spans="1:27" x14ac:dyDescent="0.3">
      <c r="A277" s="3">
        <v>45136</v>
      </c>
      <c r="B277" t="s">
        <v>7</v>
      </c>
      <c r="C277" t="s">
        <v>33</v>
      </c>
      <c r="D277" t="str">
        <f>TRIM(Table1[[#This Row],[Product]])</f>
        <v>Phone</v>
      </c>
      <c r="E277" t="str">
        <f>PROPER(Table1[[#This Row],[Column1]])</f>
        <v>Phone</v>
      </c>
      <c r="F277" s="8" t="str">
        <f t="shared" si="20"/>
        <v>Technology</v>
      </c>
      <c r="G277" s="5">
        <v>17</v>
      </c>
      <c r="H277">
        <v>6.88</v>
      </c>
      <c r="I277" t="s">
        <v>64</v>
      </c>
      <c r="J277" t="s">
        <v>65</v>
      </c>
      <c r="K277" s="7">
        <v>0.1</v>
      </c>
      <c r="L277" t="s">
        <v>27</v>
      </c>
      <c r="M277" s="5">
        <v>105.264</v>
      </c>
      <c r="N277" t="s">
        <v>66</v>
      </c>
      <c r="P277" s="5">
        <v>0</v>
      </c>
      <c r="Q277" t="s">
        <v>621</v>
      </c>
      <c r="R277" t="s">
        <v>622</v>
      </c>
      <c r="S277" s="5">
        <v>42.37</v>
      </c>
      <c r="T277" s="3">
        <v>45136</v>
      </c>
      <c r="U277" s="3">
        <v>45146</v>
      </c>
      <c r="V277" t="s">
        <v>77</v>
      </c>
      <c r="W277">
        <f t="shared" si="22"/>
        <v>94.7376</v>
      </c>
      <c r="X277">
        <f t="shared" si="23"/>
        <v>116.96</v>
      </c>
      <c r="Y277">
        <f t="shared" si="24"/>
        <v>22.222399999999993</v>
      </c>
      <c r="Z277" s="8" t="str">
        <f t="shared" si="21"/>
        <v>Medium</v>
      </c>
      <c r="AA277" s="12">
        <f>DATE(YEAR(Table1[[#This Row],[OrderDate]]),MONTH(Table1[[#This Row],[OrderDate]]),1)</f>
        <v>45108</v>
      </c>
    </row>
    <row r="278" spans="1:27" x14ac:dyDescent="0.3">
      <c r="A278" s="3">
        <v>45133</v>
      </c>
      <c r="B278" t="s">
        <v>11</v>
      </c>
      <c r="C278" t="s">
        <v>34</v>
      </c>
      <c r="D278" t="str">
        <f>TRIM(Table1[[#This Row],[Product]])</f>
        <v>Printer</v>
      </c>
      <c r="E278" t="str">
        <f>PROPER(Table1[[#This Row],[Column1]])</f>
        <v>Printer</v>
      </c>
      <c r="F278" s="8" t="str">
        <f t="shared" si="20"/>
        <v>Office Supplies</v>
      </c>
      <c r="G278" s="5">
        <v>6</v>
      </c>
      <c r="H278">
        <v>355.26</v>
      </c>
      <c r="I278" t="s">
        <v>81</v>
      </c>
      <c r="J278" t="s">
        <v>65</v>
      </c>
      <c r="K278" s="7">
        <v>0.1</v>
      </c>
      <c r="L278" t="s">
        <v>19</v>
      </c>
      <c r="M278" s="5">
        <v>1918.404</v>
      </c>
      <c r="N278" t="s">
        <v>59</v>
      </c>
      <c r="O278" t="s">
        <v>71</v>
      </c>
      <c r="P278" s="5">
        <v>0</v>
      </c>
      <c r="Q278" t="s">
        <v>623</v>
      </c>
      <c r="R278" t="s">
        <v>624</v>
      </c>
      <c r="S278" s="5">
        <v>30.49</v>
      </c>
      <c r="T278" s="3">
        <v>45133</v>
      </c>
      <c r="U278" s="3">
        <v>45136</v>
      </c>
      <c r="V278" t="s">
        <v>74</v>
      </c>
      <c r="W278">
        <f t="shared" si="22"/>
        <v>1726.5636</v>
      </c>
      <c r="X278">
        <f t="shared" si="23"/>
        <v>2131.56</v>
      </c>
      <c r="Y278">
        <f t="shared" si="24"/>
        <v>404.99639999999999</v>
      </c>
      <c r="Z278" s="8" t="str">
        <f t="shared" si="21"/>
        <v>Medium</v>
      </c>
      <c r="AA278" s="12">
        <f>DATE(YEAR(Table1[[#This Row],[OrderDate]]),MONTH(Table1[[#This Row],[OrderDate]]),1)</f>
        <v>45108</v>
      </c>
    </row>
    <row r="279" spans="1:27" x14ac:dyDescent="0.3">
      <c r="A279" s="3">
        <v>45392</v>
      </c>
      <c r="B279" t="s">
        <v>16</v>
      </c>
      <c r="C279" t="s">
        <v>35</v>
      </c>
      <c r="D279" t="str">
        <f>TRIM(Table1[[#This Row],[Product]])</f>
        <v>Tablet</v>
      </c>
      <c r="E279" t="str">
        <f>PROPER(Table1[[#This Row],[Column1]])</f>
        <v>Tablet</v>
      </c>
      <c r="F279" s="8" t="str">
        <f t="shared" si="20"/>
        <v>Technology</v>
      </c>
      <c r="G279" s="5">
        <v>8</v>
      </c>
      <c r="H279">
        <v>294.76</v>
      </c>
      <c r="I279" t="s">
        <v>78</v>
      </c>
      <c r="J279" t="s">
        <v>65</v>
      </c>
      <c r="K279" s="7">
        <v>0.1</v>
      </c>
      <c r="L279" t="s">
        <v>23</v>
      </c>
      <c r="M279" s="5">
        <v>2122.2719999999999</v>
      </c>
      <c r="N279" t="s">
        <v>59</v>
      </c>
      <c r="O279" t="s">
        <v>67</v>
      </c>
      <c r="P279" s="5">
        <v>0</v>
      </c>
      <c r="Q279" t="s">
        <v>625</v>
      </c>
      <c r="R279" t="s">
        <v>626</v>
      </c>
      <c r="S279" s="5">
        <v>36.04</v>
      </c>
      <c r="T279" s="3">
        <v>45392</v>
      </c>
      <c r="U279" s="3">
        <v>45395</v>
      </c>
      <c r="V279" t="s">
        <v>95</v>
      </c>
      <c r="W279">
        <f t="shared" si="22"/>
        <v>1910.0447999999999</v>
      </c>
      <c r="X279">
        <f t="shared" si="23"/>
        <v>2358.08</v>
      </c>
      <c r="Y279">
        <f t="shared" si="24"/>
        <v>448.03520000000003</v>
      </c>
      <c r="Z279" s="8" t="str">
        <f t="shared" si="21"/>
        <v>Medium</v>
      </c>
      <c r="AA279" s="12">
        <f>DATE(YEAR(Table1[[#This Row],[OrderDate]]),MONTH(Table1[[#This Row],[OrderDate]]),1)</f>
        <v>45383</v>
      </c>
    </row>
    <row r="280" spans="1:27" x14ac:dyDescent="0.3">
      <c r="A280" s="3">
        <v>45681</v>
      </c>
      <c r="B280" t="s">
        <v>11</v>
      </c>
      <c r="C280" t="s">
        <v>30</v>
      </c>
      <c r="D280" t="str">
        <f>TRIM(Table1[[#This Row],[Product]])</f>
        <v>Desk</v>
      </c>
      <c r="E280" t="str">
        <f>PROPER(Table1[[#This Row],[Column1]])</f>
        <v>Desk</v>
      </c>
      <c r="F280" s="8" t="str">
        <f t="shared" si="20"/>
        <v>Furniture</v>
      </c>
      <c r="G280" s="5">
        <v>16</v>
      </c>
      <c r="H280">
        <v>60.69</v>
      </c>
      <c r="I280" t="s">
        <v>64</v>
      </c>
      <c r="J280" t="s">
        <v>58</v>
      </c>
      <c r="K280" s="7">
        <v>0</v>
      </c>
      <c r="L280" t="s">
        <v>21</v>
      </c>
      <c r="M280" s="5">
        <v>971.04</v>
      </c>
      <c r="N280" t="s">
        <v>82</v>
      </c>
      <c r="O280" t="s">
        <v>71</v>
      </c>
      <c r="P280" s="5">
        <v>0</v>
      </c>
      <c r="Q280" t="s">
        <v>627</v>
      </c>
      <c r="R280" t="s">
        <v>628</v>
      </c>
      <c r="S280" s="5">
        <v>7.03</v>
      </c>
      <c r="T280" s="3">
        <v>45681</v>
      </c>
      <c r="U280" s="3">
        <v>45684</v>
      </c>
      <c r="V280" t="s">
        <v>74</v>
      </c>
      <c r="W280">
        <f t="shared" si="22"/>
        <v>971.04</v>
      </c>
      <c r="X280">
        <f t="shared" si="23"/>
        <v>971.04</v>
      </c>
      <c r="Y280">
        <f t="shared" si="24"/>
        <v>0</v>
      </c>
      <c r="Z280" s="8" t="str">
        <f t="shared" si="21"/>
        <v>No Discount</v>
      </c>
      <c r="AA280" s="12">
        <f>DATE(YEAR(Table1[[#This Row],[OrderDate]]),MONTH(Table1[[#This Row],[OrderDate]]),1)</f>
        <v>45658</v>
      </c>
    </row>
    <row r="281" spans="1:27" x14ac:dyDescent="0.3">
      <c r="A281" s="3">
        <v>45774</v>
      </c>
      <c r="B281" t="s">
        <v>16</v>
      </c>
      <c r="C281" t="s">
        <v>31</v>
      </c>
      <c r="D281" t="str">
        <f>TRIM(Table1[[#This Row],[Product]])</f>
        <v>Laptop</v>
      </c>
      <c r="E281" t="str">
        <f>PROPER(Table1[[#This Row],[Column1]])</f>
        <v>Laptop</v>
      </c>
      <c r="F281" s="8" t="str">
        <f t="shared" si="20"/>
        <v>Technology</v>
      </c>
      <c r="G281" s="5">
        <v>2</v>
      </c>
      <c r="H281">
        <v>559.63</v>
      </c>
      <c r="I281" t="s">
        <v>57</v>
      </c>
      <c r="J281" t="s">
        <v>58</v>
      </c>
      <c r="K281" s="7">
        <v>0.1</v>
      </c>
      <c r="L281" t="s">
        <v>23</v>
      </c>
      <c r="M281" s="5">
        <v>1007.3339999999999</v>
      </c>
      <c r="N281" t="s">
        <v>82</v>
      </c>
      <c r="O281" t="s">
        <v>71</v>
      </c>
      <c r="P281" s="5">
        <v>1</v>
      </c>
      <c r="Q281" t="s">
        <v>629</v>
      </c>
      <c r="R281" t="s">
        <v>630</v>
      </c>
      <c r="S281" s="5">
        <v>42.34</v>
      </c>
      <c r="T281" s="3">
        <v>45774</v>
      </c>
      <c r="U281" s="3">
        <v>45780</v>
      </c>
      <c r="V281" t="s">
        <v>95</v>
      </c>
      <c r="W281">
        <f t="shared" si="22"/>
        <v>906.60059999999999</v>
      </c>
      <c r="X281">
        <f t="shared" si="23"/>
        <v>1119.26</v>
      </c>
      <c r="Y281">
        <f t="shared" si="24"/>
        <v>212.65940000000001</v>
      </c>
      <c r="Z281" s="8" t="str">
        <f t="shared" si="21"/>
        <v>Medium</v>
      </c>
      <c r="AA281" s="12">
        <f>DATE(YEAR(Table1[[#This Row],[OrderDate]]),MONTH(Table1[[#This Row],[OrderDate]]),1)</f>
        <v>45748</v>
      </c>
    </row>
    <row r="282" spans="1:27" x14ac:dyDescent="0.3">
      <c r="A282" s="3">
        <v>45708</v>
      </c>
      <c r="B282" t="s">
        <v>9</v>
      </c>
      <c r="C282" t="s">
        <v>33</v>
      </c>
      <c r="D282" t="str">
        <f>TRIM(Table1[[#This Row],[Product]])</f>
        <v>Phone</v>
      </c>
      <c r="E282" t="str">
        <f>PROPER(Table1[[#This Row],[Column1]])</f>
        <v>Phone</v>
      </c>
      <c r="F282" s="8" t="str">
        <f t="shared" si="20"/>
        <v>Technology</v>
      </c>
      <c r="G282" s="5">
        <v>4</v>
      </c>
      <c r="H282">
        <v>232.66</v>
      </c>
      <c r="I282" t="s">
        <v>57</v>
      </c>
      <c r="J282" t="s">
        <v>58</v>
      </c>
      <c r="K282" s="7">
        <v>0.1</v>
      </c>
      <c r="L282" t="s">
        <v>27</v>
      </c>
      <c r="M282" s="5">
        <v>837.57600000000002</v>
      </c>
      <c r="N282" t="s">
        <v>59</v>
      </c>
      <c r="O282" t="s">
        <v>71</v>
      </c>
      <c r="P282" s="5">
        <v>0</v>
      </c>
      <c r="Q282" t="s">
        <v>631</v>
      </c>
      <c r="R282" t="s">
        <v>632</v>
      </c>
      <c r="S282" s="5">
        <v>11.88</v>
      </c>
      <c r="T282" s="3">
        <v>45708</v>
      </c>
      <c r="U282" s="3">
        <v>45711</v>
      </c>
      <c r="V282" t="s">
        <v>63</v>
      </c>
      <c r="W282">
        <f t="shared" si="22"/>
        <v>753.8184</v>
      </c>
      <c r="X282">
        <f t="shared" si="23"/>
        <v>930.64</v>
      </c>
      <c r="Y282">
        <f t="shared" si="24"/>
        <v>176.82159999999999</v>
      </c>
      <c r="Z282" s="8" t="str">
        <f t="shared" si="21"/>
        <v>Medium</v>
      </c>
      <c r="AA282" s="12">
        <f>DATE(YEAR(Table1[[#This Row],[OrderDate]]),MONTH(Table1[[#This Row],[OrderDate]]),1)</f>
        <v>45689</v>
      </c>
    </row>
    <row r="283" spans="1:27" x14ac:dyDescent="0.3">
      <c r="A283" s="3">
        <v>45183</v>
      </c>
      <c r="B283" t="s">
        <v>11</v>
      </c>
      <c r="C283" t="s">
        <v>34</v>
      </c>
      <c r="D283" t="str">
        <f>TRIM(Table1[[#This Row],[Product]])</f>
        <v>Printer</v>
      </c>
      <c r="E283" t="str">
        <f>PROPER(Table1[[#This Row],[Column1]])</f>
        <v>Printer</v>
      </c>
      <c r="F283" s="8" t="str">
        <f t="shared" si="20"/>
        <v>Office Supplies</v>
      </c>
      <c r="G283" s="5">
        <v>10</v>
      </c>
      <c r="H283">
        <v>230.87</v>
      </c>
      <c r="I283" t="s">
        <v>64</v>
      </c>
      <c r="J283" t="s">
        <v>65</v>
      </c>
      <c r="K283" s="7">
        <v>0.15</v>
      </c>
      <c r="L283" t="s">
        <v>19</v>
      </c>
      <c r="M283" s="5">
        <v>1962.395</v>
      </c>
      <c r="N283" t="s">
        <v>85</v>
      </c>
      <c r="O283" t="s">
        <v>67</v>
      </c>
      <c r="P283" s="5">
        <v>0</v>
      </c>
      <c r="Q283" t="s">
        <v>633</v>
      </c>
      <c r="R283" t="s">
        <v>523</v>
      </c>
      <c r="S283" s="5">
        <v>28.33</v>
      </c>
      <c r="T283" s="3">
        <v>45183</v>
      </c>
      <c r="U283" s="3">
        <v>45188</v>
      </c>
      <c r="V283" t="s">
        <v>74</v>
      </c>
      <c r="W283">
        <f t="shared" si="22"/>
        <v>1668.03575</v>
      </c>
      <c r="X283">
        <f t="shared" si="23"/>
        <v>2308.6999999999998</v>
      </c>
      <c r="Y283">
        <f t="shared" si="24"/>
        <v>640.66424999999981</v>
      </c>
      <c r="Z283" s="8" t="str">
        <f t="shared" si="21"/>
        <v>High</v>
      </c>
      <c r="AA283" s="12">
        <f>DATE(YEAR(Table1[[#This Row],[OrderDate]]),MONTH(Table1[[#This Row],[OrderDate]]),1)</f>
        <v>45170</v>
      </c>
    </row>
    <row r="284" spans="1:27" x14ac:dyDescent="0.3">
      <c r="A284" s="3">
        <v>45399</v>
      </c>
      <c r="B284" t="s">
        <v>16</v>
      </c>
      <c r="C284" t="s">
        <v>35</v>
      </c>
      <c r="D284" t="str">
        <f>TRIM(Table1[[#This Row],[Product]])</f>
        <v>Tablet</v>
      </c>
      <c r="E284" t="str">
        <f>PROPER(Table1[[#This Row],[Column1]])</f>
        <v>Tablet</v>
      </c>
      <c r="F284" s="8" t="str">
        <f t="shared" si="20"/>
        <v>Technology</v>
      </c>
      <c r="G284" s="5">
        <v>7</v>
      </c>
      <c r="H284">
        <v>353.9</v>
      </c>
      <c r="I284" t="s">
        <v>78</v>
      </c>
      <c r="J284" t="s">
        <v>58</v>
      </c>
      <c r="K284" s="7">
        <v>0.15</v>
      </c>
      <c r="L284" t="s">
        <v>18</v>
      </c>
      <c r="M284" s="5">
        <v>2105.7049999999999</v>
      </c>
      <c r="N284" t="s">
        <v>85</v>
      </c>
      <c r="O284" t="s">
        <v>67</v>
      </c>
      <c r="P284" s="5">
        <v>1</v>
      </c>
      <c r="Q284" t="s">
        <v>634</v>
      </c>
      <c r="R284" t="s">
        <v>635</v>
      </c>
      <c r="S284" s="5">
        <v>15.74</v>
      </c>
      <c r="T284" s="3">
        <v>45399</v>
      </c>
      <c r="U284" s="3">
        <v>45409</v>
      </c>
      <c r="V284" t="s">
        <v>95</v>
      </c>
      <c r="W284">
        <f t="shared" si="22"/>
        <v>1789.84925</v>
      </c>
      <c r="X284">
        <f t="shared" si="23"/>
        <v>2477.2999999999997</v>
      </c>
      <c r="Y284">
        <f t="shared" si="24"/>
        <v>687.45074999999974</v>
      </c>
      <c r="Z284" s="8" t="str">
        <f t="shared" si="21"/>
        <v>High</v>
      </c>
      <c r="AA284" s="12">
        <f>DATE(YEAR(Table1[[#This Row],[OrderDate]]),MONTH(Table1[[#This Row],[OrderDate]]),1)</f>
        <v>45383</v>
      </c>
    </row>
    <row r="285" spans="1:27" x14ac:dyDescent="0.3">
      <c r="A285" s="3">
        <v>45610</v>
      </c>
      <c r="B285" t="s">
        <v>7</v>
      </c>
      <c r="C285" t="s">
        <v>35</v>
      </c>
      <c r="D285" t="str">
        <f>TRIM(Table1[[#This Row],[Product]])</f>
        <v>Tablet</v>
      </c>
      <c r="E285" t="str">
        <f>PROPER(Table1[[#This Row],[Column1]])</f>
        <v>Tablet</v>
      </c>
      <c r="F285" s="8" t="str">
        <f t="shared" si="20"/>
        <v>Technology</v>
      </c>
      <c r="G285" s="5">
        <v>12</v>
      </c>
      <c r="H285">
        <v>561.07000000000005</v>
      </c>
      <c r="I285" t="s">
        <v>64</v>
      </c>
      <c r="J285" t="s">
        <v>65</v>
      </c>
      <c r="K285" s="7">
        <v>0</v>
      </c>
      <c r="L285" t="s">
        <v>18</v>
      </c>
      <c r="M285" s="5">
        <v>6732.84</v>
      </c>
      <c r="N285" t="s">
        <v>66</v>
      </c>
      <c r="P285" s="5">
        <v>0</v>
      </c>
      <c r="Q285" t="s">
        <v>636</v>
      </c>
      <c r="R285" t="s">
        <v>637</v>
      </c>
      <c r="S285" s="5">
        <v>35.020000000000003</v>
      </c>
      <c r="T285" s="3">
        <v>45610</v>
      </c>
      <c r="U285" s="3">
        <v>45614</v>
      </c>
      <c r="V285" t="s">
        <v>77</v>
      </c>
      <c r="W285">
        <f t="shared" si="22"/>
        <v>6732.84</v>
      </c>
      <c r="X285">
        <f t="shared" si="23"/>
        <v>6732.84</v>
      </c>
      <c r="Y285">
        <f t="shared" si="24"/>
        <v>0</v>
      </c>
      <c r="Z285" s="8" t="str">
        <f t="shared" si="21"/>
        <v>No Discount</v>
      </c>
      <c r="AA285" s="12">
        <f>DATE(YEAR(Table1[[#This Row],[OrderDate]]),MONTH(Table1[[#This Row],[OrderDate]]),1)</f>
        <v>45597</v>
      </c>
    </row>
    <row r="286" spans="1:27" x14ac:dyDescent="0.3">
      <c r="A286" s="3">
        <v>45498</v>
      </c>
      <c r="B286" t="s">
        <v>11</v>
      </c>
      <c r="C286" t="s">
        <v>29</v>
      </c>
      <c r="D286" t="str">
        <f>TRIM(Table1[[#This Row],[Product]])</f>
        <v>Chair</v>
      </c>
      <c r="E286" t="str">
        <f>PROPER(Table1[[#This Row],[Column1]])</f>
        <v>Chair</v>
      </c>
      <c r="F286" s="8" t="str">
        <f t="shared" si="20"/>
        <v>Furniture</v>
      </c>
      <c r="G286" s="5">
        <v>15</v>
      </c>
      <c r="H286">
        <v>247.21</v>
      </c>
      <c r="I286" t="s">
        <v>81</v>
      </c>
      <c r="J286" t="s">
        <v>58</v>
      </c>
      <c r="K286" s="7">
        <v>0.1</v>
      </c>
      <c r="L286" t="s">
        <v>19</v>
      </c>
      <c r="M286" s="5">
        <v>3337.335</v>
      </c>
      <c r="N286" t="s">
        <v>66</v>
      </c>
      <c r="P286" s="5">
        <v>0</v>
      </c>
      <c r="Q286" t="s">
        <v>638</v>
      </c>
      <c r="R286" t="s">
        <v>639</v>
      </c>
      <c r="S286" s="5">
        <v>45.42</v>
      </c>
      <c r="T286" s="3">
        <v>45498</v>
      </c>
      <c r="U286" s="3">
        <v>45500</v>
      </c>
      <c r="V286" t="s">
        <v>74</v>
      </c>
      <c r="W286">
        <f t="shared" si="22"/>
        <v>3003.6015000000002</v>
      </c>
      <c r="X286">
        <f t="shared" si="23"/>
        <v>3708.15</v>
      </c>
      <c r="Y286">
        <f t="shared" si="24"/>
        <v>704.54849999999988</v>
      </c>
      <c r="Z286" s="8" t="str">
        <f t="shared" si="21"/>
        <v>Medium</v>
      </c>
      <c r="AA286" s="12">
        <f>DATE(YEAR(Table1[[#This Row],[OrderDate]]),MONTH(Table1[[#This Row],[OrderDate]]),1)</f>
        <v>45474</v>
      </c>
    </row>
    <row r="287" spans="1:27" x14ac:dyDescent="0.3">
      <c r="A287" s="3">
        <v>45509</v>
      </c>
      <c r="B287" t="s">
        <v>9</v>
      </c>
      <c r="C287" t="s">
        <v>33</v>
      </c>
      <c r="D287" t="str">
        <f>TRIM(Table1[[#This Row],[Product]])</f>
        <v>Phone</v>
      </c>
      <c r="E287" t="str">
        <f>PROPER(Table1[[#This Row],[Column1]])</f>
        <v>Phone</v>
      </c>
      <c r="F287" s="8" t="str">
        <f t="shared" si="20"/>
        <v>Technology</v>
      </c>
      <c r="G287" s="5">
        <v>19</v>
      </c>
      <c r="H287">
        <v>271.22000000000003</v>
      </c>
      <c r="I287" t="s">
        <v>64</v>
      </c>
      <c r="J287" t="s">
        <v>58</v>
      </c>
      <c r="K287" s="7">
        <v>0.1</v>
      </c>
      <c r="L287" t="s">
        <v>18</v>
      </c>
      <c r="M287" s="5">
        <v>4637.8620000000001</v>
      </c>
      <c r="N287" t="s">
        <v>82</v>
      </c>
      <c r="O287" t="s">
        <v>71</v>
      </c>
      <c r="P287" s="5">
        <v>0</v>
      </c>
      <c r="Q287" t="s">
        <v>640</v>
      </c>
      <c r="R287" t="s">
        <v>641</v>
      </c>
      <c r="S287" s="5">
        <v>35.33</v>
      </c>
      <c r="T287" s="3">
        <v>45509</v>
      </c>
      <c r="U287" s="3">
        <v>45519</v>
      </c>
      <c r="V287" t="s">
        <v>63</v>
      </c>
      <c r="W287">
        <f t="shared" si="22"/>
        <v>4174.0758000000005</v>
      </c>
      <c r="X287">
        <f t="shared" si="23"/>
        <v>5153.18</v>
      </c>
      <c r="Y287">
        <f t="shared" si="24"/>
        <v>979.10419999999976</v>
      </c>
      <c r="Z287" s="8" t="str">
        <f t="shared" si="21"/>
        <v>Medium</v>
      </c>
      <c r="AA287" s="12">
        <f>DATE(YEAR(Table1[[#This Row],[OrderDate]]),MONTH(Table1[[#This Row],[OrderDate]]),1)</f>
        <v>45505</v>
      </c>
    </row>
    <row r="288" spans="1:27" x14ac:dyDescent="0.3">
      <c r="A288" s="3">
        <v>45680</v>
      </c>
      <c r="B288" t="s">
        <v>16</v>
      </c>
      <c r="C288" t="s">
        <v>31</v>
      </c>
      <c r="D288" t="str">
        <f>TRIM(Table1[[#This Row],[Product]])</f>
        <v>Laptop</v>
      </c>
      <c r="E288" t="str">
        <f>PROPER(Table1[[#This Row],[Column1]])</f>
        <v>Laptop</v>
      </c>
      <c r="F288" s="8" t="str">
        <f t="shared" si="20"/>
        <v>Technology</v>
      </c>
      <c r="G288" s="5">
        <v>6</v>
      </c>
      <c r="H288">
        <v>532.54</v>
      </c>
      <c r="I288" t="s">
        <v>64</v>
      </c>
      <c r="J288" t="s">
        <v>58</v>
      </c>
      <c r="K288" s="7">
        <v>0</v>
      </c>
      <c r="L288" t="s">
        <v>23</v>
      </c>
      <c r="M288" s="5">
        <v>3195.24</v>
      </c>
      <c r="N288" t="s">
        <v>85</v>
      </c>
      <c r="P288" s="5">
        <v>1</v>
      </c>
      <c r="Q288" t="s">
        <v>642</v>
      </c>
      <c r="R288" t="s">
        <v>643</v>
      </c>
      <c r="S288" s="5">
        <v>25.09</v>
      </c>
      <c r="T288" s="3">
        <v>45680</v>
      </c>
      <c r="U288" s="3">
        <v>45690</v>
      </c>
      <c r="V288" t="s">
        <v>95</v>
      </c>
      <c r="W288">
        <f t="shared" si="22"/>
        <v>3195.24</v>
      </c>
      <c r="X288">
        <f t="shared" si="23"/>
        <v>3195.24</v>
      </c>
      <c r="Y288">
        <f t="shared" si="24"/>
        <v>0</v>
      </c>
      <c r="Z288" s="8" t="str">
        <f t="shared" si="21"/>
        <v>No Discount</v>
      </c>
      <c r="AA288" s="12">
        <f>DATE(YEAR(Table1[[#This Row],[OrderDate]]),MONTH(Table1[[#This Row],[OrderDate]]),1)</f>
        <v>45658</v>
      </c>
    </row>
    <row r="289" spans="1:27" x14ac:dyDescent="0.3">
      <c r="A289" s="3">
        <v>45774</v>
      </c>
      <c r="B289" t="s">
        <v>16</v>
      </c>
      <c r="C289" t="s">
        <v>34</v>
      </c>
      <c r="D289" t="str">
        <f>TRIM(Table1[[#This Row],[Product]])</f>
        <v>Printer</v>
      </c>
      <c r="E289" t="str">
        <f>PROPER(Table1[[#This Row],[Column1]])</f>
        <v>Printer</v>
      </c>
      <c r="F289" s="8" t="str">
        <f t="shared" si="20"/>
        <v>Office Supplies</v>
      </c>
      <c r="G289" s="5">
        <v>16</v>
      </c>
      <c r="H289">
        <v>329.54</v>
      </c>
      <c r="I289" t="s">
        <v>64</v>
      </c>
      <c r="J289" t="s">
        <v>58</v>
      </c>
      <c r="K289" s="7">
        <v>0.15</v>
      </c>
      <c r="L289" t="s">
        <v>19</v>
      </c>
      <c r="M289" s="5">
        <v>4481.7440000000006</v>
      </c>
      <c r="N289" t="s">
        <v>85</v>
      </c>
      <c r="O289" t="s">
        <v>60</v>
      </c>
      <c r="P289" s="5">
        <v>1</v>
      </c>
      <c r="Q289" t="s">
        <v>644</v>
      </c>
      <c r="R289" t="s">
        <v>645</v>
      </c>
      <c r="S289" s="5">
        <v>39.39</v>
      </c>
      <c r="T289" s="3">
        <v>45774</v>
      </c>
      <c r="U289" s="3">
        <v>45780</v>
      </c>
      <c r="V289" t="s">
        <v>95</v>
      </c>
      <c r="W289">
        <f t="shared" si="22"/>
        <v>3809.4824000000003</v>
      </c>
      <c r="X289">
        <f t="shared" si="23"/>
        <v>5272.64</v>
      </c>
      <c r="Y289">
        <f t="shared" si="24"/>
        <v>1463.1576</v>
      </c>
      <c r="Z289" s="8" t="str">
        <f t="shared" si="21"/>
        <v>High</v>
      </c>
      <c r="AA289" s="12">
        <f>DATE(YEAR(Table1[[#This Row],[OrderDate]]),MONTH(Table1[[#This Row],[OrderDate]]),1)</f>
        <v>45748</v>
      </c>
    </row>
    <row r="290" spans="1:27" x14ac:dyDescent="0.3">
      <c r="A290" s="3">
        <v>45555</v>
      </c>
      <c r="B290" t="s">
        <v>13</v>
      </c>
      <c r="C290" t="s">
        <v>33</v>
      </c>
      <c r="D290" t="str">
        <f>TRIM(Table1[[#This Row],[Product]])</f>
        <v>Phone</v>
      </c>
      <c r="E290" t="str">
        <f>PROPER(Table1[[#This Row],[Column1]])</f>
        <v>Phone</v>
      </c>
      <c r="F290" s="8" t="str">
        <f t="shared" si="20"/>
        <v>Technology</v>
      </c>
      <c r="G290" s="5">
        <v>6</v>
      </c>
      <c r="H290">
        <v>170.1</v>
      </c>
      <c r="I290" t="s">
        <v>64</v>
      </c>
      <c r="J290" t="s">
        <v>65</v>
      </c>
      <c r="K290" s="7">
        <v>0</v>
      </c>
      <c r="L290" t="s">
        <v>25</v>
      </c>
      <c r="M290" s="5">
        <v>1020.6</v>
      </c>
      <c r="N290" t="s">
        <v>66</v>
      </c>
      <c r="O290" t="s">
        <v>60</v>
      </c>
      <c r="P290" s="5">
        <v>0</v>
      </c>
      <c r="Q290" t="s">
        <v>646</v>
      </c>
      <c r="R290" t="s">
        <v>647</v>
      </c>
      <c r="S290" s="5">
        <v>38.61</v>
      </c>
      <c r="T290" s="3">
        <v>45555</v>
      </c>
      <c r="U290" s="3">
        <v>45558</v>
      </c>
      <c r="V290" t="s">
        <v>70</v>
      </c>
      <c r="W290">
        <f t="shared" si="22"/>
        <v>1020.6</v>
      </c>
      <c r="X290">
        <f t="shared" si="23"/>
        <v>1020.5999999999999</v>
      </c>
      <c r="Y290">
        <f t="shared" si="24"/>
        <v>0</v>
      </c>
      <c r="Z290" s="8" t="str">
        <f t="shared" si="21"/>
        <v>No Discount</v>
      </c>
      <c r="AA290" s="12">
        <f>DATE(YEAR(Table1[[#This Row],[OrderDate]]),MONTH(Table1[[#This Row],[OrderDate]]),1)</f>
        <v>45536</v>
      </c>
    </row>
    <row r="291" spans="1:27" x14ac:dyDescent="0.3">
      <c r="A291" s="3">
        <v>45177</v>
      </c>
      <c r="B291" t="s">
        <v>16</v>
      </c>
      <c r="C291" t="s">
        <v>31</v>
      </c>
      <c r="D291" t="str">
        <f>TRIM(Table1[[#This Row],[Product]])</f>
        <v>Laptop</v>
      </c>
      <c r="E291" t="str">
        <f>PROPER(Table1[[#This Row],[Column1]])</f>
        <v>Laptop</v>
      </c>
      <c r="F291" s="8" t="str">
        <f t="shared" si="20"/>
        <v>Technology</v>
      </c>
      <c r="G291" s="5">
        <v>19</v>
      </c>
      <c r="H291">
        <v>212.83</v>
      </c>
      <c r="I291" t="s">
        <v>81</v>
      </c>
      <c r="J291" t="s">
        <v>58</v>
      </c>
      <c r="K291" s="7">
        <v>0.15</v>
      </c>
      <c r="L291" t="s">
        <v>21</v>
      </c>
      <c r="M291" s="5">
        <v>3437.2044999999998</v>
      </c>
      <c r="N291" t="s">
        <v>59</v>
      </c>
      <c r="O291" t="s">
        <v>71</v>
      </c>
      <c r="P291" s="5">
        <v>0</v>
      </c>
      <c r="Q291" t="s">
        <v>648</v>
      </c>
      <c r="R291" t="s">
        <v>649</v>
      </c>
      <c r="S291" s="5">
        <v>42.88</v>
      </c>
      <c r="T291" s="3">
        <v>45177</v>
      </c>
      <c r="U291" s="3">
        <v>45184</v>
      </c>
      <c r="V291" t="s">
        <v>95</v>
      </c>
      <c r="W291">
        <f t="shared" si="22"/>
        <v>2921.6238249999997</v>
      </c>
      <c r="X291">
        <f t="shared" si="23"/>
        <v>4043.7700000000004</v>
      </c>
      <c r="Y291">
        <f t="shared" si="24"/>
        <v>1122.1461750000008</v>
      </c>
      <c r="Z291" s="8" t="str">
        <f t="shared" si="21"/>
        <v>High</v>
      </c>
      <c r="AA291" s="12">
        <f>DATE(YEAR(Table1[[#This Row],[OrderDate]]),MONTH(Table1[[#This Row],[OrderDate]]),1)</f>
        <v>45170</v>
      </c>
    </row>
    <row r="292" spans="1:27" x14ac:dyDescent="0.3">
      <c r="A292" s="3">
        <v>45767</v>
      </c>
      <c r="B292" t="s">
        <v>13</v>
      </c>
      <c r="C292" t="s">
        <v>31</v>
      </c>
      <c r="D292" t="str">
        <f>TRIM(Table1[[#This Row],[Product]])</f>
        <v>Laptop</v>
      </c>
      <c r="E292" t="str">
        <f>PROPER(Table1[[#This Row],[Column1]])</f>
        <v>Laptop</v>
      </c>
      <c r="F292" s="8" t="str">
        <f t="shared" si="20"/>
        <v>Technology</v>
      </c>
      <c r="G292" s="5">
        <v>5</v>
      </c>
      <c r="H292">
        <v>578.91999999999996</v>
      </c>
      <c r="I292" t="s">
        <v>64</v>
      </c>
      <c r="J292" t="s">
        <v>58</v>
      </c>
      <c r="K292" s="7">
        <v>0</v>
      </c>
      <c r="L292" t="s">
        <v>19</v>
      </c>
      <c r="M292" s="5">
        <v>2894.6</v>
      </c>
      <c r="N292" t="s">
        <v>82</v>
      </c>
      <c r="P292" s="5">
        <v>1</v>
      </c>
      <c r="Q292" t="s">
        <v>650</v>
      </c>
      <c r="R292" t="s">
        <v>651</v>
      </c>
      <c r="S292" s="5">
        <v>44.09</v>
      </c>
      <c r="T292" s="3">
        <v>45767</v>
      </c>
      <c r="U292" s="3">
        <v>45775</v>
      </c>
      <c r="V292" t="s">
        <v>70</v>
      </c>
      <c r="W292">
        <f t="shared" si="22"/>
        <v>2894.6</v>
      </c>
      <c r="X292">
        <f t="shared" si="23"/>
        <v>2894.6</v>
      </c>
      <c r="Y292">
        <f t="shared" si="24"/>
        <v>0</v>
      </c>
      <c r="Z292" s="8" t="str">
        <f t="shared" si="21"/>
        <v>No Discount</v>
      </c>
      <c r="AA292" s="12">
        <f>DATE(YEAR(Table1[[#This Row],[OrderDate]]),MONTH(Table1[[#This Row],[OrderDate]]),1)</f>
        <v>45748</v>
      </c>
    </row>
    <row r="293" spans="1:27" x14ac:dyDescent="0.3">
      <c r="A293" s="3">
        <v>45463</v>
      </c>
      <c r="B293" t="s">
        <v>11</v>
      </c>
      <c r="C293" t="s">
        <v>33</v>
      </c>
      <c r="D293" t="str">
        <f>TRIM(Table1[[#This Row],[Product]])</f>
        <v>Phone</v>
      </c>
      <c r="E293" t="str">
        <f>PROPER(Table1[[#This Row],[Column1]])</f>
        <v>Phone</v>
      </c>
      <c r="F293" s="8" t="str">
        <f t="shared" si="20"/>
        <v>Technology</v>
      </c>
      <c r="G293" s="5">
        <v>3</v>
      </c>
      <c r="H293">
        <v>456.92</v>
      </c>
      <c r="I293" t="s">
        <v>78</v>
      </c>
      <c r="J293" t="s">
        <v>65</v>
      </c>
      <c r="K293" s="7">
        <v>0.1</v>
      </c>
      <c r="L293" t="s">
        <v>27</v>
      </c>
      <c r="M293" s="5">
        <v>1233.684</v>
      </c>
      <c r="N293" t="s">
        <v>66</v>
      </c>
      <c r="O293" t="s">
        <v>60</v>
      </c>
      <c r="P293" s="5">
        <v>0</v>
      </c>
      <c r="Q293" t="s">
        <v>652</v>
      </c>
      <c r="R293" t="s">
        <v>653</v>
      </c>
      <c r="S293" s="5">
        <v>17.57</v>
      </c>
      <c r="T293" s="3">
        <v>45463</v>
      </c>
      <c r="U293" s="3">
        <v>45470</v>
      </c>
      <c r="V293" t="s">
        <v>74</v>
      </c>
      <c r="W293">
        <f t="shared" si="22"/>
        <v>1110.3155999999999</v>
      </c>
      <c r="X293">
        <f t="shared" si="23"/>
        <v>1370.76</v>
      </c>
      <c r="Y293">
        <f t="shared" si="24"/>
        <v>260.44440000000009</v>
      </c>
      <c r="Z293" s="8" t="str">
        <f t="shared" si="21"/>
        <v>Medium</v>
      </c>
      <c r="AA293" s="12">
        <f>DATE(YEAR(Table1[[#This Row],[OrderDate]]),MONTH(Table1[[#This Row],[OrderDate]]),1)</f>
        <v>45444</v>
      </c>
    </row>
    <row r="294" spans="1:27" x14ac:dyDescent="0.3">
      <c r="A294" s="3">
        <v>44937</v>
      </c>
      <c r="B294" t="s">
        <v>9</v>
      </c>
      <c r="C294" t="s">
        <v>35</v>
      </c>
      <c r="D294" t="str">
        <f>TRIM(Table1[[#This Row],[Product]])</f>
        <v>Tablet</v>
      </c>
      <c r="E294" t="str">
        <f>PROPER(Table1[[#This Row],[Column1]])</f>
        <v>Tablet</v>
      </c>
      <c r="F294" s="8" t="str">
        <f t="shared" si="20"/>
        <v>Technology</v>
      </c>
      <c r="G294" s="5">
        <v>12</v>
      </c>
      <c r="H294">
        <v>521.53</v>
      </c>
      <c r="I294" t="s">
        <v>81</v>
      </c>
      <c r="J294" t="s">
        <v>65</v>
      </c>
      <c r="K294" s="7">
        <v>0</v>
      </c>
      <c r="L294" t="s">
        <v>25</v>
      </c>
      <c r="M294" s="5">
        <v>6258.36</v>
      </c>
      <c r="N294" t="s">
        <v>82</v>
      </c>
      <c r="O294" t="s">
        <v>67</v>
      </c>
      <c r="P294" s="5">
        <v>1</v>
      </c>
      <c r="Q294" t="s">
        <v>654</v>
      </c>
      <c r="R294" t="s">
        <v>655</v>
      </c>
      <c r="S294" s="5">
        <v>49.59</v>
      </c>
      <c r="T294" s="3">
        <v>44937</v>
      </c>
      <c r="U294" s="3">
        <v>44946</v>
      </c>
      <c r="V294" t="s">
        <v>63</v>
      </c>
      <c r="W294">
        <f t="shared" si="22"/>
        <v>6258.36</v>
      </c>
      <c r="X294">
        <f t="shared" si="23"/>
        <v>6258.36</v>
      </c>
      <c r="Y294">
        <f t="shared" si="24"/>
        <v>0</v>
      </c>
      <c r="Z294" s="8" t="str">
        <f t="shared" si="21"/>
        <v>No Discount</v>
      </c>
      <c r="AA294" s="12">
        <f>DATE(YEAR(Table1[[#This Row],[OrderDate]]),MONTH(Table1[[#This Row],[OrderDate]]),1)</f>
        <v>44927</v>
      </c>
    </row>
    <row r="295" spans="1:27" x14ac:dyDescent="0.3">
      <c r="A295" s="3">
        <v>45111</v>
      </c>
      <c r="B295" t="s">
        <v>11</v>
      </c>
      <c r="C295" t="s">
        <v>30</v>
      </c>
      <c r="D295" t="str">
        <f>TRIM(Table1[[#This Row],[Product]])</f>
        <v>Desk</v>
      </c>
      <c r="E295" t="str">
        <f>PROPER(Table1[[#This Row],[Column1]])</f>
        <v>Desk</v>
      </c>
      <c r="F295" s="8" t="str">
        <f t="shared" si="20"/>
        <v>Furniture</v>
      </c>
      <c r="G295" s="5">
        <v>17</v>
      </c>
      <c r="H295">
        <v>468.19</v>
      </c>
      <c r="I295" t="s">
        <v>81</v>
      </c>
      <c r="J295" t="s">
        <v>65</v>
      </c>
      <c r="K295" s="7">
        <v>0.05</v>
      </c>
      <c r="L295" t="s">
        <v>23</v>
      </c>
      <c r="M295" s="5">
        <v>7561.2684999999992</v>
      </c>
      <c r="N295" t="s">
        <v>88</v>
      </c>
      <c r="P295" s="5">
        <v>0</v>
      </c>
      <c r="Q295" t="s">
        <v>656</v>
      </c>
      <c r="R295" t="s">
        <v>657</v>
      </c>
      <c r="S295" s="5">
        <v>13.84</v>
      </c>
      <c r="T295" s="3">
        <v>45111</v>
      </c>
      <c r="U295" s="3">
        <v>45114</v>
      </c>
      <c r="V295" t="s">
        <v>74</v>
      </c>
      <c r="W295">
        <f t="shared" si="22"/>
        <v>7183.2050749999989</v>
      </c>
      <c r="X295">
        <f t="shared" si="23"/>
        <v>7959.23</v>
      </c>
      <c r="Y295">
        <f t="shared" si="24"/>
        <v>776.02492500000062</v>
      </c>
      <c r="Z295" s="8" t="str">
        <f t="shared" si="21"/>
        <v>Medium</v>
      </c>
      <c r="AA295" s="12">
        <f>DATE(YEAR(Table1[[#This Row],[OrderDate]]),MONTH(Table1[[#This Row],[OrderDate]]),1)</f>
        <v>45108</v>
      </c>
    </row>
    <row r="296" spans="1:27" x14ac:dyDescent="0.3">
      <c r="A296" s="3">
        <v>45724</v>
      </c>
      <c r="B296" t="s">
        <v>7</v>
      </c>
      <c r="C296" t="s">
        <v>32</v>
      </c>
      <c r="D296" t="str">
        <f>TRIM(Table1[[#This Row],[Product]])</f>
        <v>Monitor</v>
      </c>
      <c r="E296" t="str">
        <f>PROPER(Table1[[#This Row],[Column1]])</f>
        <v>Monitor</v>
      </c>
      <c r="F296" s="8" t="str">
        <f t="shared" si="20"/>
        <v>Technology</v>
      </c>
      <c r="G296" s="5">
        <v>9</v>
      </c>
      <c r="H296">
        <v>8.81</v>
      </c>
      <c r="I296" t="s">
        <v>81</v>
      </c>
      <c r="J296" t="s">
        <v>65</v>
      </c>
      <c r="K296" s="7">
        <v>0.15</v>
      </c>
      <c r="L296" t="s">
        <v>18</v>
      </c>
      <c r="M296" s="5">
        <v>67.396500000000003</v>
      </c>
      <c r="N296" t="s">
        <v>59</v>
      </c>
      <c r="O296" t="s">
        <v>67</v>
      </c>
      <c r="P296" s="5">
        <v>0</v>
      </c>
      <c r="Q296" t="s">
        <v>658</v>
      </c>
      <c r="R296" t="s">
        <v>659</v>
      </c>
      <c r="S296" s="5">
        <v>42.7</v>
      </c>
      <c r="T296" s="3">
        <v>45724</v>
      </c>
      <c r="U296" s="3">
        <v>45734</v>
      </c>
      <c r="V296" t="s">
        <v>77</v>
      </c>
      <c r="W296">
        <f t="shared" si="22"/>
        <v>57.287025</v>
      </c>
      <c r="X296">
        <f t="shared" si="23"/>
        <v>79.290000000000006</v>
      </c>
      <c r="Y296">
        <f t="shared" si="24"/>
        <v>22.002975000000006</v>
      </c>
      <c r="Z296" s="8" t="str">
        <f t="shared" si="21"/>
        <v>High</v>
      </c>
      <c r="AA296" s="12">
        <f>DATE(YEAR(Table1[[#This Row],[OrderDate]]),MONTH(Table1[[#This Row],[OrderDate]]),1)</f>
        <v>45717</v>
      </c>
    </row>
    <row r="297" spans="1:27" x14ac:dyDescent="0.3">
      <c r="A297" s="3">
        <v>45698</v>
      </c>
      <c r="B297" t="s">
        <v>13</v>
      </c>
      <c r="C297" t="s">
        <v>29</v>
      </c>
      <c r="D297" t="str">
        <f>TRIM(Table1[[#This Row],[Product]])</f>
        <v>Chair</v>
      </c>
      <c r="E297" t="str">
        <f>PROPER(Table1[[#This Row],[Column1]])</f>
        <v>Chair</v>
      </c>
      <c r="F297" s="8" t="str">
        <f t="shared" si="20"/>
        <v>Furniture</v>
      </c>
      <c r="G297" s="5">
        <v>6</v>
      </c>
      <c r="H297">
        <v>521.1</v>
      </c>
      <c r="I297" t="s">
        <v>64</v>
      </c>
      <c r="J297" t="s">
        <v>58</v>
      </c>
      <c r="K297" s="7">
        <v>0.15</v>
      </c>
      <c r="L297" t="s">
        <v>27</v>
      </c>
      <c r="M297" s="5">
        <v>2657.61</v>
      </c>
      <c r="N297" t="s">
        <v>88</v>
      </c>
      <c r="P297" s="5">
        <v>0</v>
      </c>
      <c r="Q297" t="s">
        <v>660</v>
      </c>
      <c r="R297" t="s">
        <v>661</v>
      </c>
      <c r="S297" s="5">
        <v>31.14</v>
      </c>
      <c r="T297" s="3">
        <v>45698</v>
      </c>
      <c r="U297" s="3">
        <v>45700</v>
      </c>
      <c r="V297" t="s">
        <v>70</v>
      </c>
      <c r="W297">
        <f t="shared" si="22"/>
        <v>2258.9684999999999</v>
      </c>
      <c r="X297">
        <f t="shared" si="23"/>
        <v>3126.6000000000004</v>
      </c>
      <c r="Y297">
        <f t="shared" si="24"/>
        <v>867.63150000000041</v>
      </c>
      <c r="Z297" s="8" t="str">
        <f t="shared" si="21"/>
        <v>High</v>
      </c>
      <c r="AA297" s="12">
        <f>DATE(YEAR(Table1[[#This Row],[OrderDate]]),MONTH(Table1[[#This Row],[OrderDate]]),1)</f>
        <v>45689</v>
      </c>
    </row>
    <row r="298" spans="1:27" x14ac:dyDescent="0.3">
      <c r="A298" s="3">
        <v>45733</v>
      </c>
      <c r="B298" t="s">
        <v>16</v>
      </c>
      <c r="C298" t="s">
        <v>32</v>
      </c>
      <c r="D298" t="str">
        <f>TRIM(Table1[[#This Row],[Product]])</f>
        <v>Monitor</v>
      </c>
      <c r="E298" t="str">
        <f>PROPER(Table1[[#This Row],[Column1]])</f>
        <v>Monitor</v>
      </c>
      <c r="F298" s="8" t="str">
        <f t="shared" si="20"/>
        <v>Technology</v>
      </c>
      <c r="G298" s="5">
        <v>10</v>
      </c>
      <c r="H298">
        <v>289.91000000000003</v>
      </c>
      <c r="I298" t="s">
        <v>78</v>
      </c>
      <c r="J298" t="s">
        <v>65</v>
      </c>
      <c r="K298" s="7">
        <v>0.1</v>
      </c>
      <c r="L298" t="s">
        <v>23</v>
      </c>
      <c r="M298" s="5">
        <v>2609.190000000001</v>
      </c>
      <c r="N298" t="s">
        <v>88</v>
      </c>
      <c r="O298" t="s">
        <v>67</v>
      </c>
      <c r="P298" s="5">
        <v>0</v>
      </c>
      <c r="Q298" t="s">
        <v>662</v>
      </c>
      <c r="R298" t="s">
        <v>663</v>
      </c>
      <c r="S298" s="5">
        <v>32.96</v>
      </c>
      <c r="T298" s="3">
        <v>45733</v>
      </c>
      <c r="U298" s="3">
        <v>45737</v>
      </c>
      <c r="V298" t="s">
        <v>95</v>
      </c>
      <c r="W298">
        <f t="shared" si="22"/>
        <v>2348.2710000000011</v>
      </c>
      <c r="X298">
        <f t="shared" si="23"/>
        <v>2899.1000000000004</v>
      </c>
      <c r="Y298">
        <f t="shared" si="24"/>
        <v>550.82899999999927</v>
      </c>
      <c r="Z298" s="8" t="str">
        <f t="shared" si="21"/>
        <v>Medium</v>
      </c>
      <c r="AA298" s="12">
        <f>DATE(YEAR(Table1[[#This Row],[OrderDate]]),MONTH(Table1[[#This Row],[OrderDate]]),1)</f>
        <v>45717</v>
      </c>
    </row>
    <row r="299" spans="1:27" x14ac:dyDescent="0.3">
      <c r="A299" s="3">
        <v>45239</v>
      </c>
      <c r="B299" t="s">
        <v>9</v>
      </c>
      <c r="C299" t="s">
        <v>34</v>
      </c>
      <c r="D299" t="str">
        <f>TRIM(Table1[[#This Row],[Product]])</f>
        <v>Printer</v>
      </c>
      <c r="E299" t="str">
        <f>PROPER(Table1[[#This Row],[Column1]])</f>
        <v>Printer</v>
      </c>
      <c r="F299" s="8" t="str">
        <f t="shared" si="20"/>
        <v>Office Supplies</v>
      </c>
      <c r="G299" s="5">
        <v>3</v>
      </c>
      <c r="H299">
        <v>142.27000000000001</v>
      </c>
      <c r="I299" t="s">
        <v>81</v>
      </c>
      <c r="J299" t="s">
        <v>65</v>
      </c>
      <c r="K299" s="7">
        <v>0.05</v>
      </c>
      <c r="L299" t="s">
        <v>19</v>
      </c>
      <c r="M299" s="5">
        <v>405.46949999999998</v>
      </c>
      <c r="N299" t="s">
        <v>59</v>
      </c>
      <c r="O299" t="s">
        <v>67</v>
      </c>
      <c r="P299" s="5">
        <v>0</v>
      </c>
      <c r="Q299" t="s">
        <v>664</v>
      </c>
      <c r="R299" t="s">
        <v>665</v>
      </c>
      <c r="S299" s="5">
        <v>32.799999999999997</v>
      </c>
      <c r="T299" s="3">
        <v>45239</v>
      </c>
      <c r="U299" s="3">
        <v>45245</v>
      </c>
      <c r="V299" t="s">
        <v>63</v>
      </c>
      <c r="W299">
        <f t="shared" si="22"/>
        <v>385.19602499999996</v>
      </c>
      <c r="X299">
        <f t="shared" si="23"/>
        <v>426.81000000000006</v>
      </c>
      <c r="Y299">
        <f t="shared" si="24"/>
        <v>41.613975000000096</v>
      </c>
      <c r="Z299" s="8" t="str">
        <f t="shared" si="21"/>
        <v>Medium</v>
      </c>
      <c r="AA299" s="12">
        <f>DATE(YEAR(Table1[[#This Row],[OrderDate]]),MONTH(Table1[[#This Row],[OrderDate]]),1)</f>
        <v>45231</v>
      </c>
    </row>
    <row r="300" spans="1:27" x14ac:dyDescent="0.3">
      <c r="A300" s="3">
        <v>45260</v>
      </c>
      <c r="B300" t="s">
        <v>7</v>
      </c>
      <c r="C300" t="s">
        <v>34</v>
      </c>
      <c r="D300" t="str">
        <f>TRIM(Table1[[#This Row],[Product]])</f>
        <v>Printer</v>
      </c>
      <c r="E300" t="str">
        <f>PROPER(Table1[[#This Row],[Column1]])</f>
        <v>Printer</v>
      </c>
      <c r="F300" s="8" t="str">
        <f t="shared" si="20"/>
        <v>Office Supplies</v>
      </c>
      <c r="G300" s="5">
        <v>15</v>
      </c>
      <c r="H300">
        <v>354.09</v>
      </c>
      <c r="I300" t="s">
        <v>57</v>
      </c>
      <c r="J300" t="s">
        <v>65</v>
      </c>
      <c r="K300" s="7">
        <v>0.05</v>
      </c>
      <c r="L300" t="s">
        <v>21</v>
      </c>
      <c r="M300" s="5">
        <v>5045.7824999999993</v>
      </c>
      <c r="N300" t="s">
        <v>59</v>
      </c>
      <c r="P300" s="5">
        <v>1</v>
      </c>
      <c r="Q300" t="s">
        <v>666</v>
      </c>
      <c r="R300" t="s">
        <v>667</v>
      </c>
      <c r="S300" s="5">
        <v>25.3</v>
      </c>
      <c r="T300" s="3">
        <v>45260</v>
      </c>
      <c r="U300" s="3">
        <v>45268</v>
      </c>
      <c r="V300" t="s">
        <v>77</v>
      </c>
      <c r="W300">
        <f t="shared" si="22"/>
        <v>4793.4933749999991</v>
      </c>
      <c r="X300">
        <f t="shared" si="23"/>
        <v>5311.3499999999995</v>
      </c>
      <c r="Y300">
        <f t="shared" si="24"/>
        <v>517.85662500000035</v>
      </c>
      <c r="Z300" s="8" t="str">
        <f t="shared" si="21"/>
        <v>Medium</v>
      </c>
      <c r="AA300" s="12">
        <f>DATE(YEAR(Table1[[#This Row],[OrderDate]]),MONTH(Table1[[#This Row],[OrderDate]]),1)</f>
        <v>45231</v>
      </c>
    </row>
    <row r="301" spans="1:27" x14ac:dyDescent="0.3">
      <c r="A301" s="3">
        <v>45519</v>
      </c>
      <c r="B301" t="s">
        <v>13</v>
      </c>
      <c r="C301" t="s">
        <v>35</v>
      </c>
      <c r="D301" t="str">
        <f>TRIM(Table1[[#This Row],[Product]])</f>
        <v>Tablet</v>
      </c>
      <c r="E301" t="str">
        <f>PROPER(Table1[[#This Row],[Column1]])</f>
        <v>Tablet</v>
      </c>
      <c r="F301" s="8" t="str">
        <f t="shared" si="20"/>
        <v>Technology</v>
      </c>
      <c r="G301" s="5">
        <v>20</v>
      </c>
      <c r="H301">
        <v>358.57</v>
      </c>
      <c r="I301" t="s">
        <v>57</v>
      </c>
      <c r="J301" t="s">
        <v>58</v>
      </c>
      <c r="K301" s="7">
        <v>0</v>
      </c>
      <c r="L301" t="s">
        <v>18</v>
      </c>
      <c r="M301" s="5">
        <v>7171.4</v>
      </c>
      <c r="N301" t="s">
        <v>85</v>
      </c>
      <c r="O301" t="s">
        <v>60</v>
      </c>
      <c r="P301" s="5">
        <v>1</v>
      </c>
      <c r="Q301" t="s">
        <v>668</v>
      </c>
      <c r="R301" t="s">
        <v>669</v>
      </c>
      <c r="S301" s="5">
        <v>21.11</v>
      </c>
      <c r="T301" s="3">
        <v>45519</v>
      </c>
      <c r="U301" s="3">
        <v>45524</v>
      </c>
      <c r="V301" t="s">
        <v>70</v>
      </c>
      <c r="W301">
        <f t="shared" si="22"/>
        <v>7171.4</v>
      </c>
      <c r="X301">
        <f t="shared" si="23"/>
        <v>7171.4</v>
      </c>
      <c r="Y301">
        <f t="shared" si="24"/>
        <v>0</v>
      </c>
      <c r="Z301" s="8" t="str">
        <f t="shared" si="21"/>
        <v>No Discount</v>
      </c>
      <c r="AA301" s="12">
        <f>DATE(YEAR(Table1[[#This Row],[OrderDate]]),MONTH(Table1[[#This Row],[OrderDate]]),1)</f>
        <v>45505</v>
      </c>
    </row>
    <row r="302" spans="1:27" x14ac:dyDescent="0.3">
      <c r="A302" s="3">
        <v>45006</v>
      </c>
      <c r="B302" t="s">
        <v>16</v>
      </c>
      <c r="C302" t="s">
        <v>35</v>
      </c>
      <c r="D302" t="str">
        <f>TRIM(Table1[[#This Row],[Product]])</f>
        <v>Tablet</v>
      </c>
      <c r="E302" t="str">
        <f>PROPER(Table1[[#This Row],[Column1]])</f>
        <v>Tablet</v>
      </c>
      <c r="F302" s="8" t="str">
        <f t="shared" si="20"/>
        <v>Technology</v>
      </c>
      <c r="G302" s="5">
        <v>16</v>
      </c>
      <c r="H302">
        <v>33.18</v>
      </c>
      <c r="I302" t="s">
        <v>78</v>
      </c>
      <c r="J302" t="s">
        <v>65</v>
      </c>
      <c r="K302" s="7">
        <v>0.05</v>
      </c>
      <c r="L302" t="s">
        <v>25</v>
      </c>
      <c r="M302" s="5">
        <v>504.33600000000001</v>
      </c>
      <c r="N302" t="s">
        <v>59</v>
      </c>
      <c r="O302" t="s">
        <v>67</v>
      </c>
      <c r="P302" s="5">
        <v>0</v>
      </c>
      <c r="Q302" t="s">
        <v>670</v>
      </c>
      <c r="R302" t="s">
        <v>671</v>
      </c>
      <c r="S302" s="5">
        <v>22.94</v>
      </c>
      <c r="T302" s="3">
        <v>45006</v>
      </c>
      <c r="U302" s="3">
        <v>45011</v>
      </c>
      <c r="V302" t="s">
        <v>95</v>
      </c>
      <c r="W302">
        <f t="shared" si="22"/>
        <v>479.11919999999998</v>
      </c>
      <c r="X302">
        <f t="shared" si="23"/>
        <v>530.88</v>
      </c>
      <c r="Y302">
        <f t="shared" si="24"/>
        <v>51.760800000000017</v>
      </c>
      <c r="Z302" s="8" t="str">
        <f t="shared" si="21"/>
        <v>Medium</v>
      </c>
      <c r="AA302" s="12">
        <f>DATE(YEAR(Table1[[#This Row],[OrderDate]]),MONTH(Table1[[#This Row],[OrderDate]]),1)</f>
        <v>44986</v>
      </c>
    </row>
    <row r="303" spans="1:27" x14ac:dyDescent="0.3">
      <c r="A303" s="3">
        <v>45225</v>
      </c>
      <c r="B303" t="s">
        <v>16</v>
      </c>
      <c r="C303" t="s">
        <v>32</v>
      </c>
      <c r="D303" t="str">
        <f>TRIM(Table1[[#This Row],[Product]])</f>
        <v>Monitor</v>
      </c>
      <c r="E303" t="str">
        <f>PROPER(Table1[[#This Row],[Column1]])</f>
        <v>Monitor</v>
      </c>
      <c r="F303" s="8" t="str">
        <f t="shared" si="20"/>
        <v>Technology</v>
      </c>
      <c r="G303" s="5">
        <v>2</v>
      </c>
      <c r="H303">
        <v>124.4</v>
      </c>
      <c r="I303" t="s">
        <v>57</v>
      </c>
      <c r="J303" t="s">
        <v>65</v>
      </c>
      <c r="K303" s="7">
        <v>0</v>
      </c>
      <c r="L303" t="s">
        <v>25</v>
      </c>
      <c r="M303" s="5">
        <v>248.8</v>
      </c>
      <c r="N303" t="s">
        <v>59</v>
      </c>
      <c r="P303" s="5">
        <v>0</v>
      </c>
      <c r="Q303" t="s">
        <v>672</v>
      </c>
      <c r="R303" t="s">
        <v>673</v>
      </c>
      <c r="S303" s="5">
        <v>37.049999999999997</v>
      </c>
      <c r="T303" s="3">
        <v>45225</v>
      </c>
      <c r="U303" s="3">
        <v>45230</v>
      </c>
      <c r="V303" t="s">
        <v>95</v>
      </c>
      <c r="W303">
        <f t="shared" si="22"/>
        <v>248.8</v>
      </c>
      <c r="X303">
        <f t="shared" si="23"/>
        <v>248.8</v>
      </c>
      <c r="Y303">
        <f t="shared" si="24"/>
        <v>0</v>
      </c>
      <c r="Z303" s="8" t="str">
        <f t="shared" si="21"/>
        <v>No Discount</v>
      </c>
      <c r="AA303" s="12">
        <f>DATE(YEAR(Table1[[#This Row],[OrderDate]]),MONTH(Table1[[#This Row],[OrderDate]]),1)</f>
        <v>45200</v>
      </c>
    </row>
    <row r="304" spans="1:27" x14ac:dyDescent="0.3">
      <c r="A304" s="3">
        <v>45233</v>
      </c>
      <c r="B304" t="s">
        <v>16</v>
      </c>
      <c r="C304" t="s">
        <v>33</v>
      </c>
      <c r="D304" t="str">
        <f>TRIM(Table1[[#This Row],[Product]])</f>
        <v>Phone</v>
      </c>
      <c r="E304" t="str">
        <f>PROPER(Table1[[#This Row],[Column1]])</f>
        <v>Phone</v>
      </c>
      <c r="F304" s="8" t="str">
        <f t="shared" si="20"/>
        <v>Technology</v>
      </c>
      <c r="G304" s="5">
        <v>12</v>
      </c>
      <c r="H304">
        <v>17.760000000000002</v>
      </c>
      <c r="I304" t="s">
        <v>81</v>
      </c>
      <c r="J304" t="s">
        <v>65</v>
      </c>
      <c r="K304" s="7">
        <v>0.1</v>
      </c>
      <c r="L304" t="s">
        <v>21</v>
      </c>
      <c r="M304" s="5">
        <v>191.80799999999999</v>
      </c>
      <c r="N304" t="s">
        <v>59</v>
      </c>
      <c r="O304" t="s">
        <v>60</v>
      </c>
      <c r="P304" s="5">
        <v>0</v>
      </c>
      <c r="Q304" t="s">
        <v>674</v>
      </c>
      <c r="R304" t="s">
        <v>675</v>
      </c>
      <c r="S304" s="5">
        <v>12.18</v>
      </c>
      <c r="T304" s="3">
        <v>45233</v>
      </c>
      <c r="U304" s="3">
        <v>45241</v>
      </c>
      <c r="V304" t="s">
        <v>95</v>
      </c>
      <c r="W304">
        <f t="shared" si="22"/>
        <v>172.62719999999999</v>
      </c>
      <c r="X304">
        <f t="shared" si="23"/>
        <v>213.12</v>
      </c>
      <c r="Y304">
        <f t="shared" si="24"/>
        <v>40.492800000000017</v>
      </c>
      <c r="Z304" s="8" t="str">
        <f t="shared" si="21"/>
        <v>Medium</v>
      </c>
      <c r="AA304" s="12">
        <f>DATE(YEAR(Table1[[#This Row],[OrderDate]]),MONTH(Table1[[#This Row],[OrderDate]]),1)</f>
        <v>45231</v>
      </c>
    </row>
    <row r="305" spans="1:27" x14ac:dyDescent="0.3">
      <c r="A305" s="3">
        <v>45687</v>
      </c>
      <c r="B305" t="s">
        <v>11</v>
      </c>
      <c r="C305" t="s">
        <v>29</v>
      </c>
      <c r="D305" t="str">
        <f>TRIM(Table1[[#This Row],[Product]])</f>
        <v>Chair</v>
      </c>
      <c r="E305" t="str">
        <f>PROPER(Table1[[#This Row],[Column1]])</f>
        <v>Chair</v>
      </c>
      <c r="F305" s="8" t="str">
        <f t="shared" si="20"/>
        <v>Furniture</v>
      </c>
      <c r="G305" s="5">
        <v>16</v>
      </c>
      <c r="H305">
        <v>345.53</v>
      </c>
      <c r="I305" t="s">
        <v>78</v>
      </c>
      <c r="J305" t="s">
        <v>65</v>
      </c>
      <c r="K305" s="7">
        <v>0.15</v>
      </c>
      <c r="L305" t="s">
        <v>27</v>
      </c>
      <c r="M305" s="5">
        <v>4699.2079999999996</v>
      </c>
      <c r="N305" t="s">
        <v>66</v>
      </c>
      <c r="O305" t="s">
        <v>67</v>
      </c>
      <c r="P305" s="5">
        <v>0</v>
      </c>
      <c r="Q305" t="s">
        <v>676</v>
      </c>
      <c r="R305" t="s">
        <v>677</v>
      </c>
      <c r="S305" s="5">
        <v>13.43</v>
      </c>
      <c r="T305" s="3">
        <v>45687</v>
      </c>
      <c r="U305" s="3">
        <v>45693</v>
      </c>
      <c r="V305" t="s">
        <v>74</v>
      </c>
      <c r="W305">
        <f t="shared" si="22"/>
        <v>3994.3267999999994</v>
      </c>
      <c r="X305">
        <f t="shared" si="23"/>
        <v>5528.48</v>
      </c>
      <c r="Y305">
        <f t="shared" si="24"/>
        <v>1534.1532000000002</v>
      </c>
      <c r="Z305" s="8" t="str">
        <f t="shared" si="21"/>
        <v>High</v>
      </c>
      <c r="AA305" s="12">
        <f>DATE(YEAR(Table1[[#This Row],[OrderDate]]),MONTH(Table1[[#This Row],[OrderDate]]),1)</f>
        <v>45658</v>
      </c>
    </row>
    <row r="306" spans="1:27" x14ac:dyDescent="0.3">
      <c r="A306" s="3">
        <v>45316</v>
      </c>
      <c r="B306" t="s">
        <v>16</v>
      </c>
      <c r="C306" t="s">
        <v>31</v>
      </c>
      <c r="D306" t="str">
        <f>TRIM(Table1[[#This Row],[Product]])</f>
        <v>Laptop</v>
      </c>
      <c r="E306" t="str">
        <f>PROPER(Table1[[#This Row],[Column1]])</f>
        <v>Laptop</v>
      </c>
      <c r="F306" s="8" t="str">
        <f t="shared" si="20"/>
        <v>Technology</v>
      </c>
      <c r="G306" s="5">
        <v>13</v>
      </c>
      <c r="H306">
        <v>453.48</v>
      </c>
      <c r="I306" t="s">
        <v>64</v>
      </c>
      <c r="J306" t="s">
        <v>58</v>
      </c>
      <c r="K306" s="7">
        <v>0.05</v>
      </c>
      <c r="L306" t="s">
        <v>18</v>
      </c>
      <c r="M306" s="5">
        <v>5600.4779999999992</v>
      </c>
      <c r="N306" t="s">
        <v>66</v>
      </c>
      <c r="O306" t="s">
        <v>67</v>
      </c>
      <c r="P306" s="5">
        <v>0</v>
      </c>
      <c r="Q306" t="s">
        <v>678</v>
      </c>
      <c r="R306" t="s">
        <v>679</v>
      </c>
      <c r="S306" s="5">
        <v>46.28</v>
      </c>
      <c r="T306" s="3">
        <v>45316</v>
      </c>
      <c r="U306" s="3">
        <v>45325</v>
      </c>
      <c r="V306" t="s">
        <v>95</v>
      </c>
      <c r="W306">
        <f t="shared" si="22"/>
        <v>5320.454099999999</v>
      </c>
      <c r="X306">
        <f t="shared" si="23"/>
        <v>5895.24</v>
      </c>
      <c r="Y306">
        <f t="shared" si="24"/>
        <v>574.78590000000077</v>
      </c>
      <c r="Z306" s="8" t="str">
        <f t="shared" si="21"/>
        <v>Medium</v>
      </c>
      <c r="AA306" s="12">
        <f>DATE(YEAR(Table1[[#This Row],[OrderDate]]),MONTH(Table1[[#This Row],[OrderDate]]),1)</f>
        <v>45292</v>
      </c>
    </row>
    <row r="307" spans="1:27" x14ac:dyDescent="0.3">
      <c r="A307" s="3">
        <v>45745</v>
      </c>
      <c r="B307" t="s">
        <v>13</v>
      </c>
      <c r="C307" t="s">
        <v>31</v>
      </c>
      <c r="D307" t="str">
        <f>TRIM(Table1[[#This Row],[Product]])</f>
        <v>Laptop</v>
      </c>
      <c r="E307" t="str">
        <f>PROPER(Table1[[#This Row],[Column1]])</f>
        <v>Laptop</v>
      </c>
      <c r="F307" s="8" t="str">
        <f t="shared" si="20"/>
        <v>Technology</v>
      </c>
      <c r="G307" s="5">
        <v>10</v>
      </c>
      <c r="H307">
        <v>277.74</v>
      </c>
      <c r="I307" t="s">
        <v>57</v>
      </c>
      <c r="J307" t="s">
        <v>65</v>
      </c>
      <c r="K307" s="7">
        <v>0.15</v>
      </c>
      <c r="L307" t="s">
        <v>21</v>
      </c>
      <c r="M307" s="5">
        <v>2360.79</v>
      </c>
      <c r="N307" t="s">
        <v>66</v>
      </c>
      <c r="O307" t="s">
        <v>67</v>
      </c>
      <c r="P307" s="5">
        <v>1</v>
      </c>
      <c r="Q307" t="s">
        <v>680</v>
      </c>
      <c r="R307" t="s">
        <v>681</v>
      </c>
      <c r="S307" s="5">
        <v>35.020000000000003</v>
      </c>
      <c r="T307" s="3">
        <v>45745</v>
      </c>
      <c r="U307" s="3">
        <v>45749</v>
      </c>
      <c r="V307" t="s">
        <v>70</v>
      </c>
      <c r="W307">
        <f t="shared" si="22"/>
        <v>2006.6714999999999</v>
      </c>
      <c r="X307">
        <f t="shared" si="23"/>
        <v>2777.4</v>
      </c>
      <c r="Y307">
        <f t="shared" si="24"/>
        <v>770.72850000000017</v>
      </c>
      <c r="Z307" s="8" t="str">
        <f t="shared" si="21"/>
        <v>High</v>
      </c>
      <c r="AA307" s="12">
        <f>DATE(YEAR(Table1[[#This Row],[OrderDate]]),MONTH(Table1[[#This Row],[OrderDate]]),1)</f>
        <v>45717</v>
      </c>
    </row>
    <row r="308" spans="1:27" x14ac:dyDescent="0.3">
      <c r="A308" s="3">
        <v>45598</v>
      </c>
      <c r="B308" t="s">
        <v>7</v>
      </c>
      <c r="C308" t="s">
        <v>29</v>
      </c>
      <c r="D308" t="str">
        <f>TRIM(Table1[[#This Row],[Product]])</f>
        <v>Chair</v>
      </c>
      <c r="E308" t="str">
        <f>PROPER(Table1[[#This Row],[Column1]])</f>
        <v>Chair</v>
      </c>
      <c r="F308" s="8" t="str">
        <f t="shared" si="20"/>
        <v>Furniture</v>
      </c>
      <c r="G308" s="5">
        <v>16</v>
      </c>
      <c r="H308">
        <v>89.76</v>
      </c>
      <c r="I308" t="s">
        <v>64</v>
      </c>
      <c r="J308" t="s">
        <v>58</v>
      </c>
      <c r="K308" s="7">
        <v>0</v>
      </c>
      <c r="L308" t="s">
        <v>18</v>
      </c>
      <c r="M308" s="5">
        <v>1436.16</v>
      </c>
      <c r="N308" t="s">
        <v>85</v>
      </c>
      <c r="O308" t="s">
        <v>71</v>
      </c>
      <c r="P308" s="5">
        <v>1</v>
      </c>
      <c r="Q308" t="s">
        <v>682</v>
      </c>
      <c r="R308" t="s">
        <v>683</v>
      </c>
      <c r="S308" s="5">
        <v>44.69</v>
      </c>
      <c r="T308" s="3">
        <v>45598</v>
      </c>
      <c r="U308" s="3">
        <v>45605</v>
      </c>
      <c r="V308" t="s">
        <v>77</v>
      </c>
      <c r="W308">
        <f t="shared" si="22"/>
        <v>1436.16</v>
      </c>
      <c r="X308">
        <f t="shared" si="23"/>
        <v>1436.16</v>
      </c>
      <c r="Y308">
        <f t="shared" si="24"/>
        <v>0</v>
      </c>
      <c r="Z308" s="8" t="str">
        <f t="shared" si="21"/>
        <v>No Discount</v>
      </c>
      <c r="AA308" s="12">
        <f>DATE(YEAR(Table1[[#This Row],[OrderDate]]),MONTH(Table1[[#This Row],[OrderDate]]),1)</f>
        <v>45597</v>
      </c>
    </row>
    <row r="309" spans="1:27" x14ac:dyDescent="0.3">
      <c r="A309" s="3">
        <v>45473</v>
      </c>
      <c r="B309" t="s">
        <v>7</v>
      </c>
      <c r="C309" t="s">
        <v>29</v>
      </c>
      <c r="D309" t="str">
        <f>TRIM(Table1[[#This Row],[Product]])</f>
        <v>Chair</v>
      </c>
      <c r="E309" t="str">
        <f>PROPER(Table1[[#This Row],[Column1]])</f>
        <v>Chair</v>
      </c>
      <c r="F309" s="8" t="str">
        <f t="shared" si="20"/>
        <v>Furniture</v>
      </c>
      <c r="G309" s="5">
        <v>11</v>
      </c>
      <c r="H309">
        <v>535.37</v>
      </c>
      <c r="I309" t="s">
        <v>81</v>
      </c>
      <c r="J309" t="s">
        <v>58</v>
      </c>
      <c r="K309" s="7">
        <v>0</v>
      </c>
      <c r="L309" t="s">
        <v>27</v>
      </c>
      <c r="M309" s="5">
        <v>5889.07</v>
      </c>
      <c r="N309" t="s">
        <v>88</v>
      </c>
      <c r="P309" s="5">
        <v>0</v>
      </c>
      <c r="Q309" t="s">
        <v>684</v>
      </c>
      <c r="R309" t="s">
        <v>685</v>
      </c>
      <c r="S309" s="5">
        <v>35.96</v>
      </c>
      <c r="T309" s="3">
        <v>45473</v>
      </c>
      <c r="U309" s="3">
        <v>45482</v>
      </c>
      <c r="V309" t="s">
        <v>77</v>
      </c>
      <c r="W309">
        <f t="shared" si="22"/>
        <v>5889.07</v>
      </c>
      <c r="X309">
        <f t="shared" si="23"/>
        <v>5889.07</v>
      </c>
      <c r="Y309">
        <f t="shared" si="24"/>
        <v>0</v>
      </c>
      <c r="Z309" s="8" t="str">
        <f t="shared" si="21"/>
        <v>No Discount</v>
      </c>
      <c r="AA309" s="12">
        <f>DATE(YEAR(Table1[[#This Row],[OrderDate]]),MONTH(Table1[[#This Row],[OrderDate]]),1)</f>
        <v>45444</v>
      </c>
    </row>
    <row r="310" spans="1:27" x14ac:dyDescent="0.3">
      <c r="A310" s="3">
        <v>44937</v>
      </c>
      <c r="B310" t="s">
        <v>13</v>
      </c>
      <c r="C310" t="s">
        <v>35</v>
      </c>
      <c r="D310" t="str">
        <f>TRIM(Table1[[#This Row],[Product]])</f>
        <v>Tablet</v>
      </c>
      <c r="E310" t="str">
        <f>PROPER(Table1[[#This Row],[Column1]])</f>
        <v>Tablet</v>
      </c>
      <c r="F310" s="8" t="str">
        <f t="shared" si="20"/>
        <v>Technology</v>
      </c>
      <c r="G310" s="5">
        <v>9</v>
      </c>
      <c r="H310">
        <v>15.58</v>
      </c>
      <c r="I310" t="s">
        <v>81</v>
      </c>
      <c r="J310" t="s">
        <v>65</v>
      </c>
      <c r="K310" s="7">
        <v>0.1</v>
      </c>
      <c r="L310" t="s">
        <v>27</v>
      </c>
      <c r="M310" s="5">
        <v>126.19799999999999</v>
      </c>
      <c r="N310" t="s">
        <v>66</v>
      </c>
      <c r="O310" t="s">
        <v>60</v>
      </c>
      <c r="P310" s="5">
        <v>1</v>
      </c>
      <c r="Q310" t="s">
        <v>686</v>
      </c>
      <c r="R310" t="s">
        <v>687</v>
      </c>
      <c r="S310" s="5">
        <v>27.81</v>
      </c>
      <c r="T310" s="3">
        <v>44937</v>
      </c>
      <c r="U310" s="3">
        <v>44945</v>
      </c>
      <c r="V310" t="s">
        <v>70</v>
      </c>
      <c r="W310">
        <f t="shared" si="22"/>
        <v>113.5782</v>
      </c>
      <c r="X310">
        <f t="shared" si="23"/>
        <v>140.22</v>
      </c>
      <c r="Y310">
        <f t="shared" si="24"/>
        <v>26.641800000000003</v>
      </c>
      <c r="Z310" s="8" t="str">
        <f t="shared" si="21"/>
        <v>Medium</v>
      </c>
      <c r="AA310" s="12">
        <f>DATE(YEAR(Table1[[#This Row],[OrderDate]]),MONTH(Table1[[#This Row],[OrderDate]]),1)</f>
        <v>44927</v>
      </c>
    </row>
    <row r="311" spans="1:27" x14ac:dyDescent="0.3">
      <c r="A311" s="3">
        <v>45813</v>
      </c>
      <c r="B311" t="s">
        <v>11</v>
      </c>
      <c r="C311" t="s">
        <v>30</v>
      </c>
      <c r="D311" t="str">
        <f>TRIM(Table1[[#This Row],[Product]])</f>
        <v>Desk</v>
      </c>
      <c r="E311" t="str">
        <f>PROPER(Table1[[#This Row],[Column1]])</f>
        <v>Desk</v>
      </c>
      <c r="F311" s="8" t="str">
        <f t="shared" si="20"/>
        <v>Furniture</v>
      </c>
      <c r="G311" s="5">
        <v>13</v>
      </c>
      <c r="H311">
        <v>466.54</v>
      </c>
      <c r="I311" t="s">
        <v>78</v>
      </c>
      <c r="J311" t="s">
        <v>58</v>
      </c>
      <c r="K311" s="7">
        <v>0</v>
      </c>
      <c r="L311" t="s">
        <v>25</v>
      </c>
      <c r="M311" s="5">
        <v>6065.02</v>
      </c>
      <c r="N311" t="s">
        <v>88</v>
      </c>
      <c r="O311" t="s">
        <v>60</v>
      </c>
      <c r="P311" s="5">
        <v>0</v>
      </c>
      <c r="Q311" t="s">
        <v>688</v>
      </c>
      <c r="R311" t="s">
        <v>689</v>
      </c>
      <c r="S311" s="5">
        <v>18.63</v>
      </c>
      <c r="T311" s="3">
        <v>45813</v>
      </c>
      <c r="U311" s="3">
        <v>45822</v>
      </c>
      <c r="V311" t="s">
        <v>74</v>
      </c>
      <c r="W311">
        <f t="shared" si="22"/>
        <v>6065.02</v>
      </c>
      <c r="X311">
        <f t="shared" si="23"/>
        <v>6065.02</v>
      </c>
      <c r="Y311">
        <f t="shared" si="24"/>
        <v>0</v>
      </c>
      <c r="Z311" s="8" t="str">
        <f t="shared" si="21"/>
        <v>No Discount</v>
      </c>
      <c r="AA311" s="12">
        <f>DATE(YEAR(Table1[[#This Row],[OrderDate]]),MONTH(Table1[[#This Row],[OrderDate]]),1)</f>
        <v>45809</v>
      </c>
    </row>
    <row r="312" spans="1:27" x14ac:dyDescent="0.3">
      <c r="A312" s="3">
        <v>45372</v>
      </c>
      <c r="B312" t="s">
        <v>11</v>
      </c>
      <c r="C312" t="s">
        <v>32</v>
      </c>
      <c r="D312" t="str">
        <f>TRIM(Table1[[#This Row],[Product]])</f>
        <v>Monitor</v>
      </c>
      <c r="E312" t="str">
        <f>PROPER(Table1[[#This Row],[Column1]])</f>
        <v>Monitor</v>
      </c>
      <c r="F312" s="8" t="str">
        <f t="shared" si="20"/>
        <v>Technology</v>
      </c>
      <c r="G312" s="5">
        <v>16</v>
      </c>
      <c r="H312">
        <v>593</v>
      </c>
      <c r="I312" t="s">
        <v>81</v>
      </c>
      <c r="J312" t="s">
        <v>65</v>
      </c>
      <c r="K312" s="7">
        <v>0.1</v>
      </c>
      <c r="L312" t="s">
        <v>25</v>
      </c>
      <c r="M312" s="5">
        <v>8539.2000000000007</v>
      </c>
      <c r="N312" t="s">
        <v>66</v>
      </c>
      <c r="O312" t="s">
        <v>67</v>
      </c>
      <c r="P312" s="5">
        <v>0</v>
      </c>
      <c r="Q312" t="s">
        <v>690</v>
      </c>
      <c r="R312" t="s">
        <v>691</v>
      </c>
      <c r="S312" s="5">
        <v>18.77</v>
      </c>
      <c r="T312" s="3">
        <v>45372</v>
      </c>
      <c r="U312" s="3">
        <v>45375</v>
      </c>
      <c r="V312" t="s">
        <v>74</v>
      </c>
      <c r="W312">
        <f t="shared" si="22"/>
        <v>7685.2800000000007</v>
      </c>
      <c r="X312">
        <f t="shared" si="23"/>
        <v>9488</v>
      </c>
      <c r="Y312">
        <f t="shared" si="24"/>
        <v>1802.7199999999993</v>
      </c>
      <c r="Z312" s="8" t="str">
        <f t="shared" si="21"/>
        <v>Medium</v>
      </c>
      <c r="AA312" s="12">
        <f>DATE(YEAR(Table1[[#This Row],[OrderDate]]),MONTH(Table1[[#This Row],[OrderDate]]),1)</f>
        <v>45352</v>
      </c>
    </row>
    <row r="313" spans="1:27" x14ac:dyDescent="0.3">
      <c r="A313" s="3">
        <v>45169</v>
      </c>
      <c r="B313" t="s">
        <v>13</v>
      </c>
      <c r="C313" t="s">
        <v>30</v>
      </c>
      <c r="D313" t="str">
        <f>TRIM(Table1[[#This Row],[Product]])</f>
        <v>Desk</v>
      </c>
      <c r="E313" t="str">
        <f>PROPER(Table1[[#This Row],[Column1]])</f>
        <v>Desk</v>
      </c>
      <c r="F313" s="8" t="str">
        <f t="shared" si="20"/>
        <v>Furniture</v>
      </c>
      <c r="G313" s="5">
        <v>6</v>
      </c>
      <c r="H313">
        <v>567.36</v>
      </c>
      <c r="I313" t="s">
        <v>78</v>
      </c>
      <c r="J313" t="s">
        <v>58</v>
      </c>
      <c r="K313" s="7">
        <v>0.05</v>
      </c>
      <c r="L313" t="s">
        <v>18</v>
      </c>
      <c r="M313" s="5">
        <v>3233.9520000000002</v>
      </c>
      <c r="N313" t="s">
        <v>66</v>
      </c>
      <c r="O313" t="s">
        <v>71</v>
      </c>
      <c r="P313" s="5">
        <v>0</v>
      </c>
      <c r="Q313" t="s">
        <v>692</v>
      </c>
      <c r="R313" t="s">
        <v>693</v>
      </c>
      <c r="S313" s="5">
        <v>45.98</v>
      </c>
      <c r="T313" s="3">
        <v>45169</v>
      </c>
      <c r="U313" s="3">
        <v>45177</v>
      </c>
      <c r="V313" t="s">
        <v>70</v>
      </c>
      <c r="W313">
        <f t="shared" si="22"/>
        <v>3072.2544000000003</v>
      </c>
      <c r="X313">
        <f t="shared" si="23"/>
        <v>3404.16</v>
      </c>
      <c r="Y313">
        <f t="shared" si="24"/>
        <v>331.90559999999959</v>
      </c>
      <c r="Z313" s="8" t="str">
        <f t="shared" si="21"/>
        <v>Medium</v>
      </c>
      <c r="AA313" s="12">
        <f>DATE(YEAR(Table1[[#This Row],[OrderDate]]),MONTH(Table1[[#This Row],[OrderDate]]),1)</f>
        <v>45139</v>
      </c>
    </row>
    <row r="314" spans="1:27" x14ac:dyDescent="0.3">
      <c r="A314" s="3">
        <v>45572</v>
      </c>
      <c r="B314" t="s">
        <v>13</v>
      </c>
      <c r="C314" t="s">
        <v>33</v>
      </c>
      <c r="D314" t="str">
        <f>TRIM(Table1[[#This Row],[Product]])</f>
        <v>Phone</v>
      </c>
      <c r="E314" t="str">
        <f>PROPER(Table1[[#This Row],[Column1]])</f>
        <v>Phone</v>
      </c>
      <c r="F314" s="8" t="str">
        <f t="shared" si="20"/>
        <v>Technology</v>
      </c>
      <c r="G314" s="5">
        <v>17</v>
      </c>
      <c r="H314">
        <v>523.04</v>
      </c>
      <c r="I314" t="s">
        <v>64</v>
      </c>
      <c r="J314" t="s">
        <v>65</v>
      </c>
      <c r="K314" s="7">
        <v>0.05</v>
      </c>
      <c r="L314" t="s">
        <v>25</v>
      </c>
      <c r="M314" s="5">
        <v>8447.0959999999995</v>
      </c>
      <c r="N314" t="s">
        <v>85</v>
      </c>
      <c r="O314" t="s">
        <v>60</v>
      </c>
      <c r="P314" s="5">
        <v>0</v>
      </c>
      <c r="Q314" t="s">
        <v>694</v>
      </c>
      <c r="R314" t="s">
        <v>695</v>
      </c>
      <c r="S314" s="5">
        <v>37.380000000000003</v>
      </c>
      <c r="T314" s="3">
        <v>45572</v>
      </c>
      <c r="U314" s="3">
        <v>45582</v>
      </c>
      <c r="V314" t="s">
        <v>70</v>
      </c>
      <c r="W314">
        <f t="shared" si="22"/>
        <v>8024.7411999999995</v>
      </c>
      <c r="X314">
        <f t="shared" si="23"/>
        <v>8891.68</v>
      </c>
      <c r="Y314">
        <f t="shared" si="24"/>
        <v>866.93880000000081</v>
      </c>
      <c r="Z314" s="8" t="str">
        <f t="shared" si="21"/>
        <v>Medium</v>
      </c>
      <c r="AA314" s="12">
        <f>DATE(YEAR(Table1[[#This Row],[OrderDate]]),MONTH(Table1[[#This Row],[OrderDate]]),1)</f>
        <v>45566</v>
      </c>
    </row>
    <row r="315" spans="1:27" x14ac:dyDescent="0.3">
      <c r="A315" s="3">
        <v>45028</v>
      </c>
      <c r="B315" t="s">
        <v>11</v>
      </c>
      <c r="C315" t="s">
        <v>31</v>
      </c>
      <c r="D315" t="str">
        <f>TRIM(Table1[[#This Row],[Product]])</f>
        <v>Laptop</v>
      </c>
      <c r="E315" t="str">
        <f>PROPER(Table1[[#This Row],[Column1]])</f>
        <v>Laptop</v>
      </c>
      <c r="F315" s="8" t="str">
        <f t="shared" si="20"/>
        <v>Technology</v>
      </c>
      <c r="G315" s="5">
        <v>17</v>
      </c>
      <c r="H315">
        <v>376.4</v>
      </c>
      <c r="I315" t="s">
        <v>78</v>
      </c>
      <c r="J315" t="s">
        <v>58</v>
      </c>
      <c r="K315" s="7">
        <v>0</v>
      </c>
      <c r="L315" t="s">
        <v>18</v>
      </c>
      <c r="M315" s="5">
        <v>6398.7999999999993</v>
      </c>
      <c r="N315" t="s">
        <v>85</v>
      </c>
      <c r="O315" t="s">
        <v>60</v>
      </c>
      <c r="P315" s="5">
        <v>0</v>
      </c>
      <c r="Q315" t="s">
        <v>696</v>
      </c>
      <c r="R315" t="s">
        <v>697</v>
      </c>
      <c r="S315" s="5">
        <v>33.380000000000003</v>
      </c>
      <c r="T315" s="3">
        <v>45028</v>
      </c>
      <c r="U315" s="3">
        <v>45031</v>
      </c>
      <c r="V315" t="s">
        <v>74</v>
      </c>
      <c r="W315">
        <f t="shared" si="22"/>
        <v>6398.7999999999993</v>
      </c>
      <c r="X315">
        <f t="shared" si="23"/>
        <v>6398.7999999999993</v>
      </c>
      <c r="Y315">
        <f t="shared" si="24"/>
        <v>0</v>
      </c>
      <c r="Z315" s="8" t="str">
        <f t="shared" si="21"/>
        <v>No Discount</v>
      </c>
      <c r="AA315" s="12">
        <f>DATE(YEAR(Table1[[#This Row],[OrderDate]]),MONTH(Table1[[#This Row],[OrderDate]]),1)</f>
        <v>45017</v>
      </c>
    </row>
    <row r="316" spans="1:27" x14ac:dyDescent="0.3">
      <c r="A316" s="3">
        <v>45236</v>
      </c>
      <c r="B316" t="s">
        <v>13</v>
      </c>
      <c r="C316" t="s">
        <v>34</v>
      </c>
      <c r="D316" t="str">
        <f>TRIM(Table1[[#This Row],[Product]])</f>
        <v>Printer</v>
      </c>
      <c r="E316" t="str">
        <f>PROPER(Table1[[#This Row],[Column1]])</f>
        <v>Printer</v>
      </c>
      <c r="F316" s="8" t="str">
        <f t="shared" si="20"/>
        <v>Office Supplies</v>
      </c>
      <c r="G316" s="5">
        <v>5</v>
      </c>
      <c r="H316">
        <v>95.19</v>
      </c>
      <c r="I316" t="s">
        <v>64</v>
      </c>
      <c r="J316" t="s">
        <v>65</v>
      </c>
      <c r="K316" s="7">
        <v>0.15</v>
      </c>
      <c r="L316" t="s">
        <v>27</v>
      </c>
      <c r="M316" s="5">
        <v>404.5575</v>
      </c>
      <c r="N316" t="s">
        <v>82</v>
      </c>
      <c r="O316" t="s">
        <v>71</v>
      </c>
      <c r="P316" s="5">
        <v>0</v>
      </c>
      <c r="Q316" t="s">
        <v>698</v>
      </c>
      <c r="R316" t="s">
        <v>699</v>
      </c>
      <c r="S316" s="5">
        <v>48.55</v>
      </c>
      <c r="T316" s="3">
        <v>45236</v>
      </c>
      <c r="U316" s="3">
        <v>45246</v>
      </c>
      <c r="V316" t="s">
        <v>70</v>
      </c>
      <c r="W316">
        <f t="shared" si="22"/>
        <v>343.873875</v>
      </c>
      <c r="X316">
        <f t="shared" si="23"/>
        <v>475.95</v>
      </c>
      <c r="Y316">
        <f t="shared" si="24"/>
        <v>132.07612499999999</v>
      </c>
      <c r="Z316" s="8" t="str">
        <f t="shared" si="21"/>
        <v>High</v>
      </c>
      <c r="AA316" s="12">
        <f>DATE(YEAR(Table1[[#This Row],[OrderDate]]),MONTH(Table1[[#This Row],[OrderDate]]),1)</f>
        <v>45231</v>
      </c>
    </row>
    <row r="317" spans="1:27" x14ac:dyDescent="0.3">
      <c r="A317" s="3">
        <v>45044</v>
      </c>
      <c r="B317" t="s">
        <v>16</v>
      </c>
      <c r="C317" t="s">
        <v>30</v>
      </c>
      <c r="D317" t="str">
        <f>TRIM(Table1[[#This Row],[Product]])</f>
        <v>Desk</v>
      </c>
      <c r="E317" t="str">
        <f>PROPER(Table1[[#This Row],[Column1]])</f>
        <v>Desk</v>
      </c>
      <c r="F317" s="8" t="str">
        <f t="shared" si="20"/>
        <v>Furniture</v>
      </c>
      <c r="G317" s="5">
        <v>2</v>
      </c>
      <c r="H317">
        <v>210.71</v>
      </c>
      <c r="I317" t="s">
        <v>81</v>
      </c>
      <c r="J317" t="s">
        <v>58</v>
      </c>
      <c r="K317" s="7">
        <v>0.15</v>
      </c>
      <c r="L317" t="s">
        <v>23</v>
      </c>
      <c r="M317" s="5">
        <v>358.20699999999999</v>
      </c>
      <c r="N317" t="s">
        <v>82</v>
      </c>
      <c r="O317" t="s">
        <v>67</v>
      </c>
      <c r="P317" s="5">
        <v>0</v>
      </c>
      <c r="Q317" t="s">
        <v>700</v>
      </c>
      <c r="R317" t="s">
        <v>701</v>
      </c>
      <c r="S317" s="5">
        <v>7.78</v>
      </c>
      <c r="T317" s="3">
        <v>45044</v>
      </c>
      <c r="U317" s="3">
        <v>45054</v>
      </c>
      <c r="V317" t="s">
        <v>95</v>
      </c>
      <c r="W317">
        <f t="shared" si="22"/>
        <v>304.47595000000001</v>
      </c>
      <c r="X317">
        <f t="shared" si="23"/>
        <v>421.42</v>
      </c>
      <c r="Y317">
        <f t="shared" si="24"/>
        <v>116.94405</v>
      </c>
      <c r="Z317" s="8" t="str">
        <f t="shared" si="21"/>
        <v>High</v>
      </c>
      <c r="AA317" s="12">
        <f>DATE(YEAR(Table1[[#This Row],[OrderDate]]),MONTH(Table1[[#This Row],[OrderDate]]),1)</f>
        <v>45017</v>
      </c>
    </row>
    <row r="318" spans="1:27" x14ac:dyDescent="0.3">
      <c r="A318" s="3">
        <v>45278</v>
      </c>
      <c r="B318" t="s">
        <v>16</v>
      </c>
      <c r="C318" t="s">
        <v>34</v>
      </c>
      <c r="D318" t="str">
        <f>TRIM(Table1[[#This Row],[Product]])</f>
        <v>Printer</v>
      </c>
      <c r="E318" t="str">
        <f>PROPER(Table1[[#This Row],[Column1]])</f>
        <v>Printer</v>
      </c>
      <c r="F318" s="8" t="str">
        <f t="shared" si="20"/>
        <v>Office Supplies</v>
      </c>
      <c r="G318" s="5">
        <v>7</v>
      </c>
      <c r="H318">
        <v>393.39</v>
      </c>
      <c r="I318" t="s">
        <v>57</v>
      </c>
      <c r="J318" t="s">
        <v>65</v>
      </c>
      <c r="K318" s="7">
        <v>0.1</v>
      </c>
      <c r="L318" t="s">
        <v>18</v>
      </c>
      <c r="M318" s="5">
        <v>2478.357</v>
      </c>
      <c r="N318" t="s">
        <v>88</v>
      </c>
      <c r="O318" t="s">
        <v>67</v>
      </c>
      <c r="P318" s="5">
        <v>0</v>
      </c>
      <c r="Q318" t="s">
        <v>702</v>
      </c>
      <c r="R318" t="s">
        <v>703</v>
      </c>
      <c r="S318" s="5">
        <v>34.35</v>
      </c>
      <c r="T318" s="3">
        <v>45278</v>
      </c>
      <c r="U318" s="3">
        <v>45281</v>
      </c>
      <c r="V318" t="s">
        <v>95</v>
      </c>
      <c r="W318">
        <f t="shared" si="22"/>
        <v>2230.5212999999999</v>
      </c>
      <c r="X318">
        <f t="shared" si="23"/>
        <v>2753.73</v>
      </c>
      <c r="Y318">
        <f t="shared" si="24"/>
        <v>523.20870000000014</v>
      </c>
      <c r="Z318" s="8" t="str">
        <f t="shared" si="21"/>
        <v>Medium</v>
      </c>
      <c r="AA318" s="12">
        <f>DATE(YEAR(Table1[[#This Row],[OrderDate]]),MONTH(Table1[[#This Row],[OrderDate]]),1)</f>
        <v>45261</v>
      </c>
    </row>
    <row r="319" spans="1:27" x14ac:dyDescent="0.3">
      <c r="A319" s="3">
        <v>45575</v>
      </c>
      <c r="B319" t="s">
        <v>13</v>
      </c>
      <c r="C319" t="s">
        <v>33</v>
      </c>
      <c r="D319" t="str">
        <f>TRIM(Table1[[#This Row],[Product]])</f>
        <v>Phone</v>
      </c>
      <c r="E319" t="str">
        <f>PROPER(Table1[[#This Row],[Column1]])</f>
        <v>Phone</v>
      </c>
      <c r="F319" s="8" t="str">
        <f t="shared" si="20"/>
        <v>Technology</v>
      </c>
      <c r="G319" s="5">
        <v>13</v>
      </c>
      <c r="H319">
        <v>114.03</v>
      </c>
      <c r="I319" t="s">
        <v>64</v>
      </c>
      <c r="J319" t="s">
        <v>65</v>
      </c>
      <c r="K319" s="7">
        <v>0</v>
      </c>
      <c r="L319" t="s">
        <v>19</v>
      </c>
      <c r="M319" s="5">
        <v>1482.39</v>
      </c>
      <c r="N319" t="s">
        <v>88</v>
      </c>
      <c r="P319" s="5">
        <v>0</v>
      </c>
      <c r="Q319" t="s">
        <v>704</v>
      </c>
      <c r="R319" t="s">
        <v>705</v>
      </c>
      <c r="S319" s="5">
        <v>43.81</v>
      </c>
      <c r="T319" s="3">
        <v>45575</v>
      </c>
      <c r="U319" s="3">
        <v>45581</v>
      </c>
      <c r="V319" t="s">
        <v>70</v>
      </c>
      <c r="W319">
        <f t="shared" si="22"/>
        <v>1482.39</v>
      </c>
      <c r="X319">
        <f t="shared" si="23"/>
        <v>1482.39</v>
      </c>
      <c r="Y319">
        <f t="shared" si="24"/>
        <v>0</v>
      </c>
      <c r="Z319" s="8" t="str">
        <f t="shared" si="21"/>
        <v>No Discount</v>
      </c>
      <c r="AA319" s="12">
        <f>DATE(YEAR(Table1[[#This Row],[OrderDate]]),MONTH(Table1[[#This Row],[OrderDate]]),1)</f>
        <v>45566</v>
      </c>
    </row>
    <row r="320" spans="1:27" x14ac:dyDescent="0.3">
      <c r="A320" s="3">
        <v>44962</v>
      </c>
      <c r="B320" t="s">
        <v>11</v>
      </c>
      <c r="C320" t="s">
        <v>35</v>
      </c>
      <c r="D320" t="str">
        <f>TRIM(Table1[[#This Row],[Product]])</f>
        <v>Tablet</v>
      </c>
      <c r="E320" t="str">
        <f>PROPER(Table1[[#This Row],[Column1]])</f>
        <v>Tablet</v>
      </c>
      <c r="F320" s="8" t="str">
        <f t="shared" si="20"/>
        <v>Technology</v>
      </c>
      <c r="G320" s="5">
        <v>18</v>
      </c>
      <c r="H320">
        <v>336.48</v>
      </c>
      <c r="I320" t="s">
        <v>57</v>
      </c>
      <c r="J320" t="s">
        <v>65</v>
      </c>
      <c r="K320" s="7">
        <v>0</v>
      </c>
      <c r="L320" t="s">
        <v>27</v>
      </c>
      <c r="M320" s="5">
        <v>6056.64</v>
      </c>
      <c r="N320" t="s">
        <v>59</v>
      </c>
      <c r="O320" t="s">
        <v>71</v>
      </c>
      <c r="P320" s="5">
        <v>0</v>
      </c>
      <c r="Q320" t="s">
        <v>706</v>
      </c>
      <c r="R320" t="s">
        <v>707</v>
      </c>
      <c r="S320" s="5">
        <v>18.59</v>
      </c>
      <c r="T320" s="3">
        <v>44962</v>
      </c>
      <c r="U320" s="3">
        <v>44964</v>
      </c>
      <c r="V320" t="s">
        <v>74</v>
      </c>
      <c r="W320">
        <f t="shared" si="22"/>
        <v>6056.64</v>
      </c>
      <c r="X320">
        <f t="shared" si="23"/>
        <v>6056.64</v>
      </c>
      <c r="Y320">
        <f t="shared" si="24"/>
        <v>0</v>
      </c>
      <c r="Z320" s="8" t="str">
        <f t="shared" si="21"/>
        <v>No Discount</v>
      </c>
      <c r="AA320" s="12">
        <f>DATE(YEAR(Table1[[#This Row],[OrderDate]]),MONTH(Table1[[#This Row],[OrderDate]]),1)</f>
        <v>44958</v>
      </c>
    </row>
    <row r="321" spans="1:27" x14ac:dyDescent="0.3">
      <c r="A321" s="3">
        <v>45508</v>
      </c>
      <c r="B321" t="s">
        <v>7</v>
      </c>
      <c r="C321" t="s">
        <v>32</v>
      </c>
      <c r="D321" t="str">
        <f>TRIM(Table1[[#This Row],[Product]])</f>
        <v>Monitor</v>
      </c>
      <c r="E321" t="str">
        <f>PROPER(Table1[[#This Row],[Column1]])</f>
        <v>Monitor</v>
      </c>
      <c r="F321" s="8" t="str">
        <f t="shared" si="20"/>
        <v>Technology</v>
      </c>
      <c r="G321" s="5">
        <v>9</v>
      </c>
      <c r="H321">
        <v>24.44</v>
      </c>
      <c r="I321" t="s">
        <v>78</v>
      </c>
      <c r="J321" t="s">
        <v>58</v>
      </c>
      <c r="K321" s="7">
        <v>0.15</v>
      </c>
      <c r="L321" t="s">
        <v>25</v>
      </c>
      <c r="M321" s="5">
        <v>186.96600000000001</v>
      </c>
      <c r="N321" t="s">
        <v>66</v>
      </c>
      <c r="O321" t="s">
        <v>67</v>
      </c>
      <c r="P321" s="5">
        <v>1</v>
      </c>
      <c r="Q321" t="s">
        <v>708</v>
      </c>
      <c r="R321" t="s">
        <v>709</v>
      </c>
      <c r="S321" s="5">
        <v>22.06</v>
      </c>
      <c r="T321" s="3">
        <v>45508</v>
      </c>
      <c r="U321" s="3">
        <v>45518</v>
      </c>
      <c r="V321" t="s">
        <v>77</v>
      </c>
      <c r="W321">
        <f t="shared" si="22"/>
        <v>158.9211</v>
      </c>
      <c r="X321">
        <f t="shared" si="23"/>
        <v>219.96</v>
      </c>
      <c r="Y321">
        <f t="shared" si="24"/>
        <v>61.038900000000012</v>
      </c>
      <c r="Z321" s="8" t="str">
        <f t="shared" si="21"/>
        <v>High</v>
      </c>
      <c r="AA321" s="12">
        <f>DATE(YEAR(Table1[[#This Row],[OrderDate]]),MONTH(Table1[[#This Row],[OrderDate]]),1)</f>
        <v>45505</v>
      </c>
    </row>
    <row r="322" spans="1:27" x14ac:dyDescent="0.3">
      <c r="A322" s="3">
        <v>45588</v>
      </c>
      <c r="B322" t="s">
        <v>7</v>
      </c>
      <c r="C322" t="s">
        <v>35</v>
      </c>
      <c r="D322" t="str">
        <f>TRIM(Table1[[#This Row],[Product]])</f>
        <v>Tablet</v>
      </c>
      <c r="E322" t="str">
        <f>PROPER(Table1[[#This Row],[Column1]])</f>
        <v>Tablet</v>
      </c>
      <c r="F322" s="8" t="str">
        <f t="shared" ref="F322:F385" si="25">IF(OR(E322="Chair",E322="Desk"),"Furniture",IF(OR(E322="Laptop",E322="Monitor",E322="Phone",E322="Tablet"),"Technology",IF(E322="Printer","Office Supplies","Other")))</f>
        <v>Technology</v>
      </c>
      <c r="G322" s="5">
        <v>12</v>
      </c>
      <c r="H322">
        <v>352.2</v>
      </c>
      <c r="I322" t="s">
        <v>64</v>
      </c>
      <c r="J322" t="s">
        <v>65</v>
      </c>
      <c r="K322" s="7">
        <v>0.05</v>
      </c>
      <c r="L322" t="s">
        <v>25</v>
      </c>
      <c r="M322" s="5">
        <v>4015.079999999999</v>
      </c>
      <c r="N322" t="s">
        <v>82</v>
      </c>
      <c r="O322" t="s">
        <v>71</v>
      </c>
      <c r="P322" s="5">
        <v>0</v>
      </c>
      <c r="Q322" t="s">
        <v>710</v>
      </c>
      <c r="R322" t="s">
        <v>711</v>
      </c>
      <c r="S322" s="5">
        <v>18.39</v>
      </c>
      <c r="T322" s="3">
        <v>45588</v>
      </c>
      <c r="U322" s="3">
        <v>45597</v>
      </c>
      <c r="V322" t="s">
        <v>77</v>
      </c>
      <c r="W322">
        <f t="shared" si="22"/>
        <v>3814.3259999999991</v>
      </c>
      <c r="X322">
        <f t="shared" si="23"/>
        <v>4226.3999999999996</v>
      </c>
      <c r="Y322">
        <f t="shared" si="24"/>
        <v>412.07400000000052</v>
      </c>
      <c r="Z322" s="8" t="str">
        <f t="shared" ref="Z322:Z385" si="26">IF(K322=0,"No Discount",IF(K322&lt;5%,"Low",IF(K322&lt;15%,"Medium","High")))</f>
        <v>Medium</v>
      </c>
      <c r="AA322" s="12">
        <f>DATE(YEAR(Table1[[#This Row],[OrderDate]]),MONTH(Table1[[#This Row],[OrderDate]]),1)</f>
        <v>45566</v>
      </c>
    </row>
    <row r="323" spans="1:27" x14ac:dyDescent="0.3">
      <c r="A323" s="3">
        <v>45335</v>
      </c>
      <c r="B323" t="s">
        <v>16</v>
      </c>
      <c r="C323" t="s">
        <v>32</v>
      </c>
      <c r="D323" t="str">
        <f>TRIM(Table1[[#This Row],[Product]])</f>
        <v>Monitor</v>
      </c>
      <c r="E323" t="str">
        <f>PROPER(Table1[[#This Row],[Column1]])</f>
        <v>Monitor</v>
      </c>
      <c r="F323" s="8" t="str">
        <f t="shared" si="25"/>
        <v>Technology</v>
      </c>
      <c r="G323" s="5">
        <v>7</v>
      </c>
      <c r="H323">
        <v>353.99</v>
      </c>
      <c r="I323" t="s">
        <v>78</v>
      </c>
      <c r="J323" t="s">
        <v>58</v>
      </c>
      <c r="K323" s="7">
        <v>0.05</v>
      </c>
      <c r="L323" t="s">
        <v>21</v>
      </c>
      <c r="M323" s="5">
        <v>2354.0335</v>
      </c>
      <c r="N323" t="s">
        <v>66</v>
      </c>
      <c r="O323" t="s">
        <v>60</v>
      </c>
      <c r="P323" s="5">
        <v>0</v>
      </c>
      <c r="Q323" t="s">
        <v>712</v>
      </c>
      <c r="R323" t="s">
        <v>713</v>
      </c>
      <c r="S323" s="5">
        <v>5.93</v>
      </c>
      <c r="T323" s="3">
        <v>45335</v>
      </c>
      <c r="U323" s="3">
        <v>45342</v>
      </c>
      <c r="V323" t="s">
        <v>95</v>
      </c>
      <c r="W323">
        <f t="shared" ref="W323:W386" si="27">M323*(1-K323)</f>
        <v>2236.3318249999998</v>
      </c>
      <c r="X323">
        <f t="shared" ref="X323:X386" si="28">G323*H323</f>
        <v>2477.9300000000003</v>
      </c>
      <c r="Y323">
        <f t="shared" ref="Y323:Y386" si="29">X323-W323</f>
        <v>241.59817500000054</v>
      </c>
      <c r="Z323" s="8" t="str">
        <f t="shared" si="26"/>
        <v>Medium</v>
      </c>
      <c r="AA323" s="12">
        <f>DATE(YEAR(Table1[[#This Row],[OrderDate]]),MONTH(Table1[[#This Row],[OrderDate]]),1)</f>
        <v>45323</v>
      </c>
    </row>
    <row r="324" spans="1:27" x14ac:dyDescent="0.3">
      <c r="A324" s="3">
        <v>45446</v>
      </c>
      <c r="B324" t="s">
        <v>13</v>
      </c>
      <c r="C324" t="s">
        <v>35</v>
      </c>
      <c r="D324" t="str">
        <f>TRIM(Table1[[#This Row],[Product]])</f>
        <v>Tablet</v>
      </c>
      <c r="E324" t="str">
        <f>PROPER(Table1[[#This Row],[Column1]])</f>
        <v>Tablet</v>
      </c>
      <c r="F324" s="8" t="str">
        <f t="shared" si="25"/>
        <v>Technology</v>
      </c>
      <c r="G324" s="5">
        <v>15</v>
      </c>
      <c r="H324">
        <v>10.220000000000001</v>
      </c>
      <c r="I324" t="s">
        <v>78</v>
      </c>
      <c r="J324" t="s">
        <v>65</v>
      </c>
      <c r="K324" s="7">
        <v>0</v>
      </c>
      <c r="L324" t="s">
        <v>18</v>
      </c>
      <c r="M324" s="5">
        <v>153.30000000000001</v>
      </c>
      <c r="N324" t="s">
        <v>66</v>
      </c>
      <c r="O324" t="s">
        <v>60</v>
      </c>
      <c r="P324" s="5">
        <v>0</v>
      </c>
      <c r="Q324" t="s">
        <v>714</v>
      </c>
      <c r="R324" t="s">
        <v>715</v>
      </c>
      <c r="S324" s="5">
        <v>36.270000000000003</v>
      </c>
      <c r="T324" s="3">
        <v>45446</v>
      </c>
      <c r="U324" s="3">
        <v>45450</v>
      </c>
      <c r="V324" t="s">
        <v>70</v>
      </c>
      <c r="W324">
        <f t="shared" si="27"/>
        <v>153.30000000000001</v>
      </c>
      <c r="X324">
        <f t="shared" si="28"/>
        <v>153.30000000000001</v>
      </c>
      <c r="Y324">
        <f t="shared" si="29"/>
        <v>0</v>
      </c>
      <c r="Z324" s="8" t="str">
        <f t="shared" si="26"/>
        <v>No Discount</v>
      </c>
      <c r="AA324" s="12">
        <f>DATE(YEAR(Table1[[#This Row],[OrderDate]]),MONTH(Table1[[#This Row],[OrderDate]]),1)</f>
        <v>45444</v>
      </c>
    </row>
    <row r="325" spans="1:27" x14ac:dyDescent="0.3">
      <c r="A325" s="3">
        <v>45030</v>
      </c>
      <c r="B325" t="s">
        <v>13</v>
      </c>
      <c r="C325" t="s">
        <v>34</v>
      </c>
      <c r="D325" t="str">
        <f>TRIM(Table1[[#This Row],[Product]])</f>
        <v>Printer</v>
      </c>
      <c r="E325" t="str">
        <f>PROPER(Table1[[#This Row],[Column1]])</f>
        <v>Printer</v>
      </c>
      <c r="F325" s="8" t="str">
        <f t="shared" si="25"/>
        <v>Office Supplies</v>
      </c>
      <c r="G325" s="5">
        <v>17</v>
      </c>
      <c r="H325">
        <v>464.16</v>
      </c>
      <c r="I325" t="s">
        <v>64</v>
      </c>
      <c r="J325" t="s">
        <v>65</v>
      </c>
      <c r="K325" s="7">
        <v>0.15</v>
      </c>
      <c r="L325" t="s">
        <v>21</v>
      </c>
      <c r="M325" s="5">
        <v>6707.1120000000001</v>
      </c>
      <c r="N325" t="s">
        <v>85</v>
      </c>
      <c r="O325" t="s">
        <v>60</v>
      </c>
      <c r="P325" s="5">
        <v>1</v>
      </c>
      <c r="Q325" t="s">
        <v>716</v>
      </c>
      <c r="R325" t="s">
        <v>717</v>
      </c>
      <c r="S325" s="5">
        <v>46.83</v>
      </c>
      <c r="T325" s="3">
        <v>45030</v>
      </c>
      <c r="U325" s="3">
        <v>45034</v>
      </c>
      <c r="V325" t="s">
        <v>70</v>
      </c>
      <c r="W325">
        <f t="shared" si="27"/>
        <v>5701.0451999999996</v>
      </c>
      <c r="X325">
        <f t="shared" si="28"/>
        <v>7890.72</v>
      </c>
      <c r="Y325">
        <f t="shared" si="29"/>
        <v>2189.6748000000007</v>
      </c>
      <c r="Z325" s="8" t="str">
        <f t="shared" si="26"/>
        <v>High</v>
      </c>
      <c r="AA325" s="12">
        <f>DATE(YEAR(Table1[[#This Row],[OrderDate]]),MONTH(Table1[[#This Row],[OrderDate]]),1)</f>
        <v>45017</v>
      </c>
    </row>
    <row r="326" spans="1:27" x14ac:dyDescent="0.3">
      <c r="A326" s="3">
        <v>45584</v>
      </c>
      <c r="B326" t="s">
        <v>7</v>
      </c>
      <c r="C326" t="s">
        <v>31</v>
      </c>
      <c r="D326" t="str">
        <f>TRIM(Table1[[#This Row],[Product]])</f>
        <v>Laptop</v>
      </c>
      <c r="E326" t="str">
        <f>PROPER(Table1[[#This Row],[Column1]])</f>
        <v>Laptop</v>
      </c>
      <c r="F326" s="8" t="str">
        <f t="shared" si="25"/>
        <v>Technology</v>
      </c>
      <c r="G326" s="5">
        <v>16</v>
      </c>
      <c r="H326">
        <v>436.31</v>
      </c>
      <c r="I326" t="s">
        <v>78</v>
      </c>
      <c r="J326" t="s">
        <v>65</v>
      </c>
      <c r="K326" s="7">
        <v>0.05</v>
      </c>
      <c r="L326" t="s">
        <v>23</v>
      </c>
      <c r="M326" s="5">
        <v>6631.9119999999994</v>
      </c>
      <c r="N326" t="s">
        <v>59</v>
      </c>
      <c r="P326" s="5">
        <v>0</v>
      </c>
      <c r="Q326" t="s">
        <v>718</v>
      </c>
      <c r="R326" t="s">
        <v>719</v>
      </c>
      <c r="S326" s="5">
        <v>47.61</v>
      </c>
      <c r="T326" s="3">
        <v>45584</v>
      </c>
      <c r="U326" s="3">
        <v>45588</v>
      </c>
      <c r="V326" t="s">
        <v>77</v>
      </c>
      <c r="W326">
        <f t="shared" si="27"/>
        <v>6300.3163999999988</v>
      </c>
      <c r="X326">
        <f t="shared" si="28"/>
        <v>6980.96</v>
      </c>
      <c r="Y326">
        <f t="shared" si="29"/>
        <v>680.64360000000124</v>
      </c>
      <c r="Z326" s="8" t="str">
        <f t="shared" si="26"/>
        <v>Medium</v>
      </c>
      <c r="AA326" s="12">
        <f>DATE(YEAR(Table1[[#This Row],[OrderDate]]),MONTH(Table1[[#This Row],[OrderDate]]),1)</f>
        <v>45566</v>
      </c>
    </row>
    <row r="327" spans="1:27" x14ac:dyDescent="0.3">
      <c r="A327" s="3">
        <v>45278</v>
      </c>
      <c r="B327" t="s">
        <v>13</v>
      </c>
      <c r="C327" t="s">
        <v>31</v>
      </c>
      <c r="D327" t="str">
        <f>TRIM(Table1[[#This Row],[Product]])</f>
        <v>Laptop</v>
      </c>
      <c r="E327" t="str">
        <f>PROPER(Table1[[#This Row],[Column1]])</f>
        <v>Laptop</v>
      </c>
      <c r="F327" s="8" t="str">
        <f t="shared" si="25"/>
        <v>Technology</v>
      </c>
      <c r="G327" s="5">
        <v>9</v>
      </c>
      <c r="H327">
        <v>219.93</v>
      </c>
      <c r="I327" t="s">
        <v>57</v>
      </c>
      <c r="J327" t="s">
        <v>58</v>
      </c>
      <c r="K327" s="7">
        <v>0.05</v>
      </c>
      <c r="L327" t="s">
        <v>19</v>
      </c>
      <c r="M327" s="5">
        <v>1880.4014999999999</v>
      </c>
      <c r="N327" t="s">
        <v>66</v>
      </c>
      <c r="O327" t="s">
        <v>60</v>
      </c>
      <c r="P327" s="5">
        <v>0</v>
      </c>
      <c r="Q327" t="s">
        <v>720</v>
      </c>
      <c r="R327" t="s">
        <v>721</v>
      </c>
      <c r="S327" s="5">
        <v>44.78</v>
      </c>
      <c r="T327" s="3">
        <v>45278</v>
      </c>
      <c r="U327" s="3">
        <v>45282</v>
      </c>
      <c r="V327" t="s">
        <v>70</v>
      </c>
      <c r="W327">
        <f t="shared" si="27"/>
        <v>1786.3814249999998</v>
      </c>
      <c r="X327">
        <f t="shared" si="28"/>
        <v>1979.3700000000001</v>
      </c>
      <c r="Y327">
        <f t="shared" si="29"/>
        <v>192.98857500000031</v>
      </c>
      <c r="Z327" s="8" t="str">
        <f t="shared" si="26"/>
        <v>Medium</v>
      </c>
      <c r="AA327" s="12">
        <f>DATE(YEAR(Table1[[#This Row],[OrderDate]]),MONTH(Table1[[#This Row],[OrderDate]]),1)</f>
        <v>45261</v>
      </c>
    </row>
    <row r="328" spans="1:27" x14ac:dyDescent="0.3">
      <c r="A328" s="3">
        <v>45169</v>
      </c>
      <c r="B328" t="s">
        <v>11</v>
      </c>
      <c r="C328" t="s">
        <v>31</v>
      </c>
      <c r="D328" t="str">
        <f>TRIM(Table1[[#This Row],[Product]])</f>
        <v>Laptop</v>
      </c>
      <c r="E328" t="str">
        <f>PROPER(Table1[[#This Row],[Column1]])</f>
        <v>Laptop</v>
      </c>
      <c r="F328" s="8" t="str">
        <f t="shared" si="25"/>
        <v>Technology</v>
      </c>
      <c r="G328" s="5">
        <v>5</v>
      </c>
      <c r="H328">
        <v>311.22000000000003</v>
      </c>
      <c r="I328" t="s">
        <v>64</v>
      </c>
      <c r="J328" t="s">
        <v>58</v>
      </c>
      <c r="K328" s="7">
        <v>0.15</v>
      </c>
      <c r="L328" t="s">
        <v>23</v>
      </c>
      <c r="M328" s="5">
        <v>1322.6849999999999</v>
      </c>
      <c r="N328" t="s">
        <v>88</v>
      </c>
      <c r="O328" t="s">
        <v>60</v>
      </c>
      <c r="P328" s="5">
        <v>0</v>
      </c>
      <c r="Q328" t="s">
        <v>722</v>
      </c>
      <c r="R328" t="s">
        <v>723</v>
      </c>
      <c r="S328" s="5">
        <v>36.979999999999997</v>
      </c>
      <c r="T328" s="3">
        <v>45169</v>
      </c>
      <c r="U328" s="3">
        <v>45175</v>
      </c>
      <c r="V328" t="s">
        <v>74</v>
      </c>
      <c r="W328">
        <f t="shared" si="27"/>
        <v>1124.28225</v>
      </c>
      <c r="X328">
        <f t="shared" si="28"/>
        <v>1556.1000000000001</v>
      </c>
      <c r="Y328">
        <f t="shared" si="29"/>
        <v>431.81775000000016</v>
      </c>
      <c r="Z328" s="8" t="str">
        <f t="shared" si="26"/>
        <v>High</v>
      </c>
      <c r="AA328" s="12">
        <f>DATE(YEAR(Table1[[#This Row],[OrderDate]]),MONTH(Table1[[#This Row],[OrderDate]]),1)</f>
        <v>45139</v>
      </c>
    </row>
    <row r="329" spans="1:27" x14ac:dyDescent="0.3">
      <c r="A329" s="3">
        <v>45188</v>
      </c>
      <c r="B329" t="s">
        <v>13</v>
      </c>
      <c r="C329" t="s">
        <v>31</v>
      </c>
      <c r="D329" t="str">
        <f>TRIM(Table1[[#This Row],[Product]])</f>
        <v>Laptop</v>
      </c>
      <c r="E329" t="str">
        <f>PROPER(Table1[[#This Row],[Column1]])</f>
        <v>Laptop</v>
      </c>
      <c r="F329" s="8" t="str">
        <f t="shared" si="25"/>
        <v>Technology</v>
      </c>
      <c r="G329" s="5">
        <v>4</v>
      </c>
      <c r="H329">
        <v>547.55999999999995</v>
      </c>
      <c r="I329" t="s">
        <v>81</v>
      </c>
      <c r="J329" t="s">
        <v>65</v>
      </c>
      <c r="K329" s="7">
        <v>0.15</v>
      </c>
      <c r="L329" t="s">
        <v>27</v>
      </c>
      <c r="M329" s="5">
        <v>1861.704</v>
      </c>
      <c r="N329" t="s">
        <v>66</v>
      </c>
      <c r="P329" s="5">
        <v>0</v>
      </c>
      <c r="Q329" t="s">
        <v>724</v>
      </c>
      <c r="R329" t="s">
        <v>725</v>
      </c>
      <c r="S329" s="5">
        <v>25.88</v>
      </c>
      <c r="T329" s="3">
        <v>45188</v>
      </c>
      <c r="U329" s="3">
        <v>45195</v>
      </c>
      <c r="V329" t="s">
        <v>70</v>
      </c>
      <c r="W329">
        <f t="shared" si="27"/>
        <v>1582.4484</v>
      </c>
      <c r="X329">
        <f t="shared" si="28"/>
        <v>2190.2399999999998</v>
      </c>
      <c r="Y329">
        <f t="shared" si="29"/>
        <v>607.79159999999979</v>
      </c>
      <c r="Z329" s="8" t="str">
        <f t="shared" si="26"/>
        <v>High</v>
      </c>
      <c r="AA329" s="12">
        <f>DATE(YEAR(Table1[[#This Row],[OrderDate]]),MONTH(Table1[[#This Row],[OrderDate]]),1)</f>
        <v>45170</v>
      </c>
    </row>
    <row r="330" spans="1:27" x14ac:dyDescent="0.3">
      <c r="A330" s="3">
        <v>44984</v>
      </c>
      <c r="B330" t="s">
        <v>7</v>
      </c>
      <c r="C330" t="s">
        <v>31</v>
      </c>
      <c r="D330" t="str">
        <f>TRIM(Table1[[#This Row],[Product]])</f>
        <v>Laptop</v>
      </c>
      <c r="E330" t="str">
        <f>PROPER(Table1[[#This Row],[Column1]])</f>
        <v>Laptop</v>
      </c>
      <c r="F330" s="8" t="str">
        <f t="shared" si="25"/>
        <v>Technology</v>
      </c>
      <c r="G330" s="5">
        <v>9</v>
      </c>
      <c r="H330">
        <v>52.69</v>
      </c>
      <c r="I330" t="s">
        <v>81</v>
      </c>
      <c r="J330" t="s">
        <v>65</v>
      </c>
      <c r="K330" s="7">
        <v>0.15</v>
      </c>
      <c r="L330" t="s">
        <v>23</v>
      </c>
      <c r="M330" s="5">
        <v>403.07850000000002</v>
      </c>
      <c r="N330" t="s">
        <v>59</v>
      </c>
      <c r="O330" t="s">
        <v>67</v>
      </c>
      <c r="P330" s="5">
        <v>0</v>
      </c>
      <c r="Q330" t="s">
        <v>726</v>
      </c>
      <c r="R330" t="s">
        <v>727</v>
      </c>
      <c r="S330" s="5">
        <v>14.59</v>
      </c>
      <c r="T330" s="3">
        <v>44984</v>
      </c>
      <c r="U330" s="3">
        <v>44989</v>
      </c>
      <c r="V330" t="s">
        <v>77</v>
      </c>
      <c r="W330">
        <f t="shared" si="27"/>
        <v>342.61672500000003</v>
      </c>
      <c r="X330">
        <f t="shared" si="28"/>
        <v>474.21</v>
      </c>
      <c r="Y330">
        <f t="shared" si="29"/>
        <v>131.59327499999995</v>
      </c>
      <c r="Z330" s="8" t="str">
        <f t="shared" si="26"/>
        <v>High</v>
      </c>
      <c r="AA330" s="12">
        <f>DATE(YEAR(Table1[[#This Row],[OrderDate]]),MONTH(Table1[[#This Row],[OrderDate]]),1)</f>
        <v>44958</v>
      </c>
    </row>
    <row r="331" spans="1:27" x14ac:dyDescent="0.3">
      <c r="A331" s="3">
        <v>45319</v>
      </c>
      <c r="B331" t="s">
        <v>13</v>
      </c>
      <c r="C331" t="s">
        <v>35</v>
      </c>
      <c r="D331" t="str">
        <f>TRIM(Table1[[#This Row],[Product]])</f>
        <v>Tablet</v>
      </c>
      <c r="E331" t="str">
        <f>PROPER(Table1[[#This Row],[Column1]])</f>
        <v>Tablet</v>
      </c>
      <c r="F331" s="8" t="str">
        <f t="shared" si="25"/>
        <v>Technology</v>
      </c>
      <c r="G331" s="5">
        <v>9</v>
      </c>
      <c r="H331">
        <v>434.74</v>
      </c>
      <c r="I331" t="s">
        <v>81</v>
      </c>
      <c r="J331" t="s">
        <v>58</v>
      </c>
      <c r="K331" s="7">
        <v>0.1</v>
      </c>
      <c r="L331" t="s">
        <v>19</v>
      </c>
      <c r="M331" s="5">
        <v>3521.3939999999998</v>
      </c>
      <c r="N331" t="s">
        <v>59</v>
      </c>
      <c r="O331" t="s">
        <v>67</v>
      </c>
      <c r="P331" s="5">
        <v>0</v>
      </c>
      <c r="Q331" t="s">
        <v>728</v>
      </c>
      <c r="R331" t="s">
        <v>729</v>
      </c>
      <c r="S331" s="5">
        <v>20.11</v>
      </c>
      <c r="T331" s="3">
        <v>45319</v>
      </c>
      <c r="U331" s="3">
        <v>45322</v>
      </c>
      <c r="V331" t="s">
        <v>70</v>
      </c>
      <c r="W331">
        <f t="shared" si="27"/>
        <v>3169.2545999999998</v>
      </c>
      <c r="X331">
        <f t="shared" si="28"/>
        <v>3912.66</v>
      </c>
      <c r="Y331">
        <f t="shared" si="29"/>
        <v>743.4054000000001</v>
      </c>
      <c r="Z331" s="8" t="str">
        <f t="shared" si="26"/>
        <v>Medium</v>
      </c>
      <c r="AA331" s="12">
        <f>DATE(YEAR(Table1[[#This Row],[OrderDate]]),MONTH(Table1[[#This Row],[OrderDate]]),1)</f>
        <v>45292</v>
      </c>
    </row>
    <row r="332" spans="1:27" x14ac:dyDescent="0.3">
      <c r="A332" s="3">
        <v>45783</v>
      </c>
      <c r="B332" t="s">
        <v>13</v>
      </c>
      <c r="C332" t="s">
        <v>32</v>
      </c>
      <c r="D332" t="str">
        <f>TRIM(Table1[[#This Row],[Product]])</f>
        <v>Monitor</v>
      </c>
      <c r="E332" t="str">
        <f>PROPER(Table1[[#This Row],[Column1]])</f>
        <v>Monitor</v>
      </c>
      <c r="F332" s="8" t="str">
        <f t="shared" si="25"/>
        <v>Technology</v>
      </c>
      <c r="G332" s="5">
        <v>9</v>
      </c>
      <c r="H332">
        <v>124.17</v>
      </c>
      <c r="I332" t="s">
        <v>78</v>
      </c>
      <c r="J332" t="s">
        <v>58</v>
      </c>
      <c r="K332" s="7">
        <v>0</v>
      </c>
      <c r="L332" t="s">
        <v>25</v>
      </c>
      <c r="M332" s="5">
        <v>1117.53</v>
      </c>
      <c r="N332" t="s">
        <v>85</v>
      </c>
      <c r="O332" t="s">
        <v>71</v>
      </c>
      <c r="P332" s="5">
        <v>0</v>
      </c>
      <c r="Q332" t="s">
        <v>730</v>
      </c>
      <c r="R332" t="s">
        <v>731</v>
      </c>
      <c r="S332" s="5">
        <v>13.31</v>
      </c>
      <c r="T332" s="3">
        <v>45783</v>
      </c>
      <c r="U332" s="3">
        <v>45787</v>
      </c>
      <c r="V332" t="s">
        <v>70</v>
      </c>
      <c r="W332">
        <f t="shared" si="27"/>
        <v>1117.53</v>
      </c>
      <c r="X332">
        <f t="shared" si="28"/>
        <v>1117.53</v>
      </c>
      <c r="Y332">
        <f t="shared" si="29"/>
        <v>0</v>
      </c>
      <c r="Z332" s="8" t="str">
        <f t="shared" si="26"/>
        <v>No Discount</v>
      </c>
      <c r="AA332" s="12">
        <f>DATE(YEAR(Table1[[#This Row],[OrderDate]]),MONTH(Table1[[#This Row],[OrderDate]]),1)</f>
        <v>45778</v>
      </c>
    </row>
    <row r="333" spans="1:27" x14ac:dyDescent="0.3">
      <c r="A333" s="3">
        <v>45548</v>
      </c>
      <c r="B333" t="s">
        <v>9</v>
      </c>
      <c r="C333" t="s">
        <v>32</v>
      </c>
      <c r="D333" t="str">
        <f>TRIM(Table1[[#This Row],[Product]])</f>
        <v>Monitor</v>
      </c>
      <c r="E333" t="str">
        <f>PROPER(Table1[[#This Row],[Column1]])</f>
        <v>Monitor</v>
      </c>
      <c r="F333" s="8" t="str">
        <f t="shared" si="25"/>
        <v>Technology</v>
      </c>
      <c r="G333" s="5">
        <v>2</v>
      </c>
      <c r="H333">
        <v>375.48</v>
      </c>
      <c r="I333" t="s">
        <v>81</v>
      </c>
      <c r="J333" t="s">
        <v>65</v>
      </c>
      <c r="K333" s="7">
        <v>0.05</v>
      </c>
      <c r="L333" t="s">
        <v>23</v>
      </c>
      <c r="M333" s="5">
        <v>713.41200000000003</v>
      </c>
      <c r="N333" t="s">
        <v>82</v>
      </c>
      <c r="O333" t="s">
        <v>60</v>
      </c>
      <c r="P333" s="5">
        <v>0</v>
      </c>
      <c r="Q333" t="s">
        <v>732</v>
      </c>
      <c r="R333" t="s">
        <v>733</v>
      </c>
      <c r="S333" s="5">
        <v>26.39</v>
      </c>
      <c r="T333" s="3">
        <v>45548</v>
      </c>
      <c r="U333" s="3">
        <v>45550</v>
      </c>
      <c r="V333" t="s">
        <v>63</v>
      </c>
      <c r="W333">
        <f t="shared" si="27"/>
        <v>677.7414</v>
      </c>
      <c r="X333">
        <f t="shared" si="28"/>
        <v>750.96</v>
      </c>
      <c r="Y333">
        <f t="shared" si="29"/>
        <v>73.218600000000038</v>
      </c>
      <c r="Z333" s="8" t="str">
        <f t="shared" si="26"/>
        <v>Medium</v>
      </c>
      <c r="AA333" s="12">
        <f>DATE(YEAR(Table1[[#This Row],[OrderDate]]),MONTH(Table1[[#This Row],[OrderDate]]),1)</f>
        <v>45536</v>
      </c>
    </row>
    <row r="334" spans="1:27" x14ac:dyDescent="0.3">
      <c r="A334" s="3">
        <v>45071</v>
      </c>
      <c r="B334" t="s">
        <v>9</v>
      </c>
      <c r="C334" t="s">
        <v>34</v>
      </c>
      <c r="D334" t="str">
        <f>TRIM(Table1[[#This Row],[Product]])</f>
        <v>Printer</v>
      </c>
      <c r="E334" t="str">
        <f>PROPER(Table1[[#This Row],[Column1]])</f>
        <v>Printer</v>
      </c>
      <c r="F334" s="8" t="str">
        <f t="shared" si="25"/>
        <v>Office Supplies</v>
      </c>
      <c r="G334" s="5">
        <v>13</v>
      </c>
      <c r="H334">
        <v>211.06</v>
      </c>
      <c r="I334" t="s">
        <v>57</v>
      </c>
      <c r="J334" t="s">
        <v>65</v>
      </c>
      <c r="K334" s="7">
        <v>0.1</v>
      </c>
      <c r="L334" t="s">
        <v>19</v>
      </c>
      <c r="M334" s="5">
        <v>2469.402</v>
      </c>
      <c r="N334" t="s">
        <v>66</v>
      </c>
      <c r="P334" s="5">
        <v>1</v>
      </c>
      <c r="Q334" t="s">
        <v>734</v>
      </c>
      <c r="R334" t="s">
        <v>735</v>
      </c>
      <c r="S334" s="5">
        <v>19.579999999999998</v>
      </c>
      <c r="T334" s="3">
        <v>45071</v>
      </c>
      <c r="U334" s="3">
        <v>45075</v>
      </c>
      <c r="V334" t="s">
        <v>63</v>
      </c>
      <c r="W334">
        <f t="shared" si="27"/>
        <v>2222.4618</v>
      </c>
      <c r="X334">
        <f t="shared" si="28"/>
        <v>2743.78</v>
      </c>
      <c r="Y334">
        <f t="shared" si="29"/>
        <v>521.31820000000016</v>
      </c>
      <c r="Z334" s="8" t="str">
        <f t="shared" si="26"/>
        <v>Medium</v>
      </c>
      <c r="AA334" s="12">
        <f>DATE(YEAR(Table1[[#This Row],[OrderDate]]),MONTH(Table1[[#This Row],[OrderDate]]),1)</f>
        <v>45047</v>
      </c>
    </row>
    <row r="335" spans="1:27" x14ac:dyDescent="0.3">
      <c r="A335" s="3">
        <v>45561</v>
      </c>
      <c r="B335" t="s">
        <v>13</v>
      </c>
      <c r="C335" t="s">
        <v>35</v>
      </c>
      <c r="D335" t="str">
        <f>TRIM(Table1[[#This Row],[Product]])</f>
        <v>Tablet</v>
      </c>
      <c r="E335" t="str">
        <f>PROPER(Table1[[#This Row],[Column1]])</f>
        <v>Tablet</v>
      </c>
      <c r="F335" s="8" t="str">
        <f t="shared" si="25"/>
        <v>Technology</v>
      </c>
      <c r="G335" s="5">
        <v>7</v>
      </c>
      <c r="H335">
        <v>88.87</v>
      </c>
      <c r="I335" t="s">
        <v>78</v>
      </c>
      <c r="J335" t="s">
        <v>65</v>
      </c>
      <c r="K335" s="7">
        <v>0</v>
      </c>
      <c r="L335" t="s">
        <v>18</v>
      </c>
      <c r="M335" s="5">
        <v>622.09</v>
      </c>
      <c r="N335" t="s">
        <v>59</v>
      </c>
      <c r="O335" t="s">
        <v>67</v>
      </c>
      <c r="P335" s="5">
        <v>0</v>
      </c>
      <c r="Q335" t="s">
        <v>736</v>
      </c>
      <c r="R335" t="s">
        <v>737</v>
      </c>
      <c r="S335" s="5">
        <v>8.36</v>
      </c>
      <c r="T335" s="3">
        <v>45561</v>
      </c>
      <c r="U335" s="3">
        <v>45566</v>
      </c>
      <c r="V335" t="s">
        <v>70</v>
      </c>
      <c r="W335">
        <f t="shared" si="27"/>
        <v>622.09</v>
      </c>
      <c r="X335">
        <f t="shared" si="28"/>
        <v>622.09</v>
      </c>
      <c r="Y335">
        <f t="shared" si="29"/>
        <v>0</v>
      </c>
      <c r="Z335" s="8" t="str">
        <f t="shared" si="26"/>
        <v>No Discount</v>
      </c>
      <c r="AA335" s="12">
        <f>DATE(YEAR(Table1[[#This Row],[OrderDate]]),MONTH(Table1[[#This Row],[OrderDate]]),1)</f>
        <v>45536</v>
      </c>
    </row>
    <row r="336" spans="1:27" x14ac:dyDescent="0.3">
      <c r="A336" s="3">
        <v>44970</v>
      </c>
      <c r="B336" t="s">
        <v>13</v>
      </c>
      <c r="C336" t="s">
        <v>33</v>
      </c>
      <c r="D336" t="str">
        <f>TRIM(Table1[[#This Row],[Product]])</f>
        <v>Phone</v>
      </c>
      <c r="E336" t="str">
        <f>PROPER(Table1[[#This Row],[Column1]])</f>
        <v>Phone</v>
      </c>
      <c r="F336" s="8" t="str">
        <f t="shared" si="25"/>
        <v>Technology</v>
      </c>
      <c r="G336" s="5">
        <v>5</v>
      </c>
      <c r="H336">
        <v>254.24</v>
      </c>
      <c r="I336" t="s">
        <v>57</v>
      </c>
      <c r="J336" t="s">
        <v>58</v>
      </c>
      <c r="K336" s="7">
        <v>0.05</v>
      </c>
      <c r="L336" t="s">
        <v>19</v>
      </c>
      <c r="M336" s="5">
        <v>1207.6400000000001</v>
      </c>
      <c r="N336" t="s">
        <v>59</v>
      </c>
      <c r="P336" s="5">
        <v>0</v>
      </c>
      <c r="Q336" t="s">
        <v>738</v>
      </c>
      <c r="R336" t="s">
        <v>739</v>
      </c>
      <c r="S336" s="5">
        <v>9.9700000000000006</v>
      </c>
      <c r="T336" s="3">
        <v>44970</v>
      </c>
      <c r="U336" s="3">
        <v>44975</v>
      </c>
      <c r="V336" t="s">
        <v>70</v>
      </c>
      <c r="W336">
        <f t="shared" si="27"/>
        <v>1147.258</v>
      </c>
      <c r="X336">
        <f t="shared" si="28"/>
        <v>1271.2</v>
      </c>
      <c r="Y336">
        <f t="shared" si="29"/>
        <v>123.94200000000001</v>
      </c>
      <c r="Z336" s="8" t="str">
        <f t="shared" si="26"/>
        <v>Medium</v>
      </c>
      <c r="AA336" s="12">
        <f>DATE(YEAR(Table1[[#This Row],[OrderDate]]),MONTH(Table1[[#This Row],[OrderDate]]),1)</f>
        <v>44958</v>
      </c>
    </row>
    <row r="337" spans="1:27" x14ac:dyDescent="0.3">
      <c r="A337" s="3">
        <v>45463</v>
      </c>
      <c r="B337" t="s">
        <v>7</v>
      </c>
      <c r="C337" t="s">
        <v>29</v>
      </c>
      <c r="D337" t="str">
        <f>TRIM(Table1[[#This Row],[Product]])</f>
        <v>Chair</v>
      </c>
      <c r="E337" t="str">
        <f>PROPER(Table1[[#This Row],[Column1]])</f>
        <v>Chair</v>
      </c>
      <c r="F337" s="8" t="str">
        <f t="shared" si="25"/>
        <v>Furniture</v>
      </c>
      <c r="G337" s="5">
        <v>5</v>
      </c>
      <c r="H337">
        <v>432.35</v>
      </c>
      <c r="I337" t="s">
        <v>78</v>
      </c>
      <c r="J337" t="s">
        <v>58</v>
      </c>
      <c r="K337" s="7">
        <v>0.1</v>
      </c>
      <c r="L337" t="s">
        <v>19</v>
      </c>
      <c r="M337" s="5">
        <v>1945.575</v>
      </c>
      <c r="N337" t="s">
        <v>66</v>
      </c>
      <c r="P337" s="5">
        <v>1</v>
      </c>
      <c r="Q337" t="s">
        <v>740</v>
      </c>
      <c r="R337" t="s">
        <v>741</v>
      </c>
      <c r="S337" s="5">
        <v>41.48</v>
      </c>
      <c r="T337" s="3">
        <v>45463</v>
      </c>
      <c r="U337" s="3">
        <v>45470</v>
      </c>
      <c r="V337" t="s">
        <v>77</v>
      </c>
      <c r="W337">
        <f t="shared" si="27"/>
        <v>1751.0175000000002</v>
      </c>
      <c r="X337">
        <f t="shared" si="28"/>
        <v>2161.75</v>
      </c>
      <c r="Y337">
        <f t="shared" si="29"/>
        <v>410.73249999999985</v>
      </c>
      <c r="Z337" s="8" t="str">
        <f t="shared" si="26"/>
        <v>Medium</v>
      </c>
      <c r="AA337" s="12">
        <f>DATE(YEAR(Table1[[#This Row],[OrderDate]]),MONTH(Table1[[#This Row],[OrderDate]]),1)</f>
        <v>45444</v>
      </c>
    </row>
    <row r="338" spans="1:27" x14ac:dyDescent="0.3">
      <c r="A338" s="3">
        <v>45373</v>
      </c>
      <c r="B338" t="s">
        <v>16</v>
      </c>
      <c r="C338" t="s">
        <v>31</v>
      </c>
      <c r="D338" t="str">
        <f>TRIM(Table1[[#This Row],[Product]])</f>
        <v>Laptop</v>
      </c>
      <c r="E338" t="str">
        <f>PROPER(Table1[[#This Row],[Column1]])</f>
        <v>Laptop</v>
      </c>
      <c r="F338" s="8" t="str">
        <f t="shared" si="25"/>
        <v>Technology</v>
      </c>
      <c r="G338" s="5">
        <v>19</v>
      </c>
      <c r="H338">
        <v>590</v>
      </c>
      <c r="I338" t="s">
        <v>81</v>
      </c>
      <c r="J338" t="s">
        <v>65</v>
      </c>
      <c r="K338" s="7">
        <v>0.05</v>
      </c>
      <c r="L338" t="s">
        <v>18</v>
      </c>
      <c r="M338" s="5">
        <v>10649.5</v>
      </c>
      <c r="N338" t="s">
        <v>59</v>
      </c>
      <c r="O338" t="s">
        <v>60</v>
      </c>
      <c r="P338" s="5">
        <v>0</v>
      </c>
      <c r="Q338" t="s">
        <v>742</v>
      </c>
      <c r="R338" t="s">
        <v>743</v>
      </c>
      <c r="S338" s="5">
        <v>5.91</v>
      </c>
      <c r="T338" s="3">
        <v>45373</v>
      </c>
      <c r="U338" s="3">
        <v>45376</v>
      </c>
      <c r="V338" t="s">
        <v>95</v>
      </c>
      <c r="W338">
        <f t="shared" si="27"/>
        <v>10117.025</v>
      </c>
      <c r="X338">
        <f t="shared" si="28"/>
        <v>11210</v>
      </c>
      <c r="Y338">
        <f t="shared" si="29"/>
        <v>1092.9750000000004</v>
      </c>
      <c r="Z338" s="8" t="str">
        <f t="shared" si="26"/>
        <v>Medium</v>
      </c>
      <c r="AA338" s="12">
        <f>DATE(YEAR(Table1[[#This Row],[OrderDate]]),MONTH(Table1[[#This Row],[OrderDate]]),1)</f>
        <v>45352</v>
      </c>
    </row>
    <row r="339" spans="1:27" x14ac:dyDescent="0.3">
      <c r="A339" s="3">
        <v>45330</v>
      </c>
      <c r="B339" t="s">
        <v>16</v>
      </c>
      <c r="C339" t="s">
        <v>32</v>
      </c>
      <c r="D339" t="str">
        <f>TRIM(Table1[[#This Row],[Product]])</f>
        <v>Monitor</v>
      </c>
      <c r="E339" t="str">
        <f>PROPER(Table1[[#This Row],[Column1]])</f>
        <v>Monitor</v>
      </c>
      <c r="F339" s="8" t="str">
        <f t="shared" si="25"/>
        <v>Technology</v>
      </c>
      <c r="G339" s="5">
        <v>11</v>
      </c>
      <c r="H339">
        <v>151.25</v>
      </c>
      <c r="I339" t="s">
        <v>57</v>
      </c>
      <c r="J339" t="s">
        <v>58</v>
      </c>
      <c r="K339" s="7">
        <v>0.1</v>
      </c>
      <c r="L339" t="s">
        <v>27</v>
      </c>
      <c r="M339" s="5">
        <v>1497.375</v>
      </c>
      <c r="N339" t="s">
        <v>82</v>
      </c>
      <c r="P339" s="5">
        <v>1</v>
      </c>
      <c r="Q339" t="s">
        <v>744</v>
      </c>
      <c r="R339" t="s">
        <v>745</v>
      </c>
      <c r="S339" s="5">
        <v>22.65</v>
      </c>
      <c r="T339" s="3">
        <v>45330</v>
      </c>
      <c r="U339" s="3">
        <v>45333</v>
      </c>
      <c r="V339" t="s">
        <v>95</v>
      </c>
      <c r="W339">
        <f t="shared" si="27"/>
        <v>1347.6375</v>
      </c>
      <c r="X339">
        <f t="shared" si="28"/>
        <v>1663.75</v>
      </c>
      <c r="Y339">
        <f t="shared" si="29"/>
        <v>316.11249999999995</v>
      </c>
      <c r="Z339" s="8" t="str">
        <f t="shared" si="26"/>
        <v>Medium</v>
      </c>
      <c r="AA339" s="12">
        <f>DATE(YEAR(Table1[[#This Row],[OrderDate]]),MONTH(Table1[[#This Row],[OrderDate]]),1)</f>
        <v>45323</v>
      </c>
    </row>
    <row r="340" spans="1:27" x14ac:dyDescent="0.3">
      <c r="A340" s="3">
        <v>45444</v>
      </c>
      <c r="B340" t="s">
        <v>9</v>
      </c>
      <c r="C340" t="s">
        <v>30</v>
      </c>
      <c r="D340" t="str">
        <f>TRIM(Table1[[#This Row],[Product]])</f>
        <v>Desk</v>
      </c>
      <c r="E340" t="str">
        <f>PROPER(Table1[[#This Row],[Column1]])</f>
        <v>Desk</v>
      </c>
      <c r="F340" s="8" t="str">
        <f t="shared" si="25"/>
        <v>Furniture</v>
      </c>
      <c r="G340" s="5">
        <v>3</v>
      </c>
      <c r="H340">
        <v>204.79</v>
      </c>
      <c r="I340" t="s">
        <v>57</v>
      </c>
      <c r="J340" t="s">
        <v>65</v>
      </c>
      <c r="K340" s="7">
        <v>0.1</v>
      </c>
      <c r="L340" t="s">
        <v>27</v>
      </c>
      <c r="M340" s="5">
        <v>552.93299999999999</v>
      </c>
      <c r="N340" t="s">
        <v>59</v>
      </c>
      <c r="O340" t="s">
        <v>60</v>
      </c>
      <c r="P340" s="5">
        <v>1</v>
      </c>
      <c r="Q340" t="s">
        <v>746</v>
      </c>
      <c r="R340" t="s">
        <v>747</v>
      </c>
      <c r="S340" s="5">
        <v>7.72</v>
      </c>
      <c r="T340" s="3">
        <v>45444</v>
      </c>
      <c r="U340" s="3">
        <v>45447</v>
      </c>
      <c r="V340" t="s">
        <v>63</v>
      </c>
      <c r="W340">
        <f t="shared" si="27"/>
        <v>497.6397</v>
      </c>
      <c r="X340">
        <f t="shared" si="28"/>
        <v>614.37</v>
      </c>
      <c r="Y340">
        <f t="shared" si="29"/>
        <v>116.7303</v>
      </c>
      <c r="Z340" s="8" t="str">
        <f t="shared" si="26"/>
        <v>Medium</v>
      </c>
      <c r="AA340" s="12">
        <f>DATE(YEAR(Table1[[#This Row],[OrderDate]]),MONTH(Table1[[#This Row],[OrderDate]]),1)</f>
        <v>45444</v>
      </c>
    </row>
    <row r="341" spans="1:27" x14ac:dyDescent="0.3">
      <c r="A341" s="3">
        <v>45438</v>
      </c>
      <c r="B341" t="s">
        <v>11</v>
      </c>
      <c r="C341" t="s">
        <v>31</v>
      </c>
      <c r="D341" t="str">
        <f>TRIM(Table1[[#This Row],[Product]])</f>
        <v>Laptop</v>
      </c>
      <c r="E341" t="str">
        <f>PROPER(Table1[[#This Row],[Column1]])</f>
        <v>Laptop</v>
      </c>
      <c r="F341" s="8" t="str">
        <f t="shared" si="25"/>
        <v>Technology</v>
      </c>
      <c r="G341" s="5">
        <v>16</v>
      </c>
      <c r="H341">
        <v>586.52</v>
      </c>
      <c r="I341" t="s">
        <v>78</v>
      </c>
      <c r="J341" t="s">
        <v>58</v>
      </c>
      <c r="K341" s="7">
        <v>0</v>
      </c>
      <c r="L341" t="s">
        <v>23</v>
      </c>
      <c r="M341" s="5">
        <v>9384.32</v>
      </c>
      <c r="N341" t="s">
        <v>82</v>
      </c>
      <c r="O341" t="s">
        <v>71</v>
      </c>
      <c r="P341" s="5">
        <v>1</v>
      </c>
      <c r="Q341" t="s">
        <v>748</v>
      </c>
      <c r="R341" t="s">
        <v>749</v>
      </c>
      <c r="S341" s="5">
        <v>17.059999999999999</v>
      </c>
      <c r="T341" s="3">
        <v>45438</v>
      </c>
      <c r="U341" s="3">
        <v>45444</v>
      </c>
      <c r="V341" t="s">
        <v>74</v>
      </c>
      <c r="W341">
        <f t="shared" si="27"/>
        <v>9384.32</v>
      </c>
      <c r="X341">
        <f t="shared" si="28"/>
        <v>9384.32</v>
      </c>
      <c r="Y341">
        <f t="shared" si="29"/>
        <v>0</v>
      </c>
      <c r="Z341" s="8" t="str">
        <f t="shared" si="26"/>
        <v>No Discount</v>
      </c>
      <c r="AA341" s="12">
        <f>DATE(YEAR(Table1[[#This Row],[OrderDate]]),MONTH(Table1[[#This Row],[OrderDate]]),1)</f>
        <v>45413</v>
      </c>
    </row>
    <row r="342" spans="1:27" x14ac:dyDescent="0.3">
      <c r="A342" s="3">
        <v>45468</v>
      </c>
      <c r="B342" t="s">
        <v>9</v>
      </c>
      <c r="C342" t="s">
        <v>34</v>
      </c>
      <c r="D342" t="str">
        <f>TRIM(Table1[[#This Row],[Product]])</f>
        <v>Printer</v>
      </c>
      <c r="E342" t="str">
        <f>PROPER(Table1[[#This Row],[Column1]])</f>
        <v>Printer</v>
      </c>
      <c r="F342" s="8" t="str">
        <f t="shared" si="25"/>
        <v>Office Supplies</v>
      </c>
      <c r="G342" s="5">
        <v>16</v>
      </c>
      <c r="H342">
        <v>104.83</v>
      </c>
      <c r="I342" t="s">
        <v>64</v>
      </c>
      <c r="J342" t="s">
        <v>58</v>
      </c>
      <c r="K342" s="7">
        <v>0</v>
      </c>
      <c r="L342" t="s">
        <v>21</v>
      </c>
      <c r="M342" s="5">
        <v>1677.28</v>
      </c>
      <c r="N342" t="s">
        <v>66</v>
      </c>
      <c r="O342" t="s">
        <v>60</v>
      </c>
      <c r="P342" s="5">
        <v>0</v>
      </c>
      <c r="Q342" t="s">
        <v>750</v>
      </c>
      <c r="R342" t="s">
        <v>603</v>
      </c>
      <c r="S342" s="5">
        <v>33.99</v>
      </c>
      <c r="T342" s="3">
        <v>45468</v>
      </c>
      <c r="U342" s="3">
        <v>45473</v>
      </c>
      <c r="V342" t="s">
        <v>63</v>
      </c>
      <c r="W342">
        <f t="shared" si="27"/>
        <v>1677.28</v>
      </c>
      <c r="X342">
        <f t="shared" si="28"/>
        <v>1677.28</v>
      </c>
      <c r="Y342">
        <f t="shared" si="29"/>
        <v>0</v>
      </c>
      <c r="Z342" s="8" t="str">
        <f t="shared" si="26"/>
        <v>No Discount</v>
      </c>
      <c r="AA342" s="12">
        <f>DATE(YEAR(Table1[[#This Row],[OrderDate]]),MONTH(Table1[[#This Row],[OrderDate]]),1)</f>
        <v>45444</v>
      </c>
    </row>
    <row r="343" spans="1:27" x14ac:dyDescent="0.3">
      <c r="A343" s="3">
        <v>45320</v>
      </c>
      <c r="B343" t="s">
        <v>7</v>
      </c>
      <c r="C343" t="s">
        <v>34</v>
      </c>
      <c r="D343" t="str">
        <f>TRIM(Table1[[#This Row],[Product]])</f>
        <v>Printer</v>
      </c>
      <c r="E343" t="str">
        <f>PROPER(Table1[[#This Row],[Column1]])</f>
        <v>Printer</v>
      </c>
      <c r="F343" s="8" t="str">
        <f t="shared" si="25"/>
        <v>Office Supplies</v>
      </c>
      <c r="G343" s="5">
        <v>16</v>
      </c>
      <c r="H343">
        <v>598.48</v>
      </c>
      <c r="I343" t="s">
        <v>64</v>
      </c>
      <c r="J343" t="s">
        <v>65</v>
      </c>
      <c r="K343" s="7">
        <v>0.1</v>
      </c>
      <c r="L343" t="s">
        <v>27</v>
      </c>
      <c r="M343" s="5">
        <v>8618.112000000001</v>
      </c>
      <c r="N343" t="s">
        <v>88</v>
      </c>
      <c r="P343" s="5">
        <v>0</v>
      </c>
      <c r="Q343" t="s">
        <v>751</v>
      </c>
      <c r="R343" t="s">
        <v>752</v>
      </c>
      <c r="S343" s="5">
        <v>47.86</v>
      </c>
      <c r="T343" s="3">
        <v>45320</v>
      </c>
      <c r="U343" s="3">
        <v>45329</v>
      </c>
      <c r="V343" t="s">
        <v>77</v>
      </c>
      <c r="W343">
        <f t="shared" si="27"/>
        <v>7756.3008000000009</v>
      </c>
      <c r="X343">
        <f t="shared" si="28"/>
        <v>9575.68</v>
      </c>
      <c r="Y343">
        <f t="shared" si="29"/>
        <v>1819.3791999999994</v>
      </c>
      <c r="Z343" s="8" t="str">
        <f t="shared" si="26"/>
        <v>Medium</v>
      </c>
      <c r="AA343" s="12">
        <f>DATE(YEAR(Table1[[#This Row],[OrderDate]]),MONTH(Table1[[#This Row],[OrderDate]]),1)</f>
        <v>45292</v>
      </c>
    </row>
    <row r="344" spans="1:27" x14ac:dyDescent="0.3">
      <c r="A344" s="3">
        <v>45633</v>
      </c>
      <c r="B344" t="s">
        <v>13</v>
      </c>
      <c r="C344" t="s">
        <v>29</v>
      </c>
      <c r="D344" t="str">
        <f>TRIM(Table1[[#This Row],[Product]])</f>
        <v>Chair</v>
      </c>
      <c r="E344" t="str">
        <f>PROPER(Table1[[#This Row],[Column1]])</f>
        <v>Chair</v>
      </c>
      <c r="F344" s="8" t="str">
        <f t="shared" si="25"/>
        <v>Furniture</v>
      </c>
      <c r="G344" s="5">
        <v>8</v>
      </c>
      <c r="H344">
        <v>367.89</v>
      </c>
      <c r="I344" t="s">
        <v>57</v>
      </c>
      <c r="J344" t="s">
        <v>65</v>
      </c>
      <c r="K344" s="7">
        <v>0.05</v>
      </c>
      <c r="L344" t="s">
        <v>18</v>
      </c>
      <c r="M344" s="5">
        <v>2795.9639999999999</v>
      </c>
      <c r="N344" t="s">
        <v>88</v>
      </c>
      <c r="O344" t="s">
        <v>60</v>
      </c>
      <c r="P344" s="5">
        <v>0</v>
      </c>
      <c r="Q344" t="s">
        <v>753</v>
      </c>
      <c r="R344" t="s">
        <v>754</v>
      </c>
      <c r="S344" s="5">
        <v>18.100000000000001</v>
      </c>
      <c r="T344" s="3">
        <v>45633</v>
      </c>
      <c r="U344" s="3">
        <v>45635</v>
      </c>
      <c r="V344" t="s">
        <v>70</v>
      </c>
      <c r="W344">
        <f t="shared" si="27"/>
        <v>2656.1657999999998</v>
      </c>
      <c r="X344">
        <f t="shared" si="28"/>
        <v>2943.12</v>
      </c>
      <c r="Y344">
        <f t="shared" si="29"/>
        <v>286.95420000000013</v>
      </c>
      <c r="Z344" s="8" t="str">
        <f t="shared" si="26"/>
        <v>Medium</v>
      </c>
      <c r="AA344" s="12">
        <f>DATE(YEAR(Table1[[#This Row],[OrderDate]]),MONTH(Table1[[#This Row],[OrderDate]]),1)</f>
        <v>45627</v>
      </c>
    </row>
    <row r="345" spans="1:27" x14ac:dyDescent="0.3">
      <c r="A345" s="3">
        <v>45251</v>
      </c>
      <c r="B345" t="s">
        <v>16</v>
      </c>
      <c r="C345" t="s">
        <v>29</v>
      </c>
      <c r="D345" t="str">
        <f>TRIM(Table1[[#This Row],[Product]])</f>
        <v>Chair</v>
      </c>
      <c r="E345" t="str">
        <f>PROPER(Table1[[#This Row],[Column1]])</f>
        <v>Chair</v>
      </c>
      <c r="F345" s="8" t="str">
        <f t="shared" si="25"/>
        <v>Furniture</v>
      </c>
      <c r="G345" s="5">
        <v>10</v>
      </c>
      <c r="H345">
        <v>333.35</v>
      </c>
      <c r="I345" t="s">
        <v>64</v>
      </c>
      <c r="J345" t="s">
        <v>65</v>
      </c>
      <c r="K345" s="7">
        <v>0.15</v>
      </c>
      <c r="L345" t="s">
        <v>18</v>
      </c>
      <c r="M345" s="5">
        <v>2833.4749999999999</v>
      </c>
      <c r="N345" t="s">
        <v>85</v>
      </c>
      <c r="O345" t="s">
        <v>60</v>
      </c>
      <c r="P345" s="5">
        <v>0</v>
      </c>
      <c r="Q345" t="s">
        <v>755</v>
      </c>
      <c r="R345" t="s">
        <v>756</v>
      </c>
      <c r="S345" s="5">
        <v>39.35</v>
      </c>
      <c r="T345" s="3">
        <v>45251</v>
      </c>
      <c r="U345" s="3">
        <v>45256</v>
      </c>
      <c r="V345" t="s">
        <v>95</v>
      </c>
      <c r="W345">
        <f t="shared" si="27"/>
        <v>2408.4537499999997</v>
      </c>
      <c r="X345">
        <f t="shared" si="28"/>
        <v>3333.5</v>
      </c>
      <c r="Y345">
        <f t="shared" si="29"/>
        <v>925.04625000000033</v>
      </c>
      <c r="Z345" s="8" t="str">
        <f t="shared" si="26"/>
        <v>High</v>
      </c>
      <c r="AA345" s="12">
        <f>DATE(YEAR(Table1[[#This Row],[OrderDate]]),MONTH(Table1[[#This Row],[OrderDate]]),1)</f>
        <v>45231</v>
      </c>
    </row>
    <row r="346" spans="1:27" x14ac:dyDescent="0.3">
      <c r="A346" s="3">
        <v>45642</v>
      </c>
      <c r="B346" t="s">
        <v>11</v>
      </c>
      <c r="C346" t="s">
        <v>29</v>
      </c>
      <c r="D346" t="str">
        <f>TRIM(Table1[[#This Row],[Product]])</f>
        <v>Chair</v>
      </c>
      <c r="E346" t="str">
        <f>PROPER(Table1[[#This Row],[Column1]])</f>
        <v>Chair</v>
      </c>
      <c r="F346" s="8" t="str">
        <f t="shared" si="25"/>
        <v>Furniture</v>
      </c>
      <c r="G346" s="5">
        <v>8</v>
      </c>
      <c r="H346">
        <v>378.88</v>
      </c>
      <c r="I346" t="s">
        <v>64</v>
      </c>
      <c r="J346" t="s">
        <v>58</v>
      </c>
      <c r="K346" s="7">
        <v>0.1</v>
      </c>
      <c r="L346" t="s">
        <v>27</v>
      </c>
      <c r="M346" s="5">
        <v>2727.9360000000001</v>
      </c>
      <c r="N346" t="s">
        <v>85</v>
      </c>
      <c r="O346" t="s">
        <v>71</v>
      </c>
      <c r="P346" s="5">
        <v>1</v>
      </c>
      <c r="Q346" t="s">
        <v>757</v>
      </c>
      <c r="R346" t="s">
        <v>758</v>
      </c>
      <c r="S346" s="5">
        <v>5.22</v>
      </c>
      <c r="T346" s="3">
        <v>45642</v>
      </c>
      <c r="U346" s="3">
        <v>45650</v>
      </c>
      <c r="V346" t="s">
        <v>74</v>
      </c>
      <c r="W346">
        <f t="shared" si="27"/>
        <v>2455.1424000000002</v>
      </c>
      <c r="X346">
        <f t="shared" si="28"/>
        <v>3031.04</v>
      </c>
      <c r="Y346">
        <f t="shared" si="29"/>
        <v>575.89759999999978</v>
      </c>
      <c r="Z346" s="8" t="str">
        <f t="shared" si="26"/>
        <v>Medium</v>
      </c>
      <c r="AA346" s="12">
        <f>DATE(YEAR(Table1[[#This Row],[OrderDate]]),MONTH(Table1[[#This Row],[OrderDate]]),1)</f>
        <v>45627</v>
      </c>
    </row>
    <row r="347" spans="1:27" x14ac:dyDescent="0.3">
      <c r="A347" s="3">
        <v>45143</v>
      </c>
      <c r="B347" t="s">
        <v>7</v>
      </c>
      <c r="C347" t="s">
        <v>32</v>
      </c>
      <c r="D347" t="str">
        <f>TRIM(Table1[[#This Row],[Product]])</f>
        <v>Monitor</v>
      </c>
      <c r="E347" t="str">
        <f>PROPER(Table1[[#This Row],[Column1]])</f>
        <v>Monitor</v>
      </c>
      <c r="F347" s="8" t="str">
        <f t="shared" si="25"/>
        <v>Technology</v>
      </c>
      <c r="G347" s="5">
        <v>12</v>
      </c>
      <c r="H347">
        <v>169.2</v>
      </c>
      <c r="I347" t="s">
        <v>78</v>
      </c>
      <c r="J347" t="s">
        <v>65</v>
      </c>
      <c r="K347" s="7">
        <v>0.05</v>
      </c>
      <c r="L347" t="s">
        <v>23</v>
      </c>
      <c r="M347" s="5">
        <v>1928.88</v>
      </c>
      <c r="N347" t="s">
        <v>66</v>
      </c>
      <c r="O347" t="s">
        <v>67</v>
      </c>
      <c r="P347" s="5">
        <v>0</v>
      </c>
      <c r="Q347" t="s">
        <v>759</v>
      </c>
      <c r="R347" t="s">
        <v>760</v>
      </c>
      <c r="S347" s="5">
        <v>28.65</v>
      </c>
      <c r="T347" s="3">
        <v>45143</v>
      </c>
      <c r="U347" s="3">
        <v>45153</v>
      </c>
      <c r="V347" t="s">
        <v>77</v>
      </c>
      <c r="W347">
        <f t="shared" si="27"/>
        <v>1832.4359999999999</v>
      </c>
      <c r="X347">
        <f t="shared" si="28"/>
        <v>2030.3999999999999</v>
      </c>
      <c r="Y347">
        <f t="shared" si="29"/>
        <v>197.96399999999994</v>
      </c>
      <c r="Z347" s="8" t="str">
        <f t="shared" si="26"/>
        <v>Medium</v>
      </c>
      <c r="AA347" s="12">
        <f>DATE(YEAR(Table1[[#This Row],[OrderDate]]),MONTH(Table1[[#This Row],[OrderDate]]),1)</f>
        <v>45139</v>
      </c>
    </row>
    <row r="348" spans="1:27" x14ac:dyDescent="0.3">
      <c r="A348" s="3">
        <v>45168</v>
      </c>
      <c r="B348" t="s">
        <v>7</v>
      </c>
      <c r="C348" t="s">
        <v>29</v>
      </c>
      <c r="D348" t="str">
        <f>TRIM(Table1[[#This Row],[Product]])</f>
        <v>Chair</v>
      </c>
      <c r="E348" t="str">
        <f>PROPER(Table1[[#This Row],[Column1]])</f>
        <v>Chair</v>
      </c>
      <c r="F348" s="8" t="str">
        <f t="shared" si="25"/>
        <v>Furniture</v>
      </c>
      <c r="G348" s="5">
        <v>7</v>
      </c>
      <c r="H348">
        <v>103.03</v>
      </c>
      <c r="I348" t="s">
        <v>81</v>
      </c>
      <c r="J348" t="s">
        <v>65</v>
      </c>
      <c r="K348" s="7">
        <v>0.1</v>
      </c>
      <c r="L348" t="s">
        <v>19</v>
      </c>
      <c r="M348" s="5">
        <v>649.08900000000006</v>
      </c>
      <c r="N348" t="s">
        <v>59</v>
      </c>
      <c r="O348" t="s">
        <v>60</v>
      </c>
      <c r="P348" s="5">
        <v>1</v>
      </c>
      <c r="Q348" t="s">
        <v>761</v>
      </c>
      <c r="R348" t="s">
        <v>762</v>
      </c>
      <c r="S348" s="5">
        <v>5.29</v>
      </c>
      <c r="T348" s="3">
        <v>45168</v>
      </c>
      <c r="U348" s="3">
        <v>45175</v>
      </c>
      <c r="V348" t="s">
        <v>77</v>
      </c>
      <c r="W348">
        <f t="shared" si="27"/>
        <v>584.18010000000004</v>
      </c>
      <c r="X348">
        <f t="shared" si="28"/>
        <v>721.21</v>
      </c>
      <c r="Y348">
        <f t="shared" si="29"/>
        <v>137.0299</v>
      </c>
      <c r="Z348" s="8" t="str">
        <f t="shared" si="26"/>
        <v>Medium</v>
      </c>
      <c r="AA348" s="12">
        <f>DATE(YEAR(Table1[[#This Row],[OrderDate]]),MONTH(Table1[[#This Row],[OrderDate]]),1)</f>
        <v>45139</v>
      </c>
    </row>
    <row r="349" spans="1:27" x14ac:dyDescent="0.3">
      <c r="A349" s="3">
        <v>45741</v>
      </c>
      <c r="B349" t="s">
        <v>9</v>
      </c>
      <c r="C349" t="s">
        <v>34</v>
      </c>
      <c r="D349" t="str">
        <f>TRIM(Table1[[#This Row],[Product]])</f>
        <v>Printer</v>
      </c>
      <c r="E349" t="str">
        <f>PROPER(Table1[[#This Row],[Column1]])</f>
        <v>Printer</v>
      </c>
      <c r="F349" s="8" t="str">
        <f t="shared" si="25"/>
        <v>Office Supplies</v>
      </c>
      <c r="G349" s="5">
        <v>3</v>
      </c>
      <c r="H349">
        <v>378.74</v>
      </c>
      <c r="I349" t="s">
        <v>81</v>
      </c>
      <c r="J349" t="s">
        <v>58</v>
      </c>
      <c r="K349" s="7">
        <v>0.15</v>
      </c>
      <c r="L349" t="s">
        <v>27</v>
      </c>
      <c r="M349" s="5">
        <v>965.78700000000003</v>
      </c>
      <c r="N349" t="s">
        <v>59</v>
      </c>
      <c r="O349" t="s">
        <v>67</v>
      </c>
      <c r="P349" s="5">
        <v>0</v>
      </c>
      <c r="Q349" t="s">
        <v>763</v>
      </c>
      <c r="R349" t="s">
        <v>764</v>
      </c>
      <c r="S349" s="5">
        <v>8.2200000000000006</v>
      </c>
      <c r="T349" s="3">
        <v>45741</v>
      </c>
      <c r="U349" s="3">
        <v>45743</v>
      </c>
      <c r="V349" t="s">
        <v>63</v>
      </c>
      <c r="W349">
        <f t="shared" si="27"/>
        <v>820.91895</v>
      </c>
      <c r="X349">
        <f t="shared" si="28"/>
        <v>1136.22</v>
      </c>
      <c r="Y349">
        <f t="shared" si="29"/>
        <v>315.30105000000003</v>
      </c>
      <c r="Z349" s="8" t="str">
        <f t="shared" si="26"/>
        <v>High</v>
      </c>
      <c r="AA349" s="12">
        <f>DATE(YEAR(Table1[[#This Row],[OrderDate]]),MONTH(Table1[[#This Row],[OrderDate]]),1)</f>
        <v>45717</v>
      </c>
    </row>
    <row r="350" spans="1:27" x14ac:dyDescent="0.3">
      <c r="A350" s="3">
        <v>45639</v>
      </c>
      <c r="B350" t="s">
        <v>11</v>
      </c>
      <c r="C350" t="s">
        <v>33</v>
      </c>
      <c r="D350" t="str">
        <f>TRIM(Table1[[#This Row],[Product]])</f>
        <v>Phone</v>
      </c>
      <c r="E350" t="str">
        <f>PROPER(Table1[[#This Row],[Column1]])</f>
        <v>Phone</v>
      </c>
      <c r="F350" s="8" t="str">
        <f t="shared" si="25"/>
        <v>Technology</v>
      </c>
      <c r="G350" s="5">
        <v>15</v>
      </c>
      <c r="H350">
        <v>27.21</v>
      </c>
      <c r="I350" t="s">
        <v>78</v>
      </c>
      <c r="J350" t="s">
        <v>58</v>
      </c>
      <c r="K350" s="7">
        <v>0</v>
      </c>
      <c r="L350" t="s">
        <v>18</v>
      </c>
      <c r="M350" s="5">
        <v>408.15</v>
      </c>
      <c r="N350" t="s">
        <v>59</v>
      </c>
      <c r="O350" t="s">
        <v>71</v>
      </c>
      <c r="P350" s="5">
        <v>0</v>
      </c>
      <c r="Q350" t="s">
        <v>765</v>
      </c>
      <c r="R350" t="s">
        <v>766</v>
      </c>
      <c r="S350" s="5">
        <v>43.69</v>
      </c>
      <c r="T350" s="3">
        <v>45639</v>
      </c>
      <c r="U350" s="3">
        <v>45648</v>
      </c>
      <c r="V350" t="s">
        <v>74</v>
      </c>
      <c r="W350">
        <f t="shared" si="27"/>
        <v>408.15</v>
      </c>
      <c r="X350">
        <f t="shared" si="28"/>
        <v>408.15000000000003</v>
      </c>
      <c r="Y350">
        <f t="shared" si="29"/>
        <v>0</v>
      </c>
      <c r="Z350" s="8" t="str">
        <f t="shared" si="26"/>
        <v>No Discount</v>
      </c>
      <c r="AA350" s="12">
        <f>DATE(YEAR(Table1[[#This Row],[OrderDate]]),MONTH(Table1[[#This Row],[OrderDate]]),1)</f>
        <v>45627</v>
      </c>
    </row>
    <row r="351" spans="1:27" x14ac:dyDescent="0.3">
      <c r="A351" s="3">
        <v>45176</v>
      </c>
      <c r="B351" t="s">
        <v>7</v>
      </c>
      <c r="C351" t="s">
        <v>33</v>
      </c>
      <c r="D351" t="str">
        <f>TRIM(Table1[[#This Row],[Product]])</f>
        <v>Phone</v>
      </c>
      <c r="E351" t="str">
        <f>PROPER(Table1[[#This Row],[Column1]])</f>
        <v>Phone</v>
      </c>
      <c r="F351" s="8" t="str">
        <f t="shared" si="25"/>
        <v>Technology</v>
      </c>
      <c r="G351" s="5">
        <v>14</v>
      </c>
      <c r="H351">
        <v>52.09</v>
      </c>
      <c r="I351" t="s">
        <v>64</v>
      </c>
      <c r="J351" t="s">
        <v>65</v>
      </c>
      <c r="K351" s="7">
        <v>0</v>
      </c>
      <c r="L351" t="s">
        <v>19</v>
      </c>
      <c r="M351" s="5">
        <v>729.26</v>
      </c>
      <c r="N351" t="s">
        <v>66</v>
      </c>
      <c r="P351" s="5">
        <v>1</v>
      </c>
      <c r="Q351" t="s">
        <v>767</v>
      </c>
      <c r="R351" t="s">
        <v>768</v>
      </c>
      <c r="S351" s="5">
        <v>48.02</v>
      </c>
      <c r="T351" s="3">
        <v>45176</v>
      </c>
      <c r="U351" s="3">
        <v>45183</v>
      </c>
      <c r="V351" t="s">
        <v>77</v>
      </c>
      <c r="W351">
        <f t="shared" si="27"/>
        <v>729.26</v>
      </c>
      <c r="X351">
        <f t="shared" si="28"/>
        <v>729.26</v>
      </c>
      <c r="Y351">
        <f t="shared" si="29"/>
        <v>0</v>
      </c>
      <c r="Z351" s="8" t="str">
        <f t="shared" si="26"/>
        <v>No Discount</v>
      </c>
      <c r="AA351" s="12">
        <f>DATE(YEAR(Table1[[#This Row],[OrderDate]]),MONTH(Table1[[#This Row],[OrderDate]]),1)</f>
        <v>45170</v>
      </c>
    </row>
    <row r="352" spans="1:27" x14ac:dyDescent="0.3">
      <c r="A352" s="3">
        <v>45272</v>
      </c>
      <c r="B352" t="s">
        <v>11</v>
      </c>
      <c r="C352" t="s">
        <v>32</v>
      </c>
      <c r="D352" t="str">
        <f>TRIM(Table1[[#This Row],[Product]])</f>
        <v>Monitor</v>
      </c>
      <c r="E352" t="str">
        <f>PROPER(Table1[[#This Row],[Column1]])</f>
        <v>Monitor</v>
      </c>
      <c r="F352" s="8" t="str">
        <f t="shared" si="25"/>
        <v>Technology</v>
      </c>
      <c r="G352" s="5">
        <v>7</v>
      </c>
      <c r="H352">
        <v>570.01</v>
      </c>
      <c r="I352" t="s">
        <v>78</v>
      </c>
      <c r="J352" t="s">
        <v>58</v>
      </c>
      <c r="K352" s="7">
        <v>0</v>
      </c>
      <c r="L352" t="s">
        <v>21</v>
      </c>
      <c r="M352" s="5">
        <v>3990.07</v>
      </c>
      <c r="N352" t="s">
        <v>82</v>
      </c>
      <c r="O352" t="s">
        <v>71</v>
      </c>
      <c r="P352" s="5">
        <v>0</v>
      </c>
      <c r="Q352" t="s">
        <v>769</v>
      </c>
      <c r="R352" t="s">
        <v>770</v>
      </c>
      <c r="S352" s="5">
        <v>42.33</v>
      </c>
      <c r="T352" s="3">
        <v>45272</v>
      </c>
      <c r="U352" s="3">
        <v>45281</v>
      </c>
      <c r="V352" t="s">
        <v>74</v>
      </c>
      <c r="W352">
        <f t="shared" si="27"/>
        <v>3990.07</v>
      </c>
      <c r="X352">
        <f t="shared" si="28"/>
        <v>3990.0699999999997</v>
      </c>
      <c r="Y352">
        <f t="shared" si="29"/>
        <v>0</v>
      </c>
      <c r="Z352" s="8" t="str">
        <f t="shared" si="26"/>
        <v>No Discount</v>
      </c>
      <c r="AA352" s="12">
        <f>DATE(YEAR(Table1[[#This Row],[OrderDate]]),MONTH(Table1[[#This Row],[OrderDate]]),1)</f>
        <v>45261</v>
      </c>
    </row>
    <row r="353" spans="1:27" x14ac:dyDescent="0.3">
      <c r="A353" s="3">
        <v>45407</v>
      </c>
      <c r="B353" t="s">
        <v>9</v>
      </c>
      <c r="C353" t="s">
        <v>32</v>
      </c>
      <c r="D353" t="str">
        <f>TRIM(Table1[[#This Row],[Product]])</f>
        <v>Monitor</v>
      </c>
      <c r="E353" t="str">
        <f>PROPER(Table1[[#This Row],[Column1]])</f>
        <v>Monitor</v>
      </c>
      <c r="F353" s="8" t="str">
        <f t="shared" si="25"/>
        <v>Technology</v>
      </c>
      <c r="G353" s="5">
        <v>19</v>
      </c>
      <c r="H353">
        <v>526.23</v>
      </c>
      <c r="I353" t="s">
        <v>57</v>
      </c>
      <c r="J353" t="s">
        <v>65</v>
      </c>
      <c r="K353" s="7">
        <v>0</v>
      </c>
      <c r="L353" t="s">
        <v>19</v>
      </c>
      <c r="M353" s="5">
        <v>9998.3700000000008</v>
      </c>
      <c r="N353" t="s">
        <v>82</v>
      </c>
      <c r="O353" t="s">
        <v>71</v>
      </c>
      <c r="P353" s="5">
        <v>0</v>
      </c>
      <c r="Q353" t="s">
        <v>771</v>
      </c>
      <c r="R353" t="s">
        <v>772</v>
      </c>
      <c r="S353" s="5">
        <v>32.770000000000003</v>
      </c>
      <c r="T353" s="3">
        <v>45407</v>
      </c>
      <c r="U353" s="3">
        <v>45417</v>
      </c>
      <c r="V353" t="s">
        <v>63</v>
      </c>
      <c r="W353">
        <f t="shared" si="27"/>
        <v>9998.3700000000008</v>
      </c>
      <c r="X353">
        <f t="shared" si="28"/>
        <v>9998.3700000000008</v>
      </c>
      <c r="Y353">
        <f t="shared" si="29"/>
        <v>0</v>
      </c>
      <c r="Z353" s="8" t="str">
        <f t="shared" si="26"/>
        <v>No Discount</v>
      </c>
      <c r="AA353" s="12">
        <f>DATE(YEAR(Table1[[#This Row],[OrderDate]]),MONTH(Table1[[#This Row],[OrderDate]]),1)</f>
        <v>45383</v>
      </c>
    </row>
    <row r="354" spans="1:27" x14ac:dyDescent="0.3">
      <c r="A354" s="3">
        <v>45781</v>
      </c>
      <c r="B354" t="s">
        <v>11</v>
      </c>
      <c r="C354" t="s">
        <v>31</v>
      </c>
      <c r="D354" t="str">
        <f>TRIM(Table1[[#This Row],[Product]])</f>
        <v>Laptop</v>
      </c>
      <c r="E354" t="str">
        <f>PROPER(Table1[[#This Row],[Column1]])</f>
        <v>Laptop</v>
      </c>
      <c r="F354" s="8" t="str">
        <f t="shared" si="25"/>
        <v>Technology</v>
      </c>
      <c r="G354" s="5">
        <v>8</v>
      </c>
      <c r="H354">
        <v>294.51</v>
      </c>
      <c r="I354" t="s">
        <v>64</v>
      </c>
      <c r="J354" t="s">
        <v>58</v>
      </c>
      <c r="K354" s="7">
        <v>0.15</v>
      </c>
      <c r="L354" t="s">
        <v>23</v>
      </c>
      <c r="M354" s="5">
        <v>2002.6679999999999</v>
      </c>
      <c r="N354" t="s">
        <v>66</v>
      </c>
      <c r="P354" s="5">
        <v>0</v>
      </c>
      <c r="Q354" t="s">
        <v>773</v>
      </c>
      <c r="R354" t="s">
        <v>774</v>
      </c>
      <c r="S354" s="5">
        <v>10.46</v>
      </c>
      <c r="T354" s="3">
        <v>45781</v>
      </c>
      <c r="U354" s="3">
        <v>45784</v>
      </c>
      <c r="V354" t="s">
        <v>74</v>
      </c>
      <c r="W354">
        <f t="shared" si="27"/>
        <v>1702.2677999999999</v>
      </c>
      <c r="X354">
        <f t="shared" si="28"/>
        <v>2356.08</v>
      </c>
      <c r="Y354">
        <f t="shared" si="29"/>
        <v>653.81220000000008</v>
      </c>
      <c r="Z354" s="8" t="str">
        <f t="shared" si="26"/>
        <v>High</v>
      </c>
      <c r="AA354" s="12">
        <f>DATE(YEAR(Table1[[#This Row],[OrderDate]]),MONTH(Table1[[#This Row],[OrderDate]]),1)</f>
        <v>45778</v>
      </c>
    </row>
    <row r="355" spans="1:27" x14ac:dyDescent="0.3">
      <c r="A355" s="3">
        <v>45185</v>
      </c>
      <c r="B355" t="s">
        <v>13</v>
      </c>
      <c r="C355" t="s">
        <v>32</v>
      </c>
      <c r="D355" t="str">
        <f>TRIM(Table1[[#This Row],[Product]])</f>
        <v>Monitor</v>
      </c>
      <c r="E355" t="str">
        <f>PROPER(Table1[[#This Row],[Column1]])</f>
        <v>Monitor</v>
      </c>
      <c r="F355" s="8" t="str">
        <f t="shared" si="25"/>
        <v>Technology</v>
      </c>
      <c r="G355" s="5">
        <v>18</v>
      </c>
      <c r="H355">
        <v>448.27</v>
      </c>
      <c r="I355" t="s">
        <v>78</v>
      </c>
      <c r="J355" t="s">
        <v>58</v>
      </c>
      <c r="K355" s="7">
        <v>0.05</v>
      </c>
      <c r="L355" t="s">
        <v>23</v>
      </c>
      <c r="M355" s="5">
        <v>7665.4169999999986</v>
      </c>
      <c r="N355" t="s">
        <v>82</v>
      </c>
      <c r="O355" t="s">
        <v>67</v>
      </c>
      <c r="P355" s="5">
        <v>0</v>
      </c>
      <c r="Q355" t="s">
        <v>775</v>
      </c>
      <c r="R355" t="s">
        <v>776</v>
      </c>
      <c r="S355" s="5">
        <v>47.56</v>
      </c>
      <c r="T355" s="3">
        <v>45185</v>
      </c>
      <c r="U355" s="3">
        <v>45189</v>
      </c>
      <c r="V355" t="s">
        <v>70</v>
      </c>
      <c r="W355">
        <f t="shared" si="27"/>
        <v>7282.1461499999987</v>
      </c>
      <c r="X355">
        <f t="shared" si="28"/>
        <v>8068.86</v>
      </c>
      <c r="Y355">
        <f t="shared" si="29"/>
        <v>786.713850000001</v>
      </c>
      <c r="Z355" s="8" t="str">
        <f t="shared" si="26"/>
        <v>Medium</v>
      </c>
      <c r="AA355" s="12">
        <f>DATE(YEAR(Table1[[#This Row],[OrderDate]]),MONTH(Table1[[#This Row],[OrderDate]]),1)</f>
        <v>45170</v>
      </c>
    </row>
    <row r="356" spans="1:27" x14ac:dyDescent="0.3">
      <c r="A356" s="3">
        <v>45588</v>
      </c>
      <c r="B356" t="s">
        <v>16</v>
      </c>
      <c r="C356" t="s">
        <v>30</v>
      </c>
      <c r="D356" t="str">
        <f>TRIM(Table1[[#This Row],[Product]])</f>
        <v>Desk</v>
      </c>
      <c r="E356" t="str">
        <f>PROPER(Table1[[#This Row],[Column1]])</f>
        <v>Desk</v>
      </c>
      <c r="F356" s="8" t="str">
        <f t="shared" si="25"/>
        <v>Furniture</v>
      </c>
      <c r="G356" s="5">
        <v>17</v>
      </c>
      <c r="H356">
        <v>583.88</v>
      </c>
      <c r="I356" t="s">
        <v>81</v>
      </c>
      <c r="J356" t="s">
        <v>65</v>
      </c>
      <c r="K356" s="7">
        <v>0.1</v>
      </c>
      <c r="L356" t="s">
        <v>18</v>
      </c>
      <c r="M356" s="5">
        <v>8933.3639999999996</v>
      </c>
      <c r="N356" t="s">
        <v>82</v>
      </c>
      <c r="O356" t="s">
        <v>71</v>
      </c>
      <c r="P356" s="5">
        <v>0</v>
      </c>
      <c r="Q356" t="s">
        <v>777</v>
      </c>
      <c r="R356" t="s">
        <v>778</v>
      </c>
      <c r="S356" s="5">
        <v>37.53</v>
      </c>
      <c r="T356" s="3">
        <v>45588</v>
      </c>
      <c r="U356" s="3">
        <v>45591</v>
      </c>
      <c r="V356" t="s">
        <v>95</v>
      </c>
      <c r="W356">
        <f t="shared" si="27"/>
        <v>8040.0275999999994</v>
      </c>
      <c r="X356">
        <f t="shared" si="28"/>
        <v>9925.9599999999991</v>
      </c>
      <c r="Y356">
        <f t="shared" si="29"/>
        <v>1885.9323999999997</v>
      </c>
      <c r="Z356" s="8" t="str">
        <f t="shared" si="26"/>
        <v>Medium</v>
      </c>
      <c r="AA356" s="12">
        <f>DATE(YEAR(Table1[[#This Row],[OrderDate]]),MONTH(Table1[[#This Row],[OrderDate]]),1)</f>
        <v>45566</v>
      </c>
    </row>
    <row r="357" spans="1:27" x14ac:dyDescent="0.3">
      <c r="A357" s="3">
        <v>45049</v>
      </c>
      <c r="B357" t="s">
        <v>11</v>
      </c>
      <c r="C357" t="s">
        <v>30</v>
      </c>
      <c r="D357" t="str">
        <f>TRIM(Table1[[#This Row],[Product]])</f>
        <v>Desk</v>
      </c>
      <c r="E357" t="str">
        <f>PROPER(Table1[[#This Row],[Column1]])</f>
        <v>Desk</v>
      </c>
      <c r="F357" s="8" t="str">
        <f t="shared" si="25"/>
        <v>Furniture</v>
      </c>
      <c r="G357" s="5">
        <v>2</v>
      </c>
      <c r="H357">
        <v>97.5</v>
      </c>
      <c r="I357" t="s">
        <v>81</v>
      </c>
      <c r="J357" t="s">
        <v>65</v>
      </c>
      <c r="K357" s="7">
        <v>0.1</v>
      </c>
      <c r="L357" t="s">
        <v>18</v>
      </c>
      <c r="M357" s="5">
        <v>175.5</v>
      </c>
      <c r="N357" t="s">
        <v>88</v>
      </c>
      <c r="P357" s="5">
        <v>1</v>
      </c>
      <c r="Q357" t="s">
        <v>779</v>
      </c>
      <c r="R357" t="s">
        <v>780</v>
      </c>
      <c r="S357" s="5">
        <v>46.37</v>
      </c>
      <c r="T357" s="3">
        <v>45049</v>
      </c>
      <c r="U357" s="3">
        <v>45052</v>
      </c>
      <c r="V357" t="s">
        <v>74</v>
      </c>
      <c r="W357">
        <f t="shared" si="27"/>
        <v>157.95000000000002</v>
      </c>
      <c r="X357">
        <f t="shared" si="28"/>
        <v>195</v>
      </c>
      <c r="Y357">
        <f t="shared" si="29"/>
        <v>37.049999999999983</v>
      </c>
      <c r="Z357" s="8" t="str">
        <f t="shared" si="26"/>
        <v>Medium</v>
      </c>
      <c r="AA357" s="12">
        <f>DATE(YEAR(Table1[[#This Row],[OrderDate]]),MONTH(Table1[[#This Row],[OrderDate]]),1)</f>
        <v>45047</v>
      </c>
    </row>
    <row r="358" spans="1:27" x14ac:dyDescent="0.3">
      <c r="A358" s="3">
        <v>45734</v>
      </c>
      <c r="B358" t="s">
        <v>11</v>
      </c>
      <c r="C358" t="s">
        <v>34</v>
      </c>
      <c r="D358" t="str">
        <f>TRIM(Table1[[#This Row],[Product]])</f>
        <v>Printer</v>
      </c>
      <c r="E358" t="str">
        <f>PROPER(Table1[[#This Row],[Column1]])</f>
        <v>Printer</v>
      </c>
      <c r="F358" s="8" t="str">
        <f t="shared" si="25"/>
        <v>Office Supplies</v>
      </c>
      <c r="G358" s="5">
        <v>16</v>
      </c>
      <c r="H358">
        <v>420.79</v>
      </c>
      <c r="I358" t="s">
        <v>57</v>
      </c>
      <c r="J358" t="s">
        <v>58</v>
      </c>
      <c r="K358" s="7">
        <v>0.15</v>
      </c>
      <c r="L358" t="s">
        <v>21</v>
      </c>
      <c r="M358" s="5">
        <v>5722.7439999999997</v>
      </c>
      <c r="N358" t="s">
        <v>88</v>
      </c>
      <c r="O358" t="s">
        <v>60</v>
      </c>
      <c r="P358" s="5">
        <v>1</v>
      </c>
      <c r="Q358" t="s">
        <v>781</v>
      </c>
      <c r="R358" t="s">
        <v>169</v>
      </c>
      <c r="S358" s="5">
        <v>22.13</v>
      </c>
      <c r="T358" s="3">
        <v>45734</v>
      </c>
      <c r="U358" s="3">
        <v>45741</v>
      </c>
      <c r="V358" t="s">
        <v>74</v>
      </c>
      <c r="W358">
        <f t="shared" si="27"/>
        <v>4864.3323999999993</v>
      </c>
      <c r="X358">
        <f t="shared" si="28"/>
        <v>6732.64</v>
      </c>
      <c r="Y358">
        <f t="shared" si="29"/>
        <v>1868.307600000001</v>
      </c>
      <c r="Z358" s="8" t="str">
        <f t="shared" si="26"/>
        <v>High</v>
      </c>
      <c r="AA358" s="12">
        <f>DATE(YEAR(Table1[[#This Row],[OrderDate]]),MONTH(Table1[[#This Row],[OrderDate]]),1)</f>
        <v>45717</v>
      </c>
    </row>
    <row r="359" spans="1:27" x14ac:dyDescent="0.3">
      <c r="A359" s="3">
        <v>45163</v>
      </c>
      <c r="B359" t="s">
        <v>16</v>
      </c>
      <c r="C359" t="s">
        <v>29</v>
      </c>
      <c r="D359" t="str">
        <f>TRIM(Table1[[#This Row],[Product]])</f>
        <v>Chair</v>
      </c>
      <c r="E359" t="str">
        <f>PROPER(Table1[[#This Row],[Column1]])</f>
        <v>Chair</v>
      </c>
      <c r="F359" s="8" t="str">
        <f t="shared" si="25"/>
        <v>Furniture</v>
      </c>
      <c r="G359" s="5">
        <v>13</v>
      </c>
      <c r="H359">
        <v>513.17999999999995</v>
      </c>
      <c r="I359" t="s">
        <v>57</v>
      </c>
      <c r="J359" t="s">
        <v>65</v>
      </c>
      <c r="K359" s="7">
        <v>0</v>
      </c>
      <c r="L359" t="s">
        <v>25</v>
      </c>
      <c r="M359" s="5">
        <v>6671.3399999999992</v>
      </c>
      <c r="N359" t="s">
        <v>82</v>
      </c>
      <c r="O359" t="s">
        <v>60</v>
      </c>
      <c r="P359" s="5">
        <v>0</v>
      </c>
      <c r="Q359" t="s">
        <v>782</v>
      </c>
      <c r="R359" t="s">
        <v>783</v>
      </c>
      <c r="S359" s="5">
        <v>10.57</v>
      </c>
      <c r="T359" s="3">
        <v>45163</v>
      </c>
      <c r="U359" s="3">
        <v>45165</v>
      </c>
      <c r="V359" t="s">
        <v>95</v>
      </c>
      <c r="W359">
        <f t="shared" si="27"/>
        <v>6671.3399999999992</v>
      </c>
      <c r="X359">
        <f t="shared" si="28"/>
        <v>6671.3399999999992</v>
      </c>
      <c r="Y359">
        <f t="shared" si="29"/>
        <v>0</v>
      </c>
      <c r="Z359" s="8" t="str">
        <f t="shared" si="26"/>
        <v>No Discount</v>
      </c>
      <c r="AA359" s="12">
        <f>DATE(YEAR(Table1[[#This Row],[OrderDate]]),MONTH(Table1[[#This Row],[OrderDate]]),1)</f>
        <v>45139</v>
      </c>
    </row>
    <row r="360" spans="1:27" x14ac:dyDescent="0.3">
      <c r="A360" s="3">
        <v>45120</v>
      </c>
      <c r="B360" t="s">
        <v>11</v>
      </c>
      <c r="C360" t="s">
        <v>32</v>
      </c>
      <c r="D360" t="str">
        <f>TRIM(Table1[[#This Row],[Product]])</f>
        <v>Monitor</v>
      </c>
      <c r="E360" t="str">
        <f>PROPER(Table1[[#This Row],[Column1]])</f>
        <v>Monitor</v>
      </c>
      <c r="F360" s="8" t="str">
        <f t="shared" si="25"/>
        <v>Technology</v>
      </c>
      <c r="G360" s="5">
        <v>19</v>
      </c>
      <c r="H360">
        <v>475.64</v>
      </c>
      <c r="I360" t="s">
        <v>78</v>
      </c>
      <c r="J360" t="s">
        <v>65</v>
      </c>
      <c r="K360" s="7">
        <v>0.1</v>
      </c>
      <c r="L360" t="s">
        <v>27</v>
      </c>
      <c r="M360" s="5">
        <v>8133.4440000000004</v>
      </c>
      <c r="N360" t="s">
        <v>88</v>
      </c>
      <c r="O360" t="s">
        <v>71</v>
      </c>
      <c r="P360" s="5">
        <v>1</v>
      </c>
      <c r="Q360" t="s">
        <v>784</v>
      </c>
      <c r="R360" t="s">
        <v>785</v>
      </c>
      <c r="S360" s="5">
        <v>11.17</v>
      </c>
      <c r="T360" s="3">
        <v>45120</v>
      </c>
      <c r="U360" s="3">
        <v>45124</v>
      </c>
      <c r="V360" t="s">
        <v>74</v>
      </c>
      <c r="W360">
        <f t="shared" si="27"/>
        <v>7320.0996000000005</v>
      </c>
      <c r="X360">
        <f t="shared" si="28"/>
        <v>9037.16</v>
      </c>
      <c r="Y360">
        <f t="shared" si="29"/>
        <v>1717.0603999999994</v>
      </c>
      <c r="Z360" s="8" t="str">
        <f t="shared" si="26"/>
        <v>Medium</v>
      </c>
      <c r="AA360" s="12">
        <f>DATE(YEAR(Table1[[#This Row],[OrderDate]]),MONTH(Table1[[#This Row],[OrderDate]]),1)</f>
        <v>45108</v>
      </c>
    </row>
    <row r="361" spans="1:27" x14ac:dyDescent="0.3">
      <c r="A361" s="3">
        <v>45713</v>
      </c>
      <c r="B361" t="s">
        <v>11</v>
      </c>
      <c r="C361" t="s">
        <v>35</v>
      </c>
      <c r="D361" t="str">
        <f>TRIM(Table1[[#This Row],[Product]])</f>
        <v>Tablet</v>
      </c>
      <c r="E361" t="str">
        <f>PROPER(Table1[[#This Row],[Column1]])</f>
        <v>Tablet</v>
      </c>
      <c r="F361" s="8" t="str">
        <f t="shared" si="25"/>
        <v>Technology</v>
      </c>
      <c r="G361" s="5">
        <v>13</v>
      </c>
      <c r="H361">
        <v>238.34</v>
      </c>
      <c r="I361" t="s">
        <v>78</v>
      </c>
      <c r="J361" t="s">
        <v>65</v>
      </c>
      <c r="K361" s="7">
        <v>0.1</v>
      </c>
      <c r="L361" t="s">
        <v>21</v>
      </c>
      <c r="M361" s="5">
        <v>2788.578</v>
      </c>
      <c r="N361" t="s">
        <v>82</v>
      </c>
      <c r="O361" t="s">
        <v>67</v>
      </c>
      <c r="P361" s="5">
        <v>1</v>
      </c>
      <c r="Q361" t="s">
        <v>786</v>
      </c>
      <c r="R361" t="s">
        <v>787</v>
      </c>
      <c r="S361" s="5">
        <v>7.9</v>
      </c>
      <c r="T361" s="3">
        <v>45713</v>
      </c>
      <c r="U361" s="3">
        <v>45722</v>
      </c>
      <c r="V361" t="s">
        <v>74</v>
      </c>
      <c r="W361">
        <f t="shared" si="27"/>
        <v>2509.7202000000002</v>
      </c>
      <c r="X361">
        <f t="shared" si="28"/>
        <v>3098.42</v>
      </c>
      <c r="Y361">
        <f t="shared" si="29"/>
        <v>588.69979999999987</v>
      </c>
      <c r="Z361" s="8" t="str">
        <f t="shared" si="26"/>
        <v>Medium</v>
      </c>
      <c r="AA361" s="12">
        <f>DATE(YEAR(Table1[[#This Row],[OrderDate]]),MONTH(Table1[[#This Row],[OrderDate]]),1)</f>
        <v>45689</v>
      </c>
    </row>
    <row r="362" spans="1:27" x14ac:dyDescent="0.3">
      <c r="A362" s="3">
        <v>45761</v>
      </c>
      <c r="B362" t="s">
        <v>7</v>
      </c>
      <c r="C362" t="s">
        <v>31</v>
      </c>
      <c r="D362" t="str">
        <f>TRIM(Table1[[#This Row],[Product]])</f>
        <v>Laptop</v>
      </c>
      <c r="E362" t="str">
        <f>PROPER(Table1[[#This Row],[Column1]])</f>
        <v>Laptop</v>
      </c>
      <c r="F362" s="8" t="str">
        <f t="shared" si="25"/>
        <v>Technology</v>
      </c>
      <c r="G362" s="5">
        <v>14</v>
      </c>
      <c r="H362">
        <v>285.02999999999997</v>
      </c>
      <c r="I362" t="s">
        <v>57</v>
      </c>
      <c r="J362" t="s">
        <v>58</v>
      </c>
      <c r="K362" s="7">
        <v>0.1</v>
      </c>
      <c r="L362" t="s">
        <v>25</v>
      </c>
      <c r="M362" s="5">
        <v>3591.3780000000002</v>
      </c>
      <c r="N362" t="s">
        <v>82</v>
      </c>
      <c r="O362" t="s">
        <v>67</v>
      </c>
      <c r="P362" s="5">
        <v>0</v>
      </c>
      <c r="Q362" t="s">
        <v>788</v>
      </c>
      <c r="R362" t="s">
        <v>789</v>
      </c>
      <c r="S362" s="5">
        <v>41.5</v>
      </c>
      <c r="T362" s="3">
        <v>45761</v>
      </c>
      <c r="U362" s="3">
        <v>45764</v>
      </c>
      <c r="V362" t="s">
        <v>77</v>
      </c>
      <c r="W362">
        <f t="shared" si="27"/>
        <v>3232.2402000000002</v>
      </c>
      <c r="X362">
        <f t="shared" si="28"/>
        <v>3990.4199999999996</v>
      </c>
      <c r="Y362">
        <f t="shared" si="29"/>
        <v>758.17979999999943</v>
      </c>
      <c r="Z362" s="8" t="str">
        <f t="shared" si="26"/>
        <v>Medium</v>
      </c>
      <c r="AA362" s="12">
        <f>DATE(YEAR(Table1[[#This Row],[OrderDate]]),MONTH(Table1[[#This Row],[OrderDate]]),1)</f>
        <v>45748</v>
      </c>
    </row>
    <row r="363" spans="1:27" x14ac:dyDescent="0.3">
      <c r="A363" s="3">
        <v>45823</v>
      </c>
      <c r="B363" t="s">
        <v>7</v>
      </c>
      <c r="C363" t="s">
        <v>30</v>
      </c>
      <c r="D363" t="str">
        <f>TRIM(Table1[[#This Row],[Product]])</f>
        <v>Desk</v>
      </c>
      <c r="E363" t="str">
        <f>PROPER(Table1[[#This Row],[Column1]])</f>
        <v>Desk</v>
      </c>
      <c r="F363" s="8" t="str">
        <f t="shared" si="25"/>
        <v>Furniture</v>
      </c>
      <c r="G363" s="5">
        <v>5</v>
      </c>
      <c r="H363">
        <v>5.52</v>
      </c>
      <c r="I363" t="s">
        <v>78</v>
      </c>
      <c r="J363" t="s">
        <v>65</v>
      </c>
      <c r="K363" s="7">
        <v>0.05</v>
      </c>
      <c r="L363" t="s">
        <v>18</v>
      </c>
      <c r="M363" s="5">
        <v>26.22</v>
      </c>
      <c r="N363" t="s">
        <v>82</v>
      </c>
      <c r="O363" t="s">
        <v>60</v>
      </c>
      <c r="P363" s="5">
        <v>0</v>
      </c>
      <c r="Q363" t="s">
        <v>790</v>
      </c>
      <c r="R363" t="s">
        <v>791</v>
      </c>
      <c r="S363" s="5">
        <v>10.58</v>
      </c>
      <c r="T363" s="3">
        <v>45823</v>
      </c>
      <c r="U363" s="3">
        <v>45826</v>
      </c>
      <c r="V363" t="s">
        <v>77</v>
      </c>
      <c r="W363">
        <f t="shared" si="27"/>
        <v>24.908999999999999</v>
      </c>
      <c r="X363">
        <f t="shared" si="28"/>
        <v>27.599999999999998</v>
      </c>
      <c r="Y363">
        <f t="shared" si="29"/>
        <v>2.6909999999999989</v>
      </c>
      <c r="Z363" s="8" t="str">
        <f t="shared" si="26"/>
        <v>Medium</v>
      </c>
      <c r="AA363" s="12">
        <f>DATE(YEAR(Table1[[#This Row],[OrderDate]]),MONTH(Table1[[#This Row],[OrderDate]]),1)</f>
        <v>45809</v>
      </c>
    </row>
    <row r="364" spans="1:27" x14ac:dyDescent="0.3">
      <c r="A364" s="3">
        <v>45587</v>
      </c>
      <c r="B364" t="s">
        <v>11</v>
      </c>
      <c r="C364" t="s">
        <v>32</v>
      </c>
      <c r="D364" t="str">
        <f>TRIM(Table1[[#This Row],[Product]])</f>
        <v>Monitor</v>
      </c>
      <c r="E364" t="str">
        <f>PROPER(Table1[[#This Row],[Column1]])</f>
        <v>Monitor</v>
      </c>
      <c r="F364" s="8" t="str">
        <f t="shared" si="25"/>
        <v>Technology</v>
      </c>
      <c r="G364" s="5">
        <v>18</v>
      </c>
      <c r="H364">
        <v>396.25</v>
      </c>
      <c r="I364" t="s">
        <v>81</v>
      </c>
      <c r="J364" t="s">
        <v>65</v>
      </c>
      <c r="K364" s="7">
        <v>0.1</v>
      </c>
      <c r="L364" t="s">
        <v>27</v>
      </c>
      <c r="M364" s="5">
        <v>6419.25</v>
      </c>
      <c r="N364" t="s">
        <v>82</v>
      </c>
      <c r="O364" t="s">
        <v>60</v>
      </c>
      <c r="P364" s="5">
        <v>0</v>
      </c>
      <c r="Q364" t="s">
        <v>792</v>
      </c>
      <c r="R364" t="s">
        <v>793</v>
      </c>
      <c r="S364" s="5">
        <v>20.39</v>
      </c>
      <c r="T364" s="3">
        <v>45587</v>
      </c>
      <c r="U364" s="3">
        <v>45592</v>
      </c>
      <c r="V364" t="s">
        <v>74</v>
      </c>
      <c r="W364">
        <f t="shared" si="27"/>
        <v>5777.3249999999998</v>
      </c>
      <c r="X364">
        <f t="shared" si="28"/>
        <v>7132.5</v>
      </c>
      <c r="Y364">
        <f t="shared" si="29"/>
        <v>1355.1750000000002</v>
      </c>
      <c r="Z364" s="8" t="str">
        <f t="shared" si="26"/>
        <v>Medium</v>
      </c>
      <c r="AA364" s="12">
        <f>DATE(YEAR(Table1[[#This Row],[OrderDate]]),MONTH(Table1[[#This Row],[OrderDate]]),1)</f>
        <v>45566</v>
      </c>
    </row>
    <row r="365" spans="1:27" x14ac:dyDescent="0.3">
      <c r="A365" s="3">
        <v>45097</v>
      </c>
      <c r="B365" t="s">
        <v>13</v>
      </c>
      <c r="C365" t="s">
        <v>31</v>
      </c>
      <c r="D365" t="str">
        <f>TRIM(Table1[[#This Row],[Product]])</f>
        <v>Laptop</v>
      </c>
      <c r="E365" t="str">
        <f>PROPER(Table1[[#This Row],[Column1]])</f>
        <v>Laptop</v>
      </c>
      <c r="F365" s="8" t="str">
        <f t="shared" si="25"/>
        <v>Technology</v>
      </c>
      <c r="G365" s="5">
        <v>9</v>
      </c>
      <c r="H365">
        <v>282.8</v>
      </c>
      <c r="I365" t="s">
        <v>81</v>
      </c>
      <c r="J365" t="s">
        <v>58</v>
      </c>
      <c r="K365" s="7">
        <v>0.05</v>
      </c>
      <c r="L365" t="s">
        <v>25</v>
      </c>
      <c r="M365" s="5">
        <v>2417.94</v>
      </c>
      <c r="N365" t="s">
        <v>59</v>
      </c>
      <c r="P365" s="5">
        <v>0</v>
      </c>
      <c r="Q365" t="s">
        <v>794</v>
      </c>
      <c r="R365" t="s">
        <v>795</v>
      </c>
      <c r="S365" s="5">
        <v>49.79</v>
      </c>
      <c r="T365" s="3">
        <v>45097</v>
      </c>
      <c r="U365" s="3">
        <v>45102</v>
      </c>
      <c r="V365" t="s">
        <v>70</v>
      </c>
      <c r="W365">
        <f t="shared" si="27"/>
        <v>2297.0430000000001</v>
      </c>
      <c r="X365">
        <f t="shared" si="28"/>
        <v>2545.2000000000003</v>
      </c>
      <c r="Y365">
        <f t="shared" si="29"/>
        <v>248.15700000000015</v>
      </c>
      <c r="Z365" s="8" t="str">
        <f t="shared" si="26"/>
        <v>Medium</v>
      </c>
      <c r="AA365" s="12">
        <f>DATE(YEAR(Table1[[#This Row],[OrderDate]]),MONTH(Table1[[#This Row],[OrderDate]]),1)</f>
        <v>45078</v>
      </c>
    </row>
    <row r="366" spans="1:27" x14ac:dyDescent="0.3">
      <c r="A366" s="3">
        <v>45721</v>
      </c>
      <c r="B366" t="s">
        <v>13</v>
      </c>
      <c r="C366" t="s">
        <v>33</v>
      </c>
      <c r="D366" t="str">
        <f>TRIM(Table1[[#This Row],[Product]])</f>
        <v>Phone</v>
      </c>
      <c r="E366" t="str">
        <f>PROPER(Table1[[#This Row],[Column1]])</f>
        <v>Phone</v>
      </c>
      <c r="F366" s="8" t="str">
        <f t="shared" si="25"/>
        <v>Technology</v>
      </c>
      <c r="G366" s="5">
        <v>6</v>
      </c>
      <c r="H366">
        <v>525.42999999999995</v>
      </c>
      <c r="I366" t="s">
        <v>78</v>
      </c>
      <c r="J366" t="s">
        <v>58</v>
      </c>
      <c r="K366" s="7">
        <v>0.05</v>
      </c>
      <c r="L366" t="s">
        <v>18</v>
      </c>
      <c r="M366" s="5">
        <v>2994.951</v>
      </c>
      <c r="N366" t="s">
        <v>82</v>
      </c>
      <c r="P366" s="5">
        <v>0</v>
      </c>
      <c r="Q366" t="s">
        <v>796</v>
      </c>
      <c r="R366" t="s">
        <v>797</v>
      </c>
      <c r="S366" s="5">
        <v>39.28</v>
      </c>
      <c r="T366" s="3">
        <v>45721</v>
      </c>
      <c r="U366" s="3">
        <v>45727</v>
      </c>
      <c r="V366" t="s">
        <v>70</v>
      </c>
      <c r="W366">
        <f t="shared" si="27"/>
        <v>2845.20345</v>
      </c>
      <c r="X366">
        <f t="shared" si="28"/>
        <v>3152.58</v>
      </c>
      <c r="Y366">
        <f t="shared" si="29"/>
        <v>307.37654999999995</v>
      </c>
      <c r="Z366" s="8" t="str">
        <f t="shared" si="26"/>
        <v>Medium</v>
      </c>
      <c r="AA366" s="12">
        <f>DATE(YEAR(Table1[[#This Row],[OrderDate]]),MONTH(Table1[[#This Row],[OrderDate]]),1)</f>
        <v>45717</v>
      </c>
    </row>
    <row r="367" spans="1:27" x14ac:dyDescent="0.3">
      <c r="A367" s="3">
        <v>45227</v>
      </c>
      <c r="B367" t="s">
        <v>16</v>
      </c>
      <c r="C367" t="s">
        <v>35</v>
      </c>
      <c r="D367" t="str">
        <f>TRIM(Table1[[#This Row],[Product]])</f>
        <v>Tablet</v>
      </c>
      <c r="E367" t="str">
        <f>PROPER(Table1[[#This Row],[Column1]])</f>
        <v>Tablet</v>
      </c>
      <c r="F367" s="8" t="str">
        <f t="shared" si="25"/>
        <v>Technology</v>
      </c>
      <c r="G367" s="5">
        <v>15</v>
      </c>
      <c r="H367">
        <v>127.67</v>
      </c>
      <c r="I367" t="s">
        <v>81</v>
      </c>
      <c r="J367" t="s">
        <v>65</v>
      </c>
      <c r="K367" s="7">
        <v>0.1</v>
      </c>
      <c r="L367" t="s">
        <v>18</v>
      </c>
      <c r="M367" s="5">
        <v>1723.5450000000001</v>
      </c>
      <c r="N367" t="s">
        <v>85</v>
      </c>
      <c r="P367" s="5">
        <v>0</v>
      </c>
      <c r="Q367" t="s">
        <v>798</v>
      </c>
      <c r="R367" t="s">
        <v>799</v>
      </c>
      <c r="S367" s="5">
        <v>48.77</v>
      </c>
      <c r="T367" s="3">
        <v>45227</v>
      </c>
      <c r="U367" s="3">
        <v>45229</v>
      </c>
      <c r="V367" t="s">
        <v>95</v>
      </c>
      <c r="W367">
        <f t="shared" si="27"/>
        <v>1551.1905000000002</v>
      </c>
      <c r="X367">
        <f t="shared" si="28"/>
        <v>1915.05</v>
      </c>
      <c r="Y367">
        <f t="shared" si="29"/>
        <v>363.8594999999998</v>
      </c>
      <c r="Z367" s="8" t="str">
        <f t="shared" si="26"/>
        <v>Medium</v>
      </c>
      <c r="AA367" s="12">
        <f>DATE(YEAR(Table1[[#This Row],[OrderDate]]),MONTH(Table1[[#This Row],[OrderDate]]),1)</f>
        <v>45200</v>
      </c>
    </row>
    <row r="368" spans="1:27" x14ac:dyDescent="0.3">
      <c r="A368" s="3">
        <v>45735</v>
      </c>
      <c r="B368" t="s">
        <v>7</v>
      </c>
      <c r="C368" t="s">
        <v>31</v>
      </c>
      <c r="D368" t="str">
        <f>TRIM(Table1[[#This Row],[Product]])</f>
        <v>Laptop</v>
      </c>
      <c r="E368" t="str">
        <f>PROPER(Table1[[#This Row],[Column1]])</f>
        <v>Laptop</v>
      </c>
      <c r="F368" s="8" t="str">
        <f t="shared" si="25"/>
        <v>Technology</v>
      </c>
      <c r="G368" s="5">
        <v>17</v>
      </c>
      <c r="H368">
        <v>511.8</v>
      </c>
      <c r="I368" t="s">
        <v>57</v>
      </c>
      <c r="J368" t="s">
        <v>65</v>
      </c>
      <c r="K368" s="7">
        <v>0.05</v>
      </c>
      <c r="L368" t="s">
        <v>21</v>
      </c>
      <c r="M368" s="5">
        <v>8265.57</v>
      </c>
      <c r="N368" t="s">
        <v>82</v>
      </c>
      <c r="O368" t="s">
        <v>71</v>
      </c>
      <c r="P368" s="5">
        <v>1</v>
      </c>
      <c r="Q368" t="s">
        <v>800</v>
      </c>
      <c r="R368" t="s">
        <v>801</v>
      </c>
      <c r="S368" s="5">
        <v>13.33</v>
      </c>
      <c r="T368" s="3">
        <v>45735</v>
      </c>
      <c r="U368" s="3">
        <v>45742</v>
      </c>
      <c r="V368" t="s">
        <v>77</v>
      </c>
      <c r="W368">
        <f t="shared" si="27"/>
        <v>7852.2914999999994</v>
      </c>
      <c r="X368">
        <f t="shared" si="28"/>
        <v>8700.6</v>
      </c>
      <c r="Y368">
        <f t="shared" si="29"/>
        <v>848.308500000001</v>
      </c>
      <c r="Z368" s="8" t="str">
        <f t="shared" si="26"/>
        <v>Medium</v>
      </c>
      <c r="AA368" s="12">
        <f>DATE(YEAR(Table1[[#This Row],[OrderDate]]),MONTH(Table1[[#This Row],[OrderDate]]),1)</f>
        <v>45717</v>
      </c>
    </row>
    <row r="369" spans="1:27" x14ac:dyDescent="0.3">
      <c r="A369" s="3">
        <v>45144</v>
      </c>
      <c r="B369" t="s">
        <v>16</v>
      </c>
      <c r="C369" t="s">
        <v>35</v>
      </c>
      <c r="D369" t="str">
        <f>TRIM(Table1[[#This Row],[Product]])</f>
        <v>Tablet</v>
      </c>
      <c r="E369" t="str">
        <f>PROPER(Table1[[#This Row],[Column1]])</f>
        <v>Tablet</v>
      </c>
      <c r="F369" s="8" t="str">
        <f t="shared" si="25"/>
        <v>Technology</v>
      </c>
      <c r="G369" s="5">
        <v>4</v>
      </c>
      <c r="H369">
        <v>555.86</v>
      </c>
      <c r="I369" t="s">
        <v>78</v>
      </c>
      <c r="J369" t="s">
        <v>65</v>
      </c>
      <c r="K369" s="7">
        <v>0.05</v>
      </c>
      <c r="L369" t="s">
        <v>19</v>
      </c>
      <c r="M369" s="5">
        <v>2112.268</v>
      </c>
      <c r="N369" t="s">
        <v>88</v>
      </c>
      <c r="O369" t="s">
        <v>60</v>
      </c>
      <c r="P369" s="5">
        <v>0</v>
      </c>
      <c r="Q369" t="s">
        <v>802</v>
      </c>
      <c r="R369" t="s">
        <v>803</v>
      </c>
      <c r="S369" s="5">
        <v>28.92</v>
      </c>
      <c r="T369" s="3">
        <v>45144</v>
      </c>
      <c r="U369" s="3">
        <v>45146</v>
      </c>
      <c r="V369" t="s">
        <v>95</v>
      </c>
      <c r="W369">
        <f t="shared" si="27"/>
        <v>2006.6545999999998</v>
      </c>
      <c r="X369">
        <f t="shared" si="28"/>
        <v>2223.44</v>
      </c>
      <c r="Y369">
        <f t="shared" si="29"/>
        <v>216.78540000000021</v>
      </c>
      <c r="Z369" s="8" t="str">
        <f t="shared" si="26"/>
        <v>Medium</v>
      </c>
      <c r="AA369" s="12">
        <f>DATE(YEAR(Table1[[#This Row],[OrderDate]]),MONTH(Table1[[#This Row],[OrderDate]]),1)</f>
        <v>45139</v>
      </c>
    </row>
    <row r="370" spans="1:27" x14ac:dyDescent="0.3">
      <c r="A370" s="3">
        <v>45546</v>
      </c>
      <c r="B370" t="s">
        <v>7</v>
      </c>
      <c r="C370" t="s">
        <v>32</v>
      </c>
      <c r="D370" t="str">
        <f>TRIM(Table1[[#This Row],[Product]])</f>
        <v>Monitor</v>
      </c>
      <c r="E370" t="str">
        <f>PROPER(Table1[[#This Row],[Column1]])</f>
        <v>Monitor</v>
      </c>
      <c r="F370" s="8" t="str">
        <f t="shared" si="25"/>
        <v>Technology</v>
      </c>
      <c r="G370" s="5">
        <v>15</v>
      </c>
      <c r="H370">
        <v>202.72</v>
      </c>
      <c r="I370" t="s">
        <v>81</v>
      </c>
      <c r="J370" t="s">
        <v>65</v>
      </c>
      <c r="K370" s="7">
        <v>0.05</v>
      </c>
      <c r="L370" t="s">
        <v>25</v>
      </c>
      <c r="M370" s="5">
        <v>2888.76</v>
      </c>
      <c r="N370" t="s">
        <v>85</v>
      </c>
      <c r="O370" t="s">
        <v>71</v>
      </c>
      <c r="P370" s="5">
        <v>1</v>
      </c>
      <c r="Q370" t="s">
        <v>804</v>
      </c>
      <c r="R370" t="s">
        <v>805</v>
      </c>
      <c r="S370" s="5">
        <v>41.61</v>
      </c>
      <c r="T370" s="3">
        <v>45546</v>
      </c>
      <c r="U370" s="3">
        <v>45554</v>
      </c>
      <c r="V370" t="s">
        <v>77</v>
      </c>
      <c r="W370">
        <f t="shared" si="27"/>
        <v>2744.3220000000001</v>
      </c>
      <c r="X370">
        <f t="shared" si="28"/>
        <v>3040.8</v>
      </c>
      <c r="Y370">
        <f t="shared" si="29"/>
        <v>296.47800000000007</v>
      </c>
      <c r="Z370" s="8" t="str">
        <f t="shared" si="26"/>
        <v>Medium</v>
      </c>
      <c r="AA370" s="12">
        <f>DATE(YEAR(Table1[[#This Row],[OrderDate]]),MONTH(Table1[[#This Row],[OrderDate]]),1)</f>
        <v>45536</v>
      </c>
    </row>
    <row r="371" spans="1:27" x14ac:dyDescent="0.3">
      <c r="A371" s="3">
        <v>45665</v>
      </c>
      <c r="B371" t="s">
        <v>7</v>
      </c>
      <c r="C371" t="s">
        <v>29</v>
      </c>
      <c r="D371" t="str">
        <f>TRIM(Table1[[#This Row],[Product]])</f>
        <v>Chair</v>
      </c>
      <c r="E371" t="str">
        <f>PROPER(Table1[[#This Row],[Column1]])</f>
        <v>Chair</v>
      </c>
      <c r="F371" s="8" t="str">
        <f t="shared" si="25"/>
        <v>Furniture</v>
      </c>
      <c r="G371" s="5">
        <v>4</v>
      </c>
      <c r="H371">
        <v>353.7</v>
      </c>
      <c r="I371" t="s">
        <v>64</v>
      </c>
      <c r="J371" t="s">
        <v>58</v>
      </c>
      <c r="K371" s="7">
        <v>0</v>
      </c>
      <c r="L371" t="s">
        <v>27</v>
      </c>
      <c r="M371" s="5">
        <v>1414.8</v>
      </c>
      <c r="N371" t="s">
        <v>82</v>
      </c>
      <c r="O371" t="s">
        <v>60</v>
      </c>
      <c r="P371" s="5">
        <v>0</v>
      </c>
      <c r="Q371" t="s">
        <v>806</v>
      </c>
      <c r="R371" t="s">
        <v>807</v>
      </c>
      <c r="S371" s="5">
        <v>41.98</v>
      </c>
      <c r="T371" s="3">
        <v>45665</v>
      </c>
      <c r="U371" s="3">
        <v>45669</v>
      </c>
      <c r="V371" t="s">
        <v>77</v>
      </c>
      <c r="W371">
        <f t="shared" si="27"/>
        <v>1414.8</v>
      </c>
      <c r="X371">
        <f t="shared" si="28"/>
        <v>1414.8</v>
      </c>
      <c r="Y371">
        <f t="shared" si="29"/>
        <v>0</v>
      </c>
      <c r="Z371" s="8" t="str">
        <f t="shared" si="26"/>
        <v>No Discount</v>
      </c>
      <c r="AA371" s="12">
        <f>DATE(YEAR(Table1[[#This Row],[OrderDate]]),MONTH(Table1[[#This Row],[OrderDate]]),1)</f>
        <v>45658</v>
      </c>
    </row>
    <row r="372" spans="1:27" x14ac:dyDescent="0.3">
      <c r="A372" s="3">
        <v>45516</v>
      </c>
      <c r="B372" t="s">
        <v>7</v>
      </c>
      <c r="C372" t="s">
        <v>29</v>
      </c>
      <c r="D372" t="str">
        <f>TRIM(Table1[[#This Row],[Product]])</f>
        <v>Chair</v>
      </c>
      <c r="E372" t="str">
        <f>PROPER(Table1[[#This Row],[Column1]])</f>
        <v>Chair</v>
      </c>
      <c r="F372" s="8" t="str">
        <f t="shared" si="25"/>
        <v>Furniture</v>
      </c>
      <c r="G372" s="5">
        <v>3</v>
      </c>
      <c r="H372">
        <v>149.25</v>
      </c>
      <c r="I372" t="s">
        <v>81</v>
      </c>
      <c r="J372" t="s">
        <v>58</v>
      </c>
      <c r="K372" s="7">
        <v>0</v>
      </c>
      <c r="L372" t="s">
        <v>21</v>
      </c>
      <c r="M372" s="5">
        <v>447.75</v>
      </c>
      <c r="N372" t="s">
        <v>85</v>
      </c>
      <c r="P372" s="5">
        <v>1</v>
      </c>
      <c r="Q372" t="s">
        <v>808</v>
      </c>
      <c r="R372" t="s">
        <v>809</v>
      </c>
      <c r="S372" s="5">
        <v>13.17</v>
      </c>
      <c r="T372" s="3">
        <v>45516</v>
      </c>
      <c r="U372" s="3">
        <v>45518</v>
      </c>
      <c r="V372" t="s">
        <v>77</v>
      </c>
      <c r="W372">
        <f t="shared" si="27"/>
        <v>447.75</v>
      </c>
      <c r="X372">
        <f t="shared" si="28"/>
        <v>447.75</v>
      </c>
      <c r="Y372">
        <f t="shared" si="29"/>
        <v>0</v>
      </c>
      <c r="Z372" s="8" t="str">
        <f t="shared" si="26"/>
        <v>No Discount</v>
      </c>
      <c r="AA372" s="12">
        <f>DATE(YEAR(Table1[[#This Row],[OrderDate]]),MONTH(Table1[[#This Row],[OrderDate]]),1)</f>
        <v>45505</v>
      </c>
    </row>
    <row r="373" spans="1:27" x14ac:dyDescent="0.3">
      <c r="A373" s="3">
        <v>45015</v>
      </c>
      <c r="B373" t="s">
        <v>11</v>
      </c>
      <c r="C373" t="s">
        <v>32</v>
      </c>
      <c r="D373" t="str">
        <f>TRIM(Table1[[#This Row],[Product]])</f>
        <v>Monitor</v>
      </c>
      <c r="E373" t="str">
        <f>PROPER(Table1[[#This Row],[Column1]])</f>
        <v>Monitor</v>
      </c>
      <c r="F373" s="8" t="str">
        <f t="shared" si="25"/>
        <v>Technology</v>
      </c>
      <c r="G373" s="5">
        <v>19</v>
      </c>
      <c r="H373">
        <v>156.44</v>
      </c>
      <c r="I373" t="s">
        <v>78</v>
      </c>
      <c r="J373" t="s">
        <v>58</v>
      </c>
      <c r="K373" s="7">
        <v>0.1</v>
      </c>
      <c r="L373" t="s">
        <v>18</v>
      </c>
      <c r="M373" s="5">
        <v>2675.1239999999998</v>
      </c>
      <c r="N373" t="s">
        <v>59</v>
      </c>
      <c r="O373" t="s">
        <v>71</v>
      </c>
      <c r="P373" s="5">
        <v>0</v>
      </c>
      <c r="Q373" t="s">
        <v>810</v>
      </c>
      <c r="R373" t="s">
        <v>811</v>
      </c>
      <c r="S373" s="5">
        <v>19.440000000000001</v>
      </c>
      <c r="T373" s="3">
        <v>45015</v>
      </c>
      <c r="U373" s="3">
        <v>45020</v>
      </c>
      <c r="V373" t="s">
        <v>74</v>
      </c>
      <c r="W373">
        <f t="shared" si="27"/>
        <v>2407.6115999999997</v>
      </c>
      <c r="X373">
        <f t="shared" si="28"/>
        <v>2972.36</v>
      </c>
      <c r="Y373">
        <f t="shared" si="29"/>
        <v>564.7484000000004</v>
      </c>
      <c r="Z373" s="8" t="str">
        <f t="shared" si="26"/>
        <v>Medium</v>
      </c>
      <c r="AA373" s="12">
        <f>DATE(YEAR(Table1[[#This Row],[OrderDate]]),MONTH(Table1[[#This Row],[OrderDate]]),1)</f>
        <v>44986</v>
      </c>
    </row>
    <row r="374" spans="1:27" x14ac:dyDescent="0.3">
      <c r="A374" s="3">
        <v>44958</v>
      </c>
      <c r="B374" t="s">
        <v>7</v>
      </c>
      <c r="C374" t="s">
        <v>33</v>
      </c>
      <c r="D374" t="str">
        <f>TRIM(Table1[[#This Row],[Product]])</f>
        <v>Phone</v>
      </c>
      <c r="E374" t="str">
        <f>PROPER(Table1[[#This Row],[Column1]])</f>
        <v>Phone</v>
      </c>
      <c r="F374" s="8" t="str">
        <f t="shared" si="25"/>
        <v>Technology</v>
      </c>
      <c r="G374" s="5">
        <v>7</v>
      </c>
      <c r="H374">
        <v>241.76</v>
      </c>
      <c r="I374" t="s">
        <v>81</v>
      </c>
      <c r="J374" t="s">
        <v>58</v>
      </c>
      <c r="K374" s="7">
        <v>0</v>
      </c>
      <c r="L374" t="s">
        <v>21</v>
      </c>
      <c r="M374" s="5">
        <v>1692.32</v>
      </c>
      <c r="N374" t="s">
        <v>59</v>
      </c>
      <c r="O374" t="s">
        <v>67</v>
      </c>
      <c r="P374" s="5">
        <v>0</v>
      </c>
      <c r="Q374" t="s">
        <v>812</v>
      </c>
      <c r="R374" t="s">
        <v>813</v>
      </c>
      <c r="S374" s="5">
        <v>48.13</v>
      </c>
      <c r="T374" s="3">
        <v>44958</v>
      </c>
      <c r="U374" s="3">
        <v>44966</v>
      </c>
      <c r="V374" t="s">
        <v>77</v>
      </c>
      <c r="W374">
        <f t="shared" si="27"/>
        <v>1692.32</v>
      </c>
      <c r="X374">
        <f t="shared" si="28"/>
        <v>1692.32</v>
      </c>
      <c r="Y374">
        <f t="shared" si="29"/>
        <v>0</v>
      </c>
      <c r="Z374" s="8" t="str">
        <f t="shared" si="26"/>
        <v>No Discount</v>
      </c>
      <c r="AA374" s="12">
        <f>DATE(YEAR(Table1[[#This Row],[OrderDate]]),MONTH(Table1[[#This Row],[OrderDate]]),1)</f>
        <v>44958</v>
      </c>
    </row>
    <row r="375" spans="1:27" x14ac:dyDescent="0.3">
      <c r="A375" s="3">
        <v>45765</v>
      </c>
      <c r="B375" t="s">
        <v>11</v>
      </c>
      <c r="C375" t="s">
        <v>31</v>
      </c>
      <c r="D375" t="str">
        <f>TRIM(Table1[[#This Row],[Product]])</f>
        <v>Laptop</v>
      </c>
      <c r="E375" t="str">
        <f>PROPER(Table1[[#This Row],[Column1]])</f>
        <v>Laptop</v>
      </c>
      <c r="F375" s="8" t="str">
        <f t="shared" si="25"/>
        <v>Technology</v>
      </c>
      <c r="G375" s="5">
        <v>20</v>
      </c>
      <c r="H375">
        <v>170.49</v>
      </c>
      <c r="I375" t="s">
        <v>64</v>
      </c>
      <c r="J375" t="s">
        <v>58</v>
      </c>
      <c r="K375" s="7">
        <v>0</v>
      </c>
      <c r="L375" t="s">
        <v>23</v>
      </c>
      <c r="M375" s="5">
        <v>3409.8</v>
      </c>
      <c r="N375" t="s">
        <v>59</v>
      </c>
      <c r="O375" t="s">
        <v>60</v>
      </c>
      <c r="P375" s="5">
        <v>0</v>
      </c>
      <c r="Q375" t="s">
        <v>814</v>
      </c>
      <c r="R375" t="s">
        <v>277</v>
      </c>
      <c r="S375" s="5">
        <v>19.739999999999998</v>
      </c>
      <c r="T375" s="3">
        <v>45765</v>
      </c>
      <c r="U375" s="3">
        <v>45774</v>
      </c>
      <c r="V375" t="s">
        <v>74</v>
      </c>
      <c r="W375">
        <f t="shared" si="27"/>
        <v>3409.8</v>
      </c>
      <c r="X375">
        <f t="shared" si="28"/>
        <v>3409.8</v>
      </c>
      <c r="Y375">
        <f t="shared" si="29"/>
        <v>0</v>
      </c>
      <c r="Z375" s="8" t="str">
        <f t="shared" si="26"/>
        <v>No Discount</v>
      </c>
      <c r="AA375" s="12">
        <f>DATE(YEAR(Table1[[#This Row],[OrderDate]]),MONTH(Table1[[#This Row],[OrderDate]]),1)</f>
        <v>45748</v>
      </c>
    </row>
    <row r="376" spans="1:27" x14ac:dyDescent="0.3">
      <c r="A376" s="3">
        <v>45745</v>
      </c>
      <c r="B376" t="s">
        <v>7</v>
      </c>
      <c r="C376" t="s">
        <v>32</v>
      </c>
      <c r="D376" t="str">
        <f>TRIM(Table1[[#This Row],[Product]])</f>
        <v>Monitor</v>
      </c>
      <c r="E376" t="str">
        <f>PROPER(Table1[[#This Row],[Column1]])</f>
        <v>Monitor</v>
      </c>
      <c r="F376" s="8" t="str">
        <f t="shared" si="25"/>
        <v>Technology</v>
      </c>
      <c r="G376" s="5">
        <v>11</v>
      </c>
      <c r="H376">
        <v>149.66999999999999</v>
      </c>
      <c r="I376" t="s">
        <v>78</v>
      </c>
      <c r="J376" t="s">
        <v>65</v>
      </c>
      <c r="K376" s="7">
        <v>0.1</v>
      </c>
      <c r="L376" t="s">
        <v>25</v>
      </c>
      <c r="M376" s="5">
        <v>1481.7329999999999</v>
      </c>
      <c r="N376" t="s">
        <v>82</v>
      </c>
      <c r="P376" s="5">
        <v>0</v>
      </c>
      <c r="Q376" t="s">
        <v>815</v>
      </c>
      <c r="R376" t="s">
        <v>816</v>
      </c>
      <c r="S376" s="5">
        <v>34.130000000000003</v>
      </c>
      <c r="T376" s="3">
        <v>45745</v>
      </c>
      <c r="U376" s="3">
        <v>45749</v>
      </c>
      <c r="V376" t="s">
        <v>77</v>
      </c>
      <c r="W376">
        <f t="shared" si="27"/>
        <v>1333.5597</v>
      </c>
      <c r="X376">
        <f t="shared" si="28"/>
        <v>1646.37</v>
      </c>
      <c r="Y376">
        <f t="shared" si="29"/>
        <v>312.81029999999987</v>
      </c>
      <c r="Z376" s="8" t="str">
        <f t="shared" si="26"/>
        <v>Medium</v>
      </c>
      <c r="AA376" s="12">
        <f>DATE(YEAR(Table1[[#This Row],[OrderDate]]),MONTH(Table1[[#This Row],[OrderDate]]),1)</f>
        <v>45717</v>
      </c>
    </row>
    <row r="377" spans="1:27" x14ac:dyDescent="0.3">
      <c r="A377" s="3">
        <v>45407</v>
      </c>
      <c r="B377" t="s">
        <v>9</v>
      </c>
      <c r="C377" t="s">
        <v>35</v>
      </c>
      <c r="D377" t="str">
        <f>TRIM(Table1[[#This Row],[Product]])</f>
        <v>Tablet</v>
      </c>
      <c r="E377" t="str">
        <f>PROPER(Table1[[#This Row],[Column1]])</f>
        <v>Tablet</v>
      </c>
      <c r="F377" s="8" t="str">
        <f t="shared" si="25"/>
        <v>Technology</v>
      </c>
      <c r="G377" s="5">
        <v>1</v>
      </c>
      <c r="H377">
        <v>173.56</v>
      </c>
      <c r="I377" t="s">
        <v>81</v>
      </c>
      <c r="J377" t="s">
        <v>65</v>
      </c>
      <c r="K377" s="7">
        <v>0.1</v>
      </c>
      <c r="L377" t="s">
        <v>25</v>
      </c>
      <c r="M377" s="5">
        <v>156.20400000000001</v>
      </c>
      <c r="N377" t="s">
        <v>85</v>
      </c>
      <c r="O377" t="s">
        <v>60</v>
      </c>
      <c r="P377" s="5">
        <v>0</v>
      </c>
      <c r="Q377" t="s">
        <v>817</v>
      </c>
      <c r="R377" t="s">
        <v>818</v>
      </c>
      <c r="S377" s="5">
        <v>39.1</v>
      </c>
      <c r="T377" s="3">
        <v>45407</v>
      </c>
      <c r="U377" s="3">
        <v>45410</v>
      </c>
      <c r="V377" t="s">
        <v>63</v>
      </c>
      <c r="W377">
        <f t="shared" si="27"/>
        <v>140.58360000000002</v>
      </c>
      <c r="X377">
        <f t="shared" si="28"/>
        <v>173.56</v>
      </c>
      <c r="Y377">
        <f t="shared" si="29"/>
        <v>32.976399999999984</v>
      </c>
      <c r="Z377" s="8" t="str">
        <f t="shared" si="26"/>
        <v>Medium</v>
      </c>
      <c r="AA377" s="12">
        <f>DATE(YEAR(Table1[[#This Row],[OrderDate]]),MONTH(Table1[[#This Row],[OrderDate]]),1)</f>
        <v>45383</v>
      </c>
    </row>
    <row r="378" spans="1:27" x14ac:dyDescent="0.3">
      <c r="A378" s="3">
        <v>45557</v>
      </c>
      <c r="B378" t="s">
        <v>13</v>
      </c>
      <c r="C378" t="s">
        <v>32</v>
      </c>
      <c r="D378" t="str">
        <f>TRIM(Table1[[#This Row],[Product]])</f>
        <v>Monitor</v>
      </c>
      <c r="E378" t="str">
        <f>PROPER(Table1[[#This Row],[Column1]])</f>
        <v>Monitor</v>
      </c>
      <c r="F378" s="8" t="str">
        <f t="shared" si="25"/>
        <v>Technology</v>
      </c>
      <c r="G378" s="5">
        <v>7</v>
      </c>
      <c r="H378">
        <v>349.55</v>
      </c>
      <c r="I378" t="s">
        <v>64</v>
      </c>
      <c r="J378" t="s">
        <v>65</v>
      </c>
      <c r="K378" s="7">
        <v>0.05</v>
      </c>
      <c r="L378" t="s">
        <v>21</v>
      </c>
      <c r="M378" s="5">
        <v>2324.5075000000002</v>
      </c>
      <c r="N378" t="s">
        <v>82</v>
      </c>
      <c r="O378" t="s">
        <v>60</v>
      </c>
      <c r="P378" s="5">
        <v>0</v>
      </c>
      <c r="Q378" t="s">
        <v>819</v>
      </c>
      <c r="R378" t="s">
        <v>820</v>
      </c>
      <c r="S378" s="5">
        <v>23.7</v>
      </c>
      <c r="T378" s="3">
        <v>45557</v>
      </c>
      <c r="U378" s="3">
        <v>45562</v>
      </c>
      <c r="V378" t="s">
        <v>70</v>
      </c>
      <c r="W378">
        <f t="shared" si="27"/>
        <v>2208.2821250000002</v>
      </c>
      <c r="X378">
        <f t="shared" si="28"/>
        <v>2446.85</v>
      </c>
      <c r="Y378">
        <f t="shared" si="29"/>
        <v>238.56787499999973</v>
      </c>
      <c r="Z378" s="8" t="str">
        <f t="shared" si="26"/>
        <v>Medium</v>
      </c>
      <c r="AA378" s="12">
        <f>DATE(YEAR(Table1[[#This Row],[OrderDate]]),MONTH(Table1[[#This Row],[OrderDate]]),1)</f>
        <v>45536</v>
      </c>
    </row>
    <row r="379" spans="1:27" x14ac:dyDescent="0.3">
      <c r="A379" s="3">
        <v>45143</v>
      </c>
      <c r="B379" t="s">
        <v>7</v>
      </c>
      <c r="C379" t="s">
        <v>35</v>
      </c>
      <c r="D379" t="str">
        <f>TRIM(Table1[[#This Row],[Product]])</f>
        <v>Tablet</v>
      </c>
      <c r="E379" t="str">
        <f>PROPER(Table1[[#This Row],[Column1]])</f>
        <v>Tablet</v>
      </c>
      <c r="F379" s="8" t="str">
        <f t="shared" si="25"/>
        <v>Technology</v>
      </c>
      <c r="G379" s="5">
        <v>9</v>
      </c>
      <c r="H379">
        <v>245.14</v>
      </c>
      <c r="I379" t="s">
        <v>57</v>
      </c>
      <c r="J379" t="s">
        <v>58</v>
      </c>
      <c r="K379" s="7">
        <v>0</v>
      </c>
      <c r="L379" t="s">
        <v>18</v>
      </c>
      <c r="M379" s="5">
        <v>2206.2600000000002</v>
      </c>
      <c r="N379" t="s">
        <v>59</v>
      </c>
      <c r="O379" t="s">
        <v>67</v>
      </c>
      <c r="P379" s="5">
        <v>1</v>
      </c>
      <c r="Q379" t="s">
        <v>821</v>
      </c>
      <c r="R379" t="s">
        <v>822</v>
      </c>
      <c r="S379" s="5">
        <v>44.6</v>
      </c>
      <c r="T379" s="3">
        <v>45143</v>
      </c>
      <c r="U379" s="3">
        <v>45152</v>
      </c>
      <c r="V379" t="s">
        <v>77</v>
      </c>
      <c r="W379">
        <f t="shared" si="27"/>
        <v>2206.2600000000002</v>
      </c>
      <c r="X379">
        <f t="shared" si="28"/>
        <v>2206.2599999999998</v>
      </c>
      <c r="Y379">
        <f t="shared" si="29"/>
        <v>0</v>
      </c>
      <c r="Z379" s="8" t="str">
        <f t="shared" si="26"/>
        <v>No Discount</v>
      </c>
      <c r="AA379" s="12">
        <f>DATE(YEAR(Table1[[#This Row],[OrderDate]]),MONTH(Table1[[#This Row],[OrderDate]]),1)</f>
        <v>45139</v>
      </c>
    </row>
    <row r="380" spans="1:27" x14ac:dyDescent="0.3">
      <c r="A380" s="3">
        <v>45450</v>
      </c>
      <c r="B380" t="s">
        <v>13</v>
      </c>
      <c r="C380" t="s">
        <v>30</v>
      </c>
      <c r="D380" t="str">
        <f>TRIM(Table1[[#This Row],[Product]])</f>
        <v>Desk</v>
      </c>
      <c r="E380" t="str">
        <f>PROPER(Table1[[#This Row],[Column1]])</f>
        <v>Desk</v>
      </c>
      <c r="F380" s="8" t="str">
        <f t="shared" si="25"/>
        <v>Furniture</v>
      </c>
      <c r="G380" s="5">
        <v>1</v>
      </c>
      <c r="H380">
        <v>423.08</v>
      </c>
      <c r="I380" t="s">
        <v>57</v>
      </c>
      <c r="J380" t="s">
        <v>58</v>
      </c>
      <c r="K380" s="7">
        <v>0.05</v>
      </c>
      <c r="L380" t="s">
        <v>19</v>
      </c>
      <c r="M380" s="5">
        <v>401.92599999999999</v>
      </c>
      <c r="N380" t="s">
        <v>66</v>
      </c>
      <c r="O380" t="s">
        <v>71</v>
      </c>
      <c r="P380" s="5">
        <v>0</v>
      </c>
      <c r="Q380" t="s">
        <v>823</v>
      </c>
      <c r="R380" t="s">
        <v>824</v>
      </c>
      <c r="S380" s="5">
        <v>31.75</v>
      </c>
      <c r="T380" s="3">
        <v>45450</v>
      </c>
      <c r="U380" s="3">
        <v>45454</v>
      </c>
      <c r="V380" t="s">
        <v>70</v>
      </c>
      <c r="W380">
        <f t="shared" si="27"/>
        <v>381.82969999999995</v>
      </c>
      <c r="X380">
        <f t="shared" si="28"/>
        <v>423.08</v>
      </c>
      <c r="Y380">
        <f t="shared" si="29"/>
        <v>41.250300000000038</v>
      </c>
      <c r="Z380" s="8" t="str">
        <f t="shared" si="26"/>
        <v>Medium</v>
      </c>
      <c r="AA380" s="12">
        <f>DATE(YEAR(Table1[[#This Row],[OrderDate]]),MONTH(Table1[[#This Row],[OrderDate]]),1)</f>
        <v>45444</v>
      </c>
    </row>
    <row r="381" spans="1:27" x14ac:dyDescent="0.3">
      <c r="A381" s="3">
        <v>45801</v>
      </c>
      <c r="B381" t="s">
        <v>9</v>
      </c>
      <c r="C381" t="s">
        <v>33</v>
      </c>
      <c r="D381" t="str">
        <f>TRIM(Table1[[#This Row],[Product]])</f>
        <v>Phone</v>
      </c>
      <c r="E381" t="str">
        <f>PROPER(Table1[[#This Row],[Column1]])</f>
        <v>Phone</v>
      </c>
      <c r="F381" s="8" t="str">
        <f t="shared" si="25"/>
        <v>Technology</v>
      </c>
      <c r="G381" s="5">
        <v>19</v>
      </c>
      <c r="H381">
        <v>337.82</v>
      </c>
      <c r="I381" t="s">
        <v>57</v>
      </c>
      <c r="J381" t="s">
        <v>58</v>
      </c>
      <c r="K381" s="7">
        <v>0.15</v>
      </c>
      <c r="L381" t="s">
        <v>18</v>
      </c>
      <c r="M381" s="5">
        <v>5455.7929999999997</v>
      </c>
      <c r="N381" t="s">
        <v>59</v>
      </c>
      <c r="O381" t="s">
        <v>60</v>
      </c>
      <c r="P381" s="5">
        <v>0</v>
      </c>
      <c r="Q381" t="s">
        <v>825</v>
      </c>
      <c r="R381" t="s">
        <v>826</v>
      </c>
      <c r="S381" s="5">
        <v>45.74</v>
      </c>
      <c r="T381" s="3">
        <v>45801</v>
      </c>
      <c r="U381" s="3">
        <v>45807</v>
      </c>
      <c r="V381" t="s">
        <v>63</v>
      </c>
      <c r="W381">
        <f t="shared" si="27"/>
        <v>4637.4240499999996</v>
      </c>
      <c r="X381">
        <f t="shared" si="28"/>
        <v>6418.58</v>
      </c>
      <c r="Y381">
        <f t="shared" si="29"/>
        <v>1781.1559500000003</v>
      </c>
      <c r="Z381" s="8" t="str">
        <f t="shared" si="26"/>
        <v>High</v>
      </c>
      <c r="AA381" s="12">
        <f>DATE(YEAR(Table1[[#This Row],[OrderDate]]),MONTH(Table1[[#This Row],[OrderDate]]),1)</f>
        <v>45778</v>
      </c>
    </row>
    <row r="382" spans="1:27" x14ac:dyDescent="0.3">
      <c r="A382" s="3">
        <v>45491</v>
      </c>
      <c r="B382" t="s">
        <v>13</v>
      </c>
      <c r="C382" t="s">
        <v>29</v>
      </c>
      <c r="D382" t="str">
        <f>TRIM(Table1[[#This Row],[Product]])</f>
        <v>Chair</v>
      </c>
      <c r="E382" t="str">
        <f>PROPER(Table1[[#This Row],[Column1]])</f>
        <v>Chair</v>
      </c>
      <c r="F382" s="8" t="str">
        <f t="shared" si="25"/>
        <v>Furniture</v>
      </c>
      <c r="G382" s="5">
        <v>10</v>
      </c>
      <c r="H382">
        <v>252.63</v>
      </c>
      <c r="I382" t="s">
        <v>57</v>
      </c>
      <c r="J382" t="s">
        <v>65</v>
      </c>
      <c r="K382" s="7">
        <v>0.15</v>
      </c>
      <c r="L382" t="s">
        <v>25</v>
      </c>
      <c r="M382" s="5">
        <v>2147.355</v>
      </c>
      <c r="N382" t="s">
        <v>88</v>
      </c>
      <c r="O382" t="s">
        <v>60</v>
      </c>
      <c r="P382" s="5">
        <v>0</v>
      </c>
      <c r="Q382" t="s">
        <v>827</v>
      </c>
      <c r="R382" t="s">
        <v>828</v>
      </c>
      <c r="S382" s="5">
        <v>8.92</v>
      </c>
      <c r="T382" s="3">
        <v>45491</v>
      </c>
      <c r="U382" s="3">
        <v>45498</v>
      </c>
      <c r="V382" t="s">
        <v>70</v>
      </c>
      <c r="W382">
        <f t="shared" si="27"/>
        <v>1825.2517499999999</v>
      </c>
      <c r="X382">
        <f t="shared" si="28"/>
        <v>2526.3000000000002</v>
      </c>
      <c r="Y382">
        <f t="shared" si="29"/>
        <v>701.04825000000028</v>
      </c>
      <c r="Z382" s="8" t="str">
        <f t="shared" si="26"/>
        <v>High</v>
      </c>
      <c r="AA382" s="12">
        <f>DATE(YEAR(Table1[[#This Row],[OrderDate]]),MONTH(Table1[[#This Row],[OrderDate]]),1)</f>
        <v>45474</v>
      </c>
    </row>
    <row r="383" spans="1:27" x14ac:dyDescent="0.3">
      <c r="A383" s="3">
        <v>45487</v>
      </c>
      <c r="B383" t="s">
        <v>16</v>
      </c>
      <c r="C383" t="s">
        <v>35</v>
      </c>
      <c r="D383" t="str">
        <f>TRIM(Table1[[#This Row],[Product]])</f>
        <v>Tablet</v>
      </c>
      <c r="E383" t="str">
        <f>PROPER(Table1[[#This Row],[Column1]])</f>
        <v>Tablet</v>
      </c>
      <c r="F383" s="8" t="str">
        <f t="shared" si="25"/>
        <v>Technology</v>
      </c>
      <c r="G383" s="5">
        <v>3</v>
      </c>
      <c r="H383">
        <v>87.02</v>
      </c>
      <c r="I383" t="s">
        <v>57</v>
      </c>
      <c r="J383" t="s">
        <v>58</v>
      </c>
      <c r="K383" s="7">
        <v>0.1</v>
      </c>
      <c r="L383" t="s">
        <v>27</v>
      </c>
      <c r="M383" s="5">
        <v>234.95400000000001</v>
      </c>
      <c r="N383" t="s">
        <v>88</v>
      </c>
      <c r="O383" t="s">
        <v>71</v>
      </c>
      <c r="P383" s="5">
        <v>0</v>
      </c>
      <c r="Q383" t="s">
        <v>829</v>
      </c>
      <c r="R383" t="s">
        <v>830</v>
      </c>
      <c r="S383" s="5">
        <v>11.13</v>
      </c>
      <c r="T383" s="3">
        <v>45487</v>
      </c>
      <c r="U383" s="3">
        <v>45489</v>
      </c>
      <c r="V383" t="s">
        <v>95</v>
      </c>
      <c r="W383">
        <f t="shared" si="27"/>
        <v>211.45860000000002</v>
      </c>
      <c r="X383">
        <f t="shared" si="28"/>
        <v>261.06</v>
      </c>
      <c r="Y383">
        <f t="shared" si="29"/>
        <v>49.601399999999984</v>
      </c>
      <c r="Z383" s="8" t="str">
        <f t="shared" si="26"/>
        <v>Medium</v>
      </c>
      <c r="AA383" s="12">
        <f>DATE(YEAR(Table1[[#This Row],[OrderDate]]),MONTH(Table1[[#This Row],[OrderDate]]),1)</f>
        <v>45474</v>
      </c>
    </row>
    <row r="384" spans="1:27" x14ac:dyDescent="0.3">
      <c r="A384" s="3">
        <v>45030</v>
      </c>
      <c r="B384" t="s">
        <v>7</v>
      </c>
      <c r="C384" t="s">
        <v>35</v>
      </c>
      <c r="D384" t="str">
        <f>TRIM(Table1[[#This Row],[Product]])</f>
        <v>Tablet</v>
      </c>
      <c r="E384" t="str">
        <f>PROPER(Table1[[#This Row],[Column1]])</f>
        <v>Tablet</v>
      </c>
      <c r="F384" s="8" t="str">
        <f t="shared" si="25"/>
        <v>Technology</v>
      </c>
      <c r="G384" s="5">
        <v>11</v>
      </c>
      <c r="H384">
        <v>6.72</v>
      </c>
      <c r="I384" t="s">
        <v>81</v>
      </c>
      <c r="J384" t="s">
        <v>58</v>
      </c>
      <c r="K384" s="7">
        <v>0.05</v>
      </c>
      <c r="L384" t="s">
        <v>19</v>
      </c>
      <c r="M384" s="5">
        <v>70.224000000000004</v>
      </c>
      <c r="N384" t="s">
        <v>88</v>
      </c>
      <c r="O384" t="s">
        <v>67</v>
      </c>
      <c r="P384" s="5">
        <v>0</v>
      </c>
      <c r="Q384" t="s">
        <v>831</v>
      </c>
      <c r="R384" t="s">
        <v>832</v>
      </c>
      <c r="S384" s="5">
        <v>34.270000000000003</v>
      </c>
      <c r="T384" s="3">
        <v>45030</v>
      </c>
      <c r="U384" s="3">
        <v>45035</v>
      </c>
      <c r="V384" t="s">
        <v>77</v>
      </c>
      <c r="W384">
        <f t="shared" si="27"/>
        <v>66.712800000000001</v>
      </c>
      <c r="X384">
        <f t="shared" si="28"/>
        <v>73.92</v>
      </c>
      <c r="Y384">
        <f t="shared" si="29"/>
        <v>7.2072000000000003</v>
      </c>
      <c r="Z384" s="8" t="str">
        <f t="shared" si="26"/>
        <v>Medium</v>
      </c>
      <c r="AA384" s="12">
        <f>DATE(YEAR(Table1[[#This Row],[OrderDate]]),MONTH(Table1[[#This Row],[OrderDate]]),1)</f>
        <v>45017</v>
      </c>
    </row>
    <row r="385" spans="1:27" x14ac:dyDescent="0.3">
      <c r="A385" s="3">
        <v>45078</v>
      </c>
      <c r="B385" t="s">
        <v>13</v>
      </c>
      <c r="C385" t="s">
        <v>34</v>
      </c>
      <c r="D385" t="str">
        <f>TRIM(Table1[[#This Row],[Product]])</f>
        <v>Printer</v>
      </c>
      <c r="E385" t="str">
        <f>PROPER(Table1[[#This Row],[Column1]])</f>
        <v>Printer</v>
      </c>
      <c r="F385" s="8" t="str">
        <f t="shared" si="25"/>
        <v>Office Supplies</v>
      </c>
      <c r="G385" s="5">
        <v>2</v>
      </c>
      <c r="H385">
        <v>279.38</v>
      </c>
      <c r="I385" t="s">
        <v>81</v>
      </c>
      <c r="J385" t="s">
        <v>65</v>
      </c>
      <c r="K385" s="7">
        <v>0.1</v>
      </c>
      <c r="L385" t="s">
        <v>21</v>
      </c>
      <c r="M385" s="5">
        <v>502.88400000000001</v>
      </c>
      <c r="N385" t="s">
        <v>59</v>
      </c>
      <c r="O385" t="s">
        <v>60</v>
      </c>
      <c r="P385" s="5">
        <v>0</v>
      </c>
      <c r="Q385" t="s">
        <v>833</v>
      </c>
      <c r="R385" t="s">
        <v>834</v>
      </c>
      <c r="S385" s="5">
        <v>22.95</v>
      </c>
      <c r="T385" s="3">
        <v>45078</v>
      </c>
      <c r="U385" s="3">
        <v>45083</v>
      </c>
      <c r="V385" t="s">
        <v>70</v>
      </c>
      <c r="W385">
        <f t="shared" si="27"/>
        <v>452.59560000000005</v>
      </c>
      <c r="X385">
        <f t="shared" si="28"/>
        <v>558.76</v>
      </c>
      <c r="Y385">
        <f t="shared" si="29"/>
        <v>106.16439999999994</v>
      </c>
      <c r="Z385" s="8" t="str">
        <f t="shared" si="26"/>
        <v>Medium</v>
      </c>
      <c r="AA385" s="12">
        <f>DATE(YEAR(Table1[[#This Row],[OrderDate]]),MONTH(Table1[[#This Row],[OrderDate]]),1)</f>
        <v>45078</v>
      </c>
    </row>
    <row r="386" spans="1:27" x14ac:dyDescent="0.3">
      <c r="A386" s="3">
        <v>45764</v>
      </c>
      <c r="B386" t="s">
        <v>7</v>
      </c>
      <c r="C386" t="s">
        <v>33</v>
      </c>
      <c r="D386" t="str">
        <f>TRIM(Table1[[#This Row],[Product]])</f>
        <v>Phone</v>
      </c>
      <c r="E386" t="str">
        <f>PROPER(Table1[[#This Row],[Column1]])</f>
        <v>Phone</v>
      </c>
      <c r="F386" s="8" t="str">
        <f t="shared" ref="F386:F449" si="30">IF(OR(E386="Chair",E386="Desk"),"Furniture",IF(OR(E386="Laptop",E386="Monitor",E386="Phone",E386="Tablet"),"Technology",IF(E386="Printer","Office Supplies","Other")))</f>
        <v>Technology</v>
      </c>
      <c r="G386" s="5">
        <v>9</v>
      </c>
      <c r="H386">
        <v>207.8</v>
      </c>
      <c r="I386" t="s">
        <v>81</v>
      </c>
      <c r="J386" t="s">
        <v>65</v>
      </c>
      <c r="K386" s="7">
        <v>0.1</v>
      </c>
      <c r="L386" t="s">
        <v>18</v>
      </c>
      <c r="M386" s="5">
        <v>1683.18</v>
      </c>
      <c r="N386" t="s">
        <v>59</v>
      </c>
      <c r="O386" t="s">
        <v>71</v>
      </c>
      <c r="P386" s="5">
        <v>0</v>
      </c>
      <c r="Q386" t="s">
        <v>835</v>
      </c>
      <c r="R386" t="s">
        <v>836</v>
      </c>
      <c r="S386" s="5">
        <v>16.989999999999998</v>
      </c>
      <c r="T386" s="3">
        <v>45764</v>
      </c>
      <c r="U386" s="3">
        <v>45767</v>
      </c>
      <c r="V386" t="s">
        <v>77</v>
      </c>
      <c r="W386">
        <f t="shared" si="27"/>
        <v>1514.8620000000001</v>
      </c>
      <c r="X386">
        <f t="shared" si="28"/>
        <v>1870.2</v>
      </c>
      <c r="Y386">
        <f t="shared" si="29"/>
        <v>355.33799999999997</v>
      </c>
      <c r="Z386" s="8" t="str">
        <f t="shared" ref="Z386:Z449" si="31">IF(K386=0,"No Discount",IF(K386&lt;5%,"Low",IF(K386&lt;15%,"Medium","High")))</f>
        <v>Medium</v>
      </c>
      <c r="AA386" s="12">
        <f>DATE(YEAR(Table1[[#This Row],[OrderDate]]),MONTH(Table1[[#This Row],[OrderDate]]),1)</f>
        <v>45748</v>
      </c>
    </row>
    <row r="387" spans="1:27" x14ac:dyDescent="0.3">
      <c r="A387" s="3">
        <v>45747</v>
      </c>
      <c r="B387" t="s">
        <v>9</v>
      </c>
      <c r="C387" t="s">
        <v>34</v>
      </c>
      <c r="D387" t="str">
        <f>TRIM(Table1[[#This Row],[Product]])</f>
        <v>Printer</v>
      </c>
      <c r="E387" t="str">
        <f>PROPER(Table1[[#This Row],[Column1]])</f>
        <v>Printer</v>
      </c>
      <c r="F387" s="8" t="str">
        <f t="shared" si="30"/>
        <v>Office Supplies</v>
      </c>
      <c r="G387" s="5">
        <v>15</v>
      </c>
      <c r="H387">
        <v>511.88</v>
      </c>
      <c r="I387" t="s">
        <v>78</v>
      </c>
      <c r="J387" t="s">
        <v>58</v>
      </c>
      <c r="K387" s="7">
        <v>0.05</v>
      </c>
      <c r="L387" t="s">
        <v>19</v>
      </c>
      <c r="M387" s="5">
        <v>7294.2899999999991</v>
      </c>
      <c r="N387" t="s">
        <v>88</v>
      </c>
      <c r="O387" t="s">
        <v>67</v>
      </c>
      <c r="P387" s="5">
        <v>0</v>
      </c>
      <c r="Q387" t="s">
        <v>837</v>
      </c>
      <c r="R387" t="s">
        <v>838</v>
      </c>
      <c r="S387" s="5">
        <v>10.220000000000001</v>
      </c>
      <c r="T387" s="3">
        <v>45747</v>
      </c>
      <c r="U387" s="3">
        <v>45756</v>
      </c>
      <c r="V387" t="s">
        <v>63</v>
      </c>
      <c r="W387">
        <f t="shared" ref="W387:W450" si="32">M387*(1-K387)</f>
        <v>6929.575499999999</v>
      </c>
      <c r="X387">
        <f t="shared" ref="X387:X450" si="33">G387*H387</f>
        <v>7678.2</v>
      </c>
      <c r="Y387">
        <f t="shared" ref="Y387:Y450" si="34">X387-W387</f>
        <v>748.62450000000081</v>
      </c>
      <c r="Z387" s="8" t="str">
        <f t="shared" si="31"/>
        <v>Medium</v>
      </c>
      <c r="AA387" s="12">
        <f>DATE(YEAR(Table1[[#This Row],[OrderDate]]),MONTH(Table1[[#This Row],[OrderDate]]),1)</f>
        <v>45717</v>
      </c>
    </row>
    <row r="388" spans="1:27" x14ac:dyDescent="0.3">
      <c r="A388" s="3">
        <v>45488</v>
      </c>
      <c r="B388" t="s">
        <v>9</v>
      </c>
      <c r="C388" t="s">
        <v>34</v>
      </c>
      <c r="D388" t="str">
        <f>TRIM(Table1[[#This Row],[Product]])</f>
        <v>Printer</v>
      </c>
      <c r="E388" t="str">
        <f>PROPER(Table1[[#This Row],[Column1]])</f>
        <v>Printer</v>
      </c>
      <c r="F388" s="8" t="str">
        <f t="shared" si="30"/>
        <v>Office Supplies</v>
      </c>
      <c r="G388" s="5">
        <v>10</v>
      </c>
      <c r="H388">
        <v>325.97000000000003</v>
      </c>
      <c r="I388" t="s">
        <v>81</v>
      </c>
      <c r="J388" t="s">
        <v>65</v>
      </c>
      <c r="K388" s="7">
        <v>0</v>
      </c>
      <c r="L388" t="s">
        <v>19</v>
      </c>
      <c r="M388" s="5">
        <v>3259.7</v>
      </c>
      <c r="N388" t="s">
        <v>88</v>
      </c>
      <c r="O388" t="s">
        <v>60</v>
      </c>
      <c r="P388" s="5">
        <v>1</v>
      </c>
      <c r="Q388" t="s">
        <v>839</v>
      </c>
      <c r="R388" t="s">
        <v>840</v>
      </c>
      <c r="S388" s="5">
        <v>49.95</v>
      </c>
      <c r="T388" s="3">
        <v>45488</v>
      </c>
      <c r="U388" s="3">
        <v>45495</v>
      </c>
      <c r="V388" t="s">
        <v>63</v>
      </c>
      <c r="W388">
        <f t="shared" si="32"/>
        <v>3259.7</v>
      </c>
      <c r="X388">
        <f t="shared" si="33"/>
        <v>3259.7000000000003</v>
      </c>
      <c r="Y388">
        <f t="shared" si="34"/>
        <v>0</v>
      </c>
      <c r="Z388" s="8" t="str">
        <f t="shared" si="31"/>
        <v>No Discount</v>
      </c>
      <c r="AA388" s="12">
        <f>DATE(YEAR(Table1[[#This Row],[OrderDate]]),MONTH(Table1[[#This Row],[OrderDate]]),1)</f>
        <v>45474</v>
      </c>
    </row>
    <row r="389" spans="1:27" x14ac:dyDescent="0.3">
      <c r="A389" s="3">
        <v>45534</v>
      </c>
      <c r="B389" t="s">
        <v>13</v>
      </c>
      <c r="C389" t="s">
        <v>31</v>
      </c>
      <c r="D389" t="str">
        <f>TRIM(Table1[[#This Row],[Product]])</f>
        <v>Laptop</v>
      </c>
      <c r="E389" t="str">
        <f>PROPER(Table1[[#This Row],[Column1]])</f>
        <v>Laptop</v>
      </c>
      <c r="F389" s="8" t="str">
        <f t="shared" si="30"/>
        <v>Technology</v>
      </c>
      <c r="G389" s="5">
        <v>17</v>
      </c>
      <c r="H389">
        <v>469.32</v>
      </c>
      <c r="I389" t="s">
        <v>57</v>
      </c>
      <c r="J389" t="s">
        <v>65</v>
      </c>
      <c r="K389" s="7">
        <v>0</v>
      </c>
      <c r="L389" t="s">
        <v>21</v>
      </c>
      <c r="M389" s="5">
        <v>7978.44</v>
      </c>
      <c r="N389" t="s">
        <v>66</v>
      </c>
      <c r="O389" t="s">
        <v>71</v>
      </c>
      <c r="P389" s="5">
        <v>1</v>
      </c>
      <c r="Q389" t="s">
        <v>841</v>
      </c>
      <c r="R389" t="s">
        <v>842</v>
      </c>
      <c r="S389" s="5">
        <v>5.86</v>
      </c>
      <c r="T389" s="3">
        <v>45534</v>
      </c>
      <c r="U389" s="3">
        <v>45536</v>
      </c>
      <c r="V389" t="s">
        <v>70</v>
      </c>
      <c r="W389">
        <f t="shared" si="32"/>
        <v>7978.44</v>
      </c>
      <c r="X389">
        <f t="shared" si="33"/>
        <v>7978.44</v>
      </c>
      <c r="Y389">
        <f t="shared" si="34"/>
        <v>0</v>
      </c>
      <c r="Z389" s="8" t="str">
        <f t="shared" si="31"/>
        <v>No Discount</v>
      </c>
      <c r="AA389" s="12">
        <f>DATE(YEAR(Table1[[#This Row],[OrderDate]]),MONTH(Table1[[#This Row],[OrderDate]]),1)</f>
        <v>45505</v>
      </c>
    </row>
    <row r="390" spans="1:27" x14ac:dyDescent="0.3">
      <c r="A390" s="3">
        <v>45664</v>
      </c>
      <c r="B390" t="s">
        <v>7</v>
      </c>
      <c r="C390" t="s">
        <v>33</v>
      </c>
      <c r="D390" t="str">
        <f>TRIM(Table1[[#This Row],[Product]])</f>
        <v>Phone</v>
      </c>
      <c r="E390" t="str">
        <f>PROPER(Table1[[#This Row],[Column1]])</f>
        <v>Phone</v>
      </c>
      <c r="F390" s="8" t="str">
        <f t="shared" si="30"/>
        <v>Technology</v>
      </c>
      <c r="G390" s="5">
        <v>13</v>
      </c>
      <c r="H390">
        <v>186.69</v>
      </c>
      <c r="I390" t="s">
        <v>81</v>
      </c>
      <c r="J390" t="s">
        <v>58</v>
      </c>
      <c r="K390" s="7">
        <v>0</v>
      </c>
      <c r="L390" t="s">
        <v>19</v>
      </c>
      <c r="M390" s="5">
        <v>2426.9699999999998</v>
      </c>
      <c r="N390" t="s">
        <v>88</v>
      </c>
      <c r="O390" t="s">
        <v>60</v>
      </c>
      <c r="P390" s="5">
        <v>0</v>
      </c>
      <c r="Q390" t="s">
        <v>843</v>
      </c>
      <c r="R390" t="s">
        <v>844</v>
      </c>
      <c r="S390" s="5">
        <v>19.920000000000002</v>
      </c>
      <c r="T390" s="3">
        <v>45664</v>
      </c>
      <c r="U390" s="3">
        <v>45667</v>
      </c>
      <c r="V390" t="s">
        <v>77</v>
      </c>
      <c r="W390">
        <f t="shared" si="32"/>
        <v>2426.9699999999998</v>
      </c>
      <c r="X390">
        <f t="shared" si="33"/>
        <v>2426.9699999999998</v>
      </c>
      <c r="Y390">
        <f t="shared" si="34"/>
        <v>0</v>
      </c>
      <c r="Z390" s="8" t="str">
        <f t="shared" si="31"/>
        <v>No Discount</v>
      </c>
      <c r="AA390" s="12">
        <f>DATE(YEAR(Table1[[#This Row],[OrderDate]]),MONTH(Table1[[#This Row],[OrderDate]]),1)</f>
        <v>45658</v>
      </c>
    </row>
    <row r="391" spans="1:27" x14ac:dyDescent="0.3">
      <c r="A391" s="3">
        <v>45693</v>
      </c>
      <c r="B391" t="s">
        <v>13</v>
      </c>
      <c r="C391" t="s">
        <v>33</v>
      </c>
      <c r="D391" t="str">
        <f>TRIM(Table1[[#This Row],[Product]])</f>
        <v>Phone</v>
      </c>
      <c r="E391" t="str">
        <f>PROPER(Table1[[#This Row],[Column1]])</f>
        <v>Phone</v>
      </c>
      <c r="F391" s="8" t="str">
        <f t="shared" si="30"/>
        <v>Technology</v>
      </c>
      <c r="G391" s="5">
        <v>16</v>
      </c>
      <c r="H391">
        <v>34.659999999999997</v>
      </c>
      <c r="I391" t="s">
        <v>78</v>
      </c>
      <c r="J391" t="s">
        <v>65</v>
      </c>
      <c r="K391" s="7">
        <v>0.05</v>
      </c>
      <c r="L391" t="s">
        <v>18</v>
      </c>
      <c r="M391" s="5">
        <v>526.83199999999988</v>
      </c>
      <c r="N391" t="s">
        <v>85</v>
      </c>
      <c r="P391" s="5">
        <v>0</v>
      </c>
      <c r="Q391" t="s">
        <v>845</v>
      </c>
      <c r="R391" t="s">
        <v>846</v>
      </c>
      <c r="S391" s="5">
        <v>49.9</v>
      </c>
      <c r="T391" s="3">
        <v>45693</v>
      </c>
      <c r="U391" s="3">
        <v>45699</v>
      </c>
      <c r="V391" t="s">
        <v>70</v>
      </c>
      <c r="W391">
        <f t="shared" si="32"/>
        <v>500.49039999999985</v>
      </c>
      <c r="X391">
        <f t="shared" si="33"/>
        <v>554.55999999999995</v>
      </c>
      <c r="Y391">
        <f t="shared" si="34"/>
        <v>54.069600000000094</v>
      </c>
      <c r="Z391" s="8" t="str">
        <f t="shared" si="31"/>
        <v>Medium</v>
      </c>
      <c r="AA391" s="12">
        <f>DATE(YEAR(Table1[[#This Row],[OrderDate]]),MONTH(Table1[[#This Row],[OrderDate]]),1)</f>
        <v>45689</v>
      </c>
    </row>
    <row r="392" spans="1:27" x14ac:dyDescent="0.3">
      <c r="A392" s="3">
        <v>45383</v>
      </c>
      <c r="B392" t="s">
        <v>11</v>
      </c>
      <c r="C392" t="s">
        <v>34</v>
      </c>
      <c r="D392" t="str">
        <f>TRIM(Table1[[#This Row],[Product]])</f>
        <v>Printer</v>
      </c>
      <c r="E392" t="str">
        <f>PROPER(Table1[[#This Row],[Column1]])</f>
        <v>Printer</v>
      </c>
      <c r="F392" s="8" t="str">
        <f t="shared" si="30"/>
        <v>Office Supplies</v>
      </c>
      <c r="G392" s="5">
        <v>18</v>
      </c>
      <c r="H392">
        <v>155.04</v>
      </c>
      <c r="I392" t="s">
        <v>57</v>
      </c>
      <c r="J392" t="s">
        <v>58</v>
      </c>
      <c r="K392" s="7">
        <v>0.15</v>
      </c>
      <c r="L392" t="s">
        <v>27</v>
      </c>
      <c r="M392" s="5">
        <v>2372.1120000000001</v>
      </c>
      <c r="N392" t="s">
        <v>88</v>
      </c>
      <c r="O392" t="s">
        <v>71</v>
      </c>
      <c r="P392" s="5">
        <v>0</v>
      </c>
      <c r="Q392" t="s">
        <v>847</v>
      </c>
      <c r="R392" t="s">
        <v>848</v>
      </c>
      <c r="S392" s="5">
        <v>39.99</v>
      </c>
      <c r="T392" s="3">
        <v>45383</v>
      </c>
      <c r="U392" s="3">
        <v>45386</v>
      </c>
      <c r="V392" t="s">
        <v>74</v>
      </c>
      <c r="W392">
        <f t="shared" si="32"/>
        <v>2016.2952</v>
      </c>
      <c r="X392">
        <f t="shared" si="33"/>
        <v>2790.72</v>
      </c>
      <c r="Y392">
        <f t="shared" si="34"/>
        <v>774.42479999999978</v>
      </c>
      <c r="Z392" s="8" t="str">
        <f t="shared" si="31"/>
        <v>High</v>
      </c>
      <c r="AA392" s="12">
        <f>DATE(YEAR(Table1[[#This Row],[OrderDate]]),MONTH(Table1[[#This Row],[OrderDate]]),1)</f>
        <v>45383</v>
      </c>
    </row>
    <row r="393" spans="1:27" x14ac:dyDescent="0.3">
      <c r="A393" s="3">
        <v>45717</v>
      </c>
      <c r="B393" t="s">
        <v>16</v>
      </c>
      <c r="C393" t="s">
        <v>32</v>
      </c>
      <c r="D393" t="str">
        <f>TRIM(Table1[[#This Row],[Product]])</f>
        <v>Monitor</v>
      </c>
      <c r="E393" t="str">
        <f>PROPER(Table1[[#This Row],[Column1]])</f>
        <v>Monitor</v>
      </c>
      <c r="F393" s="8" t="str">
        <f t="shared" si="30"/>
        <v>Technology</v>
      </c>
      <c r="G393" s="5">
        <v>4</v>
      </c>
      <c r="H393">
        <v>69.599999999999994</v>
      </c>
      <c r="I393" t="s">
        <v>81</v>
      </c>
      <c r="J393" t="s">
        <v>58</v>
      </c>
      <c r="K393" s="7">
        <v>0.05</v>
      </c>
      <c r="L393" t="s">
        <v>25</v>
      </c>
      <c r="M393" s="5">
        <v>264.48</v>
      </c>
      <c r="N393" t="s">
        <v>66</v>
      </c>
      <c r="O393" t="s">
        <v>67</v>
      </c>
      <c r="P393" s="5">
        <v>0</v>
      </c>
      <c r="Q393" t="s">
        <v>849</v>
      </c>
      <c r="R393" t="s">
        <v>850</v>
      </c>
      <c r="S393" s="5">
        <v>17.68</v>
      </c>
      <c r="T393" s="3">
        <v>45717</v>
      </c>
      <c r="U393" s="3">
        <v>45725</v>
      </c>
      <c r="V393" t="s">
        <v>95</v>
      </c>
      <c r="W393">
        <f t="shared" si="32"/>
        <v>251.256</v>
      </c>
      <c r="X393">
        <f t="shared" si="33"/>
        <v>278.39999999999998</v>
      </c>
      <c r="Y393">
        <f t="shared" si="34"/>
        <v>27.143999999999977</v>
      </c>
      <c r="Z393" s="8" t="str">
        <f t="shared" si="31"/>
        <v>Medium</v>
      </c>
      <c r="AA393" s="12">
        <f>DATE(YEAR(Table1[[#This Row],[OrderDate]]),MONTH(Table1[[#This Row],[OrderDate]]),1)</f>
        <v>45717</v>
      </c>
    </row>
    <row r="394" spans="1:27" x14ac:dyDescent="0.3">
      <c r="A394" s="3">
        <v>45110</v>
      </c>
      <c r="B394" t="s">
        <v>7</v>
      </c>
      <c r="C394" t="s">
        <v>32</v>
      </c>
      <c r="D394" t="str">
        <f>TRIM(Table1[[#This Row],[Product]])</f>
        <v>Monitor</v>
      </c>
      <c r="E394" t="str">
        <f>PROPER(Table1[[#This Row],[Column1]])</f>
        <v>Monitor</v>
      </c>
      <c r="F394" s="8" t="str">
        <f t="shared" si="30"/>
        <v>Technology</v>
      </c>
      <c r="G394" s="5">
        <v>13</v>
      </c>
      <c r="H394">
        <v>55.09</v>
      </c>
      <c r="I394" t="s">
        <v>64</v>
      </c>
      <c r="J394" t="s">
        <v>58</v>
      </c>
      <c r="K394" s="7">
        <v>0.15</v>
      </c>
      <c r="L394" t="s">
        <v>23</v>
      </c>
      <c r="M394" s="5">
        <v>608.74450000000002</v>
      </c>
      <c r="N394" t="s">
        <v>88</v>
      </c>
      <c r="O394" t="s">
        <v>60</v>
      </c>
      <c r="P394" s="5">
        <v>1</v>
      </c>
      <c r="Q394" t="s">
        <v>851</v>
      </c>
      <c r="R394" t="s">
        <v>852</v>
      </c>
      <c r="S394" s="5">
        <v>47.78</v>
      </c>
      <c r="T394" s="3">
        <v>45110</v>
      </c>
      <c r="U394" s="3">
        <v>45113</v>
      </c>
      <c r="V394" t="s">
        <v>77</v>
      </c>
      <c r="W394">
        <f t="shared" si="32"/>
        <v>517.43282499999998</v>
      </c>
      <c r="X394">
        <f t="shared" si="33"/>
        <v>716.17000000000007</v>
      </c>
      <c r="Y394">
        <f t="shared" si="34"/>
        <v>198.73717500000009</v>
      </c>
      <c r="Z394" s="8" t="str">
        <f t="shared" si="31"/>
        <v>High</v>
      </c>
      <c r="AA394" s="12">
        <f>DATE(YEAR(Table1[[#This Row],[OrderDate]]),MONTH(Table1[[#This Row],[OrderDate]]),1)</f>
        <v>45108</v>
      </c>
    </row>
    <row r="395" spans="1:27" x14ac:dyDescent="0.3">
      <c r="A395" s="3">
        <v>45041</v>
      </c>
      <c r="B395" t="s">
        <v>7</v>
      </c>
      <c r="C395" t="s">
        <v>31</v>
      </c>
      <c r="D395" t="str">
        <f>TRIM(Table1[[#This Row],[Product]])</f>
        <v>Laptop</v>
      </c>
      <c r="E395" t="str">
        <f>PROPER(Table1[[#This Row],[Column1]])</f>
        <v>Laptop</v>
      </c>
      <c r="F395" s="8" t="str">
        <f t="shared" si="30"/>
        <v>Technology</v>
      </c>
      <c r="G395" s="5">
        <v>13</v>
      </c>
      <c r="H395">
        <v>206.11</v>
      </c>
      <c r="I395" t="s">
        <v>57</v>
      </c>
      <c r="J395" t="s">
        <v>65</v>
      </c>
      <c r="K395" s="7">
        <v>0.15</v>
      </c>
      <c r="L395" t="s">
        <v>19</v>
      </c>
      <c r="M395" s="5">
        <v>2277.5155</v>
      </c>
      <c r="N395" t="s">
        <v>66</v>
      </c>
      <c r="O395" t="s">
        <v>67</v>
      </c>
      <c r="P395" s="5">
        <v>1</v>
      </c>
      <c r="Q395" t="s">
        <v>853</v>
      </c>
      <c r="R395" t="s">
        <v>854</v>
      </c>
      <c r="S395" s="5">
        <v>22.59</v>
      </c>
      <c r="T395" s="3">
        <v>45041</v>
      </c>
      <c r="U395" s="3">
        <v>45047</v>
      </c>
      <c r="V395" t="s">
        <v>77</v>
      </c>
      <c r="W395">
        <f t="shared" si="32"/>
        <v>1935.8881749999998</v>
      </c>
      <c r="X395">
        <f t="shared" si="33"/>
        <v>2679.4300000000003</v>
      </c>
      <c r="Y395">
        <f t="shared" si="34"/>
        <v>743.54182500000047</v>
      </c>
      <c r="Z395" s="8" t="str">
        <f t="shared" si="31"/>
        <v>High</v>
      </c>
      <c r="AA395" s="12">
        <f>DATE(YEAR(Table1[[#This Row],[OrderDate]]),MONTH(Table1[[#This Row],[OrderDate]]),1)</f>
        <v>45017</v>
      </c>
    </row>
    <row r="396" spans="1:27" x14ac:dyDescent="0.3">
      <c r="A396" s="3">
        <v>45756</v>
      </c>
      <c r="B396" t="s">
        <v>16</v>
      </c>
      <c r="C396" t="s">
        <v>35</v>
      </c>
      <c r="D396" t="str">
        <f>TRIM(Table1[[#This Row],[Product]])</f>
        <v>Tablet</v>
      </c>
      <c r="E396" t="str">
        <f>PROPER(Table1[[#This Row],[Column1]])</f>
        <v>Tablet</v>
      </c>
      <c r="F396" s="8" t="str">
        <f t="shared" si="30"/>
        <v>Technology</v>
      </c>
      <c r="G396" s="5">
        <v>14</v>
      </c>
      <c r="H396">
        <v>484.38</v>
      </c>
      <c r="I396" t="s">
        <v>81</v>
      </c>
      <c r="J396" t="s">
        <v>65</v>
      </c>
      <c r="K396" s="7">
        <v>0.05</v>
      </c>
      <c r="L396" t="s">
        <v>27</v>
      </c>
      <c r="M396" s="5">
        <v>6442.253999999999</v>
      </c>
      <c r="N396" t="s">
        <v>85</v>
      </c>
      <c r="O396" t="s">
        <v>67</v>
      </c>
      <c r="P396" s="5">
        <v>0</v>
      </c>
      <c r="Q396" t="s">
        <v>855</v>
      </c>
      <c r="R396" t="s">
        <v>856</v>
      </c>
      <c r="S396" s="5">
        <v>29.24</v>
      </c>
      <c r="T396" s="3">
        <v>45756</v>
      </c>
      <c r="U396" s="3">
        <v>45766</v>
      </c>
      <c r="V396" t="s">
        <v>95</v>
      </c>
      <c r="W396">
        <f t="shared" si="32"/>
        <v>6120.1412999999984</v>
      </c>
      <c r="X396">
        <f t="shared" si="33"/>
        <v>6781.32</v>
      </c>
      <c r="Y396">
        <f t="shared" si="34"/>
        <v>661.1787000000013</v>
      </c>
      <c r="Z396" s="8" t="str">
        <f t="shared" si="31"/>
        <v>Medium</v>
      </c>
      <c r="AA396" s="12">
        <f>DATE(YEAR(Table1[[#This Row],[OrderDate]]),MONTH(Table1[[#This Row],[OrderDate]]),1)</f>
        <v>45748</v>
      </c>
    </row>
    <row r="397" spans="1:27" x14ac:dyDescent="0.3">
      <c r="A397" s="3">
        <v>45235</v>
      </c>
      <c r="B397" t="s">
        <v>11</v>
      </c>
      <c r="C397" t="s">
        <v>32</v>
      </c>
      <c r="D397" t="str">
        <f>TRIM(Table1[[#This Row],[Product]])</f>
        <v>Monitor</v>
      </c>
      <c r="E397" t="str">
        <f>PROPER(Table1[[#This Row],[Column1]])</f>
        <v>Monitor</v>
      </c>
      <c r="F397" s="8" t="str">
        <f t="shared" si="30"/>
        <v>Technology</v>
      </c>
      <c r="G397" s="5">
        <v>6</v>
      </c>
      <c r="H397">
        <v>449.57</v>
      </c>
      <c r="I397" t="s">
        <v>81</v>
      </c>
      <c r="J397" t="s">
        <v>58</v>
      </c>
      <c r="K397" s="7">
        <v>0</v>
      </c>
      <c r="L397" t="s">
        <v>27</v>
      </c>
      <c r="M397" s="5">
        <v>2697.42</v>
      </c>
      <c r="N397" t="s">
        <v>66</v>
      </c>
      <c r="O397" t="s">
        <v>71</v>
      </c>
      <c r="P397" s="5">
        <v>0</v>
      </c>
      <c r="Q397" t="s">
        <v>857</v>
      </c>
      <c r="R397" t="s">
        <v>858</v>
      </c>
      <c r="S397" s="5">
        <v>23.09</v>
      </c>
      <c r="T397" s="3">
        <v>45235</v>
      </c>
      <c r="U397" s="3">
        <v>45242</v>
      </c>
      <c r="V397" t="s">
        <v>74</v>
      </c>
      <c r="W397">
        <f t="shared" si="32"/>
        <v>2697.42</v>
      </c>
      <c r="X397">
        <f t="shared" si="33"/>
        <v>2697.42</v>
      </c>
      <c r="Y397">
        <f t="shared" si="34"/>
        <v>0</v>
      </c>
      <c r="Z397" s="8" t="str">
        <f t="shared" si="31"/>
        <v>No Discount</v>
      </c>
      <c r="AA397" s="12">
        <f>DATE(YEAR(Table1[[#This Row],[OrderDate]]),MONTH(Table1[[#This Row],[OrderDate]]),1)</f>
        <v>45231</v>
      </c>
    </row>
    <row r="398" spans="1:27" x14ac:dyDescent="0.3">
      <c r="A398" s="3">
        <v>44939</v>
      </c>
      <c r="B398" t="s">
        <v>9</v>
      </c>
      <c r="C398" t="s">
        <v>31</v>
      </c>
      <c r="D398" t="str">
        <f>TRIM(Table1[[#This Row],[Product]])</f>
        <v>Laptop</v>
      </c>
      <c r="E398" t="str">
        <f>PROPER(Table1[[#This Row],[Column1]])</f>
        <v>Laptop</v>
      </c>
      <c r="F398" s="8" t="str">
        <f t="shared" si="30"/>
        <v>Technology</v>
      </c>
      <c r="G398" s="5">
        <v>9</v>
      </c>
      <c r="H398">
        <v>223.01</v>
      </c>
      <c r="I398" t="s">
        <v>78</v>
      </c>
      <c r="J398" t="s">
        <v>65</v>
      </c>
      <c r="K398" s="7">
        <v>0</v>
      </c>
      <c r="L398" t="s">
        <v>23</v>
      </c>
      <c r="M398" s="5">
        <v>2007.09</v>
      </c>
      <c r="N398" t="s">
        <v>88</v>
      </c>
      <c r="P398" s="5">
        <v>1</v>
      </c>
      <c r="Q398" t="s">
        <v>859</v>
      </c>
      <c r="R398" t="s">
        <v>860</v>
      </c>
      <c r="S398" s="5">
        <v>11.9</v>
      </c>
      <c r="T398" s="3">
        <v>44939</v>
      </c>
      <c r="U398" s="3">
        <v>44945</v>
      </c>
      <c r="V398" t="s">
        <v>63</v>
      </c>
      <c r="W398">
        <f t="shared" si="32"/>
        <v>2007.09</v>
      </c>
      <c r="X398">
        <f t="shared" si="33"/>
        <v>2007.09</v>
      </c>
      <c r="Y398">
        <f t="shared" si="34"/>
        <v>0</v>
      </c>
      <c r="Z398" s="8" t="str">
        <f t="shared" si="31"/>
        <v>No Discount</v>
      </c>
      <c r="AA398" s="12">
        <f>DATE(YEAR(Table1[[#This Row],[OrderDate]]),MONTH(Table1[[#This Row],[OrderDate]]),1)</f>
        <v>44927</v>
      </c>
    </row>
    <row r="399" spans="1:27" x14ac:dyDescent="0.3">
      <c r="A399" s="3">
        <v>45694</v>
      </c>
      <c r="B399" t="s">
        <v>16</v>
      </c>
      <c r="C399" t="s">
        <v>29</v>
      </c>
      <c r="D399" t="str">
        <f>TRIM(Table1[[#This Row],[Product]])</f>
        <v>Chair</v>
      </c>
      <c r="E399" t="str">
        <f>PROPER(Table1[[#This Row],[Column1]])</f>
        <v>Chair</v>
      </c>
      <c r="F399" s="8" t="str">
        <f t="shared" si="30"/>
        <v>Furniture</v>
      </c>
      <c r="G399" s="5">
        <v>14</v>
      </c>
      <c r="H399">
        <v>291.91000000000003</v>
      </c>
      <c r="I399" t="s">
        <v>64</v>
      </c>
      <c r="J399" t="s">
        <v>65</v>
      </c>
      <c r="K399" s="7">
        <v>0.15</v>
      </c>
      <c r="L399" t="s">
        <v>27</v>
      </c>
      <c r="M399" s="5">
        <v>3473.7289999999998</v>
      </c>
      <c r="N399" t="s">
        <v>82</v>
      </c>
      <c r="P399" s="5">
        <v>0</v>
      </c>
      <c r="Q399" t="s">
        <v>861</v>
      </c>
      <c r="R399" t="s">
        <v>862</v>
      </c>
      <c r="S399" s="5">
        <v>27.51</v>
      </c>
      <c r="T399" s="3">
        <v>45694</v>
      </c>
      <c r="U399" s="3">
        <v>45698</v>
      </c>
      <c r="V399" t="s">
        <v>95</v>
      </c>
      <c r="W399">
        <f t="shared" si="32"/>
        <v>2952.6696499999998</v>
      </c>
      <c r="X399">
        <f t="shared" si="33"/>
        <v>4086.7400000000002</v>
      </c>
      <c r="Y399">
        <f t="shared" si="34"/>
        <v>1134.0703500000004</v>
      </c>
      <c r="Z399" s="8" t="str">
        <f t="shared" si="31"/>
        <v>High</v>
      </c>
      <c r="AA399" s="12">
        <f>DATE(YEAR(Table1[[#This Row],[OrderDate]]),MONTH(Table1[[#This Row],[OrderDate]]),1)</f>
        <v>45689</v>
      </c>
    </row>
    <row r="400" spans="1:27" x14ac:dyDescent="0.3">
      <c r="A400" s="3">
        <v>45066</v>
      </c>
      <c r="B400" t="s">
        <v>13</v>
      </c>
      <c r="C400" t="s">
        <v>32</v>
      </c>
      <c r="D400" t="str">
        <f>TRIM(Table1[[#This Row],[Product]])</f>
        <v>Monitor</v>
      </c>
      <c r="E400" t="str">
        <f>PROPER(Table1[[#This Row],[Column1]])</f>
        <v>Monitor</v>
      </c>
      <c r="F400" s="8" t="str">
        <f t="shared" si="30"/>
        <v>Technology</v>
      </c>
      <c r="G400" s="5">
        <v>13</v>
      </c>
      <c r="H400">
        <v>90.86</v>
      </c>
      <c r="I400" t="s">
        <v>64</v>
      </c>
      <c r="J400" t="s">
        <v>58</v>
      </c>
      <c r="K400" s="7">
        <v>0</v>
      </c>
      <c r="L400" t="s">
        <v>21</v>
      </c>
      <c r="M400" s="5">
        <v>1181.18</v>
      </c>
      <c r="N400" t="s">
        <v>66</v>
      </c>
      <c r="O400" t="s">
        <v>67</v>
      </c>
      <c r="P400" s="5">
        <v>0</v>
      </c>
      <c r="Q400" t="s">
        <v>863</v>
      </c>
      <c r="R400" t="s">
        <v>864</v>
      </c>
      <c r="S400" s="5">
        <v>16.739999999999998</v>
      </c>
      <c r="T400" s="3">
        <v>45066</v>
      </c>
      <c r="U400" s="3">
        <v>45071</v>
      </c>
      <c r="V400" t="s">
        <v>70</v>
      </c>
      <c r="W400">
        <f t="shared" si="32"/>
        <v>1181.18</v>
      </c>
      <c r="X400">
        <f t="shared" si="33"/>
        <v>1181.18</v>
      </c>
      <c r="Y400">
        <f t="shared" si="34"/>
        <v>0</v>
      </c>
      <c r="Z400" s="8" t="str">
        <f t="shared" si="31"/>
        <v>No Discount</v>
      </c>
      <c r="AA400" s="12">
        <f>DATE(YEAR(Table1[[#This Row],[OrderDate]]),MONTH(Table1[[#This Row],[OrderDate]]),1)</f>
        <v>45047</v>
      </c>
    </row>
    <row r="401" spans="1:27" x14ac:dyDescent="0.3">
      <c r="A401" s="3">
        <v>45826</v>
      </c>
      <c r="B401" t="s">
        <v>9</v>
      </c>
      <c r="C401" t="s">
        <v>30</v>
      </c>
      <c r="D401" t="str">
        <f>TRIM(Table1[[#This Row],[Product]])</f>
        <v>Desk</v>
      </c>
      <c r="E401" t="str">
        <f>PROPER(Table1[[#This Row],[Column1]])</f>
        <v>Desk</v>
      </c>
      <c r="F401" s="8" t="str">
        <f t="shared" si="30"/>
        <v>Furniture</v>
      </c>
      <c r="G401" s="5">
        <v>4</v>
      </c>
      <c r="H401">
        <v>109.05</v>
      </c>
      <c r="I401" t="s">
        <v>81</v>
      </c>
      <c r="J401" t="s">
        <v>58</v>
      </c>
      <c r="K401" s="7">
        <v>0</v>
      </c>
      <c r="L401" t="s">
        <v>23</v>
      </c>
      <c r="M401" s="5">
        <v>436.2</v>
      </c>
      <c r="N401" t="s">
        <v>66</v>
      </c>
      <c r="O401" t="s">
        <v>71</v>
      </c>
      <c r="P401" s="5">
        <v>0</v>
      </c>
      <c r="Q401" t="s">
        <v>865</v>
      </c>
      <c r="R401" t="s">
        <v>866</v>
      </c>
      <c r="S401" s="5">
        <v>21.02</v>
      </c>
      <c r="T401" s="3">
        <v>45826</v>
      </c>
      <c r="U401" s="3">
        <v>45832</v>
      </c>
      <c r="V401" t="s">
        <v>63</v>
      </c>
      <c r="W401">
        <f t="shared" si="32"/>
        <v>436.2</v>
      </c>
      <c r="X401">
        <f t="shared" si="33"/>
        <v>436.2</v>
      </c>
      <c r="Y401">
        <f t="shared" si="34"/>
        <v>0</v>
      </c>
      <c r="Z401" s="8" t="str">
        <f t="shared" si="31"/>
        <v>No Discount</v>
      </c>
      <c r="AA401" s="12">
        <f>DATE(YEAR(Table1[[#This Row],[OrderDate]]),MONTH(Table1[[#This Row],[OrderDate]]),1)</f>
        <v>45809</v>
      </c>
    </row>
    <row r="402" spans="1:27" x14ac:dyDescent="0.3">
      <c r="A402" s="3">
        <v>44980</v>
      </c>
      <c r="B402" t="s">
        <v>16</v>
      </c>
      <c r="C402" t="s">
        <v>35</v>
      </c>
      <c r="D402" t="str">
        <f>TRIM(Table1[[#This Row],[Product]])</f>
        <v>Tablet</v>
      </c>
      <c r="E402" t="str">
        <f>PROPER(Table1[[#This Row],[Column1]])</f>
        <v>Tablet</v>
      </c>
      <c r="F402" s="8" t="str">
        <f t="shared" si="30"/>
        <v>Technology</v>
      </c>
      <c r="G402" s="5">
        <v>12</v>
      </c>
      <c r="H402">
        <v>245.6</v>
      </c>
      <c r="I402" t="s">
        <v>81</v>
      </c>
      <c r="J402" t="s">
        <v>65</v>
      </c>
      <c r="K402" s="7">
        <v>0</v>
      </c>
      <c r="L402" t="s">
        <v>19</v>
      </c>
      <c r="M402" s="5">
        <v>2947.2</v>
      </c>
      <c r="N402" t="s">
        <v>88</v>
      </c>
      <c r="O402" t="s">
        <v>60</v>
      </c>
      <c r="P402" s="5">
        <v>1</v>
      </c>
      <c r="Q402" t="s">
        <v>867</v>
      </c>
      <c r="R402" t="s">
        <v>868</v>
      </c>
      <c r="S402" s="5">
        <v>43.92</v>
      </c>
      <c r="T402" s="3">
        <v>44980</v>
      </c>
      <c r="U402" s="3">
        <v>44984</v>
      </c>
      <c r="V402" t="s">
        <v>95</v>
      </c>
      <c r="W402">
        <f t="shared" si="32"/>
        <v>2947.2</v>
      </c>
      <c r="X402">
        <f t="shared" si="33"/>
        <v>2947.2</v>
      </c>
      <c r="Y402">
        <f t="shared" si="34"/>
        <v>0</v>
      </c>
      <c r="Z402" s="8" t="str">
        <f t="shared" si="31"/>
        <v>No Discount</v>
      </c>
      <c r="AA402" s="12">
        <f>DATE(YEAR(Table1[[#This Row],[OrderDate]]),MONTH(Table1[[#This Row],[OrderDate]]),1)</f>
        <v>44958</v>
      </c>
    </row>
    <row r="403" spans="1:27" x14ac:dyDescent="0.3">
      <c r="A403" s="3">
        <v>45605</v>
      </c>
      <c r="B403" t="s">
        <v>9</v>
      </c>
      <c r="C403" t="s">
        <v>34</v>
      </c>
      <c r="D403" t="str">
        <f>TRIM(Table1[[#This Row],[Product]])</f>
        <v>Printer</v>
      </c>
      <c r="E403" t="str">
        <f>PROPER(Table1[[#This Row],[Column1]])</f>
        <v>Printer</v>
      </c>
      <c r="F403" s="8" t="str">
        <f t="shared" si="30"/>
        <v>Office Supplies</v>
      </c>
      <c r="G403" s="5">
        <v>15</v>
      </c>
      <c r="H403">
        <v>380.03</v>
      </c>
      <c r="I403" t="s">
        <v>64</v>
      </c>
      <c r="J403" t="s">
        <v>65</v>
      </c>
      <c r="K403" s="7">
        <v>0</v>
      </c>
      <c r="L403" t="s">
        <v>19</v>
      </c>
      <c r="M403" s="5">
        <v>5700.45</v>
      </c>
      <c r="N403" t="s">
        <v>59</v>
      </c>
      <c r="P403" s="5">
        <v>0</v>
      </c>
      <c r="Q403" t="s">
        <v>869</v>
      </c>
      <c r="R403" t="s">
        <v>870</v>
      </c>
      <c r="S403" s="5">
        <v>25.72</v>
      </c>
      <c r="T403" s="3">
        <v>45605</v>
      </c>
      <c r="U403" s="3">
        <v>45608</v>
      </c>
      <c r="V403" t="s">
        <v>63</v>
      </c>
      <c r="W403">
        <f t="shared" si="32"/>
        <v>5700.45</v>
      </c>
      <c r="X403">
        <f t="shared" si="33"/>
        <v>5700.45</v>
      </c>
      <c r="Y403">
        <f t="shared" si="34"/>
        <v>0</v>
      </c>
      <c r="Z403" s="8" t="str">
        <f t="shared" si="31"/>
        <v>No Discount</v>
      </c>
      <c r="AA403" s="12">
        <f>DATE(YEAR(Table1[[#This Row],[OrderDate]]),MONTH(Table1[[#This Row],[OrderDate]]),1)</f>
        <v>45597</v>
      </c>
    </row>
    <row r="404" spans="1:27" x14ac:dyDescent="0.3">
      <c r="A404" s="3">
        <v>45498</v>
      </c>
      <c r="B404" t="s">
        <v>13</v>
      </c>
      <c r="C404" t="s">
        <v>35</v>
      </c>
      <c r="D404" t="str">
        <f>TRIM(Table1[[#This Row],[Product]])</f>
        <v>Tablet</v>
      </c>
      <c r="E404" t="str">
        <f>PROPER(Table1[[#This Row],[Column1]])</f>
        <v>Tablet</v>
      </c>
      <c r="F404" s="8" t="str">
        <f t="shared" si="30"/>
        <v>Technology</v>
      </c>
      <c r="G404" s="5">
        <v>3</v>
      </c>
      <c r="H404">
        <v>417.58</v>
      </c>
      <c r="I404" t="s">
        <v>81</v>
      </c>
      <c r="J404" t="s">
        <v>65</v>
      </c>
      <c r="K404" s="7">
        <v>0.05</v>
      </c>
      <c r="L404" t="s">
        <v>27</v>
      </c>
      <c r="M404" s="5">
        <v>1190.1030000000001</v>
      </c>
      <c r="N404" t="s">
        <v>66</v>
      </c>
      <c r="O404" t="s">
        <v>67</v>
      </c>
      <c r="P404" s="5">
        <v>0</v>
      </c>
      <c r="Q404" t="s">
        <v>871</v>
      </c>
      <c r="R404" t="s">
        <v>872</v>
      </c>
      <c r="S404" s="5">
        <v>43.42</v>
      </c>
      <c r="T404" s="3">
        <v>45498</v>
      </c>
      <c r="U404" s="3">
        <v>45504</v>
      </c>
      <c r="V404" t="s">
        <v>70</v>
      </c>
      <c r="W404">
        <f t="shared" si="32"/>
        <v>1130.5978500000001</v>
      </c>
      <c r="X404">
        <f t="shared" si="33"/>
        <v>1252.74</v>
      </c>
      <c r="Y404">
        <f t="shared" si="34"/>
        <v>122.1421499999999</v>
      </c>
      <c r="Z404" s="8" t="str">
        <f t="shared" si="31"/>
        <v>Medium</v>
      </c>
      <c r="AA404" s="12">
        <f>DATE(YEAR(Table1[[#This Row],[OrderDate]]),MONTH(Table1[[#This Row],[OrderDate]]),1)</f>
        <v>45474</v>
      </c>
    </row>
    <row r="405" spans="1:27" x14ac:dyDescent="0.3">
      <c r="A405" s="3">
        <v>45157</v>
      </c>
      <c r="B405" t="s">
        <v>16</v>
      </c>
      <c r="C405" t="s">
        <v>31</v>
      </c>
      <c r="D405" t="str">
        <f>TRIM(Table1[[#This Row],[Product]])</f>
        <v>Laptop</v>
      </c>
      <c r="E405" t="str">
        <f>PROPER(Table1[[#This Row],[Column1]])</f>
        <v>Laptop</v>
      </c>
      <c r="F405" s="8" t="str">
        <f t="shared" si="30"/>
        <v>Technology</v>
      </c>
      <c r="G405" s="5">
        <v>15</v>
      </c>
      <c r="H405">
        <v>432.17</v>
      </c>
      <c r="I405" t="s">
        <v>81</v>
      </c>
      <c r="J405" t="s">
        <v>58</v>
      </c>
      <c r="K405" s="7">
        <v>0.15</v>
      </c>
      <c r="L405" t="s">
        <v>27</v>
      </c>
      <c r="M405" s="5">
        <v>5510.1674999999996</v>
      </c>
      <c r="N405" t="s">
        <v>85</v>
      </c>
      <c r="O405" t="s">
        <v>71</v>
      </c>
      <c r="P405" s="5">
        <v>0</v>
      </c>
      <c r="Q405" t="s">
        <v>873</v>
      </c>
      <c r="R405" t="s">
        <v>874</v>
      </c>
      <c r="S405" s="5">
        <v>44.88</v>
      </c>
      <c r="T405" s="3">
        <v>45157</v>
      </c>
      <c r="U405" s="3">
        <v>45161</v>
      </c>
      <c r="V405" t="s">
        <v>95</v>
      </c>
      <c r="W405">
        <f t="shared" si="32"/>
        <v>4683.6423749999994</v>
      </c>
      <c r="X405">
        <f t="shared" si="33"/>
        <v>6482.55</v>
      </c>
      <c r="Y405">
        <f t="shared" si="34"/>
        <v>1798.9076250000007</v>
      </c>
      <c r="Z405" s="8" t="str">
        <f t="shared" si="31"/>
        <v>High</v>
      </c>
      <c r="AA405" s="12">
        <f>DATE(YEAR(Table1[[#This Row],[OrderDate]]),MONTH(Table1[[#This Row],[OrderDate]]),1)</f>
        <v>45139</v>
      </c>
    </row>
    <row r="406" spans="1:27" x14ac:dyDescent="0.3">
      <c r="A406" s="3">
        <v>45243</v>
      </c>
      <c r="B406" t="s">
        <v>13</v>
      </c>
      <c r="C406" t="s">
        <v>32</v>
      </c>
      <c r="D406" t="str">
        <f>TRIM(Table1[[#This Row],[Product]])</f>
        <v>Monitor</v>
      </c>
      <c r="E406" t="str">
        <f>PROPER(Table1[[#This Row],[Column1]])</f>
        <v>Monitor</v>
      </c>
      <c r="F406" s="8" t="str">
        <f t="shared" si="30"/>
        <v>Technology</v>
      </c>
      <c r="G406" s="5">
        <v>13</v>
      </c>
      <c r="H406">
        <v>531.77</v>
      </c>
      <c r="I406" t="s">
        <v>78</v>
      </c>
      <c r="J406" t="s">
        <v>65</v>
      </c>
      <c r="K406" s="7">
        <v>0.1</v>
      </c>
      <c r="L406" t="s">
        <v>19</v>
      </c>
      <c r="M406" s="5">
        <v>6221.7090000000007</v>
      </c>
      <c r="N406" t="s">
        <v>59</v>
      </c>
      <c r="O406" t="s">
        <v>67</v>
      </c>
      <c r="P406" s="5">
        <v>0</v>
      </c>
      <c r="Q406" t="s">
        <v>875</v>
      </c>
      <c r="R406" t="s">
        <v>876</v>
      </c>
      <c r="S406" s="5">
        <v>37.909999999999997</v>
      </c>
      <c r="T406" s="3">
        <v>45243</v>
      </c>
      <c r="U406" s="3">
        <v>45245</v>
      </c>
      <c r="V406" t="s">
        <v>70</v>
      </c>
      <c r="W406">
        <f t="shared" si="32"/>
        <v>5599.5381000000007</v>
      </c>
      <c r="X406">
        <f t="shared" si="33"/>
        <v>6913.01</v>
      </c>
      <c r="Y406">
        <f t="shared" si="34"/>
        <v>1313.4718999999996</v>
      </c>
      <c r="Z406" s="8" t="str">
        <f t="shared" si="31"/>
        <v>Medium</v>
      </c>
      <c r="AA406" s="12">
        <f>DATE(YEAR(Table1[[#This Row],[OrderDate]]),MONTH(Table1[[#This Row],[OrderDate]]),1)</f>
        <v>45231</v>
      </c>
    </row>
    <row r="407" spans="1:27" x14ac:dyDescent="0.3">
      <c r="A407" s="3">
        <v>45545</v>
      </c>
      <c r="B407" t="s">
        <v>16</v>
      </c>
      <c r="C407" t="s">
        <v>35</v>
      </c>
      <c r="D407" t="str">
        <f>TRIM(Table1[[#This Row],[Product]])</f>
        <v>Tablet</v>
      </c>
      <c r="E407" t="str">
        <f>PROPER(Table1[[#This Row],[Column1]])</f>
        <v>Tablet</v>
      </c>
      <c r="F407" s="8" t="str">
        <f t="shared" si="30"/>
        <v>Technology</v>
      </c>
      <c r="G407" s="5">
        <v>13</v>
      </c>
      <c r="H407">
        <v>442.99</v>
      </c>
      <c r="I407" t="s">
        <v>64</v>
      </c>
      <c r="J407" t="s">
        <v>58</v>
      </c>
      <c r="K407" s="7">
        <v>0.05</v>
      </c>
      <c r="L407" t="s">
        <v>18</v>
      </c>
      <c r="M407" s="5">
        <v>5470.9264999999996</v>
      </c>
      <c r="N407" t="s">
        <v>66</v>
      </c>
      <c r="O407" t="s">
        <v>67</v>
      </c>
      <c r="P407" s="5">
        <v>0</v>
      </c>
      <c r="Q407" t="s">
        <v>877</v>
      </c>
      <c r="R407" t="s">
        <v>878</v>
      </c>
      <c r="S407" s="5">
        <v>37.119999999999997</v>
      </c>
      <c r="T407" s="3">
        <v>45545</v>
      </c>
      <c r="U407" s="3">
        <v>45553</v>
      </c>
      <c r="V407" t="s">
        <v>95</v>
      </c>
      <c r="W407">
        <f t="shared" si="32"/>
        <v>5197.3801749999993</v>
      </c>
      <c r="X407">
        <f t="shared" si="33"/>
        <v>5758.87</v>
      </c>
      <c r="Y407">
        <f t="shared" si="34"/>
        <v>561.48982500000056</v>
      </c>
      <c r="Z407" s="8" t="str">
        <f t="shared" si="31"/>
        <v>Medium</v>
      </c>
      <c r="AA407" s="12">
        <f>DATE(YEAR(Table1[[#This Row],[OrderDate]]),MONTH(Table1[[#This Row],[OrderDate]]),1)</f>
        <v>45536</v>
      </c>
    </row>
    <row r="408" spans="1:27" x14ac:dyDescent="0.3">
      <c r="A408" s="3">
        <v>45534</v>
      </c>
      <c r="B408" t="s">
        <v>7</v>
      </c>
      <c r="C408" t="s">
        <v>29</v>
      </c>
      <c r="D408" t="str">
        <f>TRIM(Table1[[#This Row],[Product]])</f>
        <v>Chair</v>
      </c>
      <c r="E408" t="str">
        <f>PROPER(Table1[[#This Row],[Column1]])</f>
        <v>Chair</v>
      </c>
      <c r="F408" s="8" t="str">
        <f t="shared" si="30"/>
        <v>Furniture</v>
      </c>
      <c r="G408" s="5">
        <v>13</v>
      </c>
      <c r="H408">
        <v>567.5</v>
      </c>
      <c r="I408" t="s">
        <v>64</v>
      </c>
      <c r="J408" t="s">
        <v>65</v>
      </c>
      <c r="K408" s="7">
        <v>0</v>
      </c>
      <c r="L408" t="s">
        <v>25</v>
      </c>
      <c r="M408" s="5">
        <v>7377.5</v>
      </c>
      <c r="N408" t="s">
        <v>82</v>
      </c>
      <c r="P408" s="5">
        <v>0</v>
      </c>
      <c r="Q408" t="s">
        <v>879</v>
      </c>
      <c r="R408" t="s">
        <v>880</v>
      </c>
      <c r="S408" s="5">
        <v>28.41</v>
      </c>
      <c r="T408" s="3">
        <v>45534</v>
      </c>
      <c r="U408" s="3">
        <v>45537</v>
      </c>
      <c r="V408" t="s">
        <v>77</v>
      </c>
      <c r="W408">
        <f t="shared" si="32"/>
        <v>7377.5</v>
      </c>
      <c r="X408">
        <f t="shared" si="33"/>
        <v>7377.5</v>
      </c>
      <c r="Y408">
        <f t="shared" si="34"/>
        <v>0</v>
      </c>
      <c r="Z408" s="8" t="str">
        <f t="shared" si="31"/>
        <v>No Discount</v>
      </c>
      <c r="AA408" s="12">
        <f>DATE(YEAR(Table1[[#This Row],[OrderDate]]),MONTH(Table1[[#This Row],[OrderDate]]),1)</f>
        <v>45505</v>
      </c>
    </row>
    <row r="409" spans="1:27" x14ac:dyDescent="0.3">
      <c r="A409" s="3">
        <v>45606</v>
      </c>
      <c r="B409" t="s">
        <v>9</v>
      </c>
      <c r="C409" t="s">
        <v>35</v>
      </c>
      <c r="D409" t="str">
        <f>TRIM(Table1[[#This Row],[Product]])</f>
        <v>Tablet</v>
      </c>
      <c r="E409" t="str">
        <f>PROPER(Table1[[#This Row],[Column1]])</f>
        <v>Tablet</v>
      </c>
      <c r="F409" s="8" t="str">
        <f t="shared" si="30"/>
        <v>Technology</v>
      </c>
      <c r="G409" s="5">
        <v>15</v>
      </c>
      <c r="H409">
        <v>469.52</v>
      </c>
      <c r="I409" t="s">
        <v>78</v>
      </c>
      <c r="J409" t="s">
        <v>58</v>
      </c>
      <c r="K409" s="7">
        <v>0</v>
      </c>
      <c r="L409" t="s">
        <v>18</v>
      </c>
      <c r="M409" s="5">
        <v>7042.7999999999993</v>
      </c>
      <c r="N409" t="s">
        <v>82</v>
      </c>
      <c r="O409" t="s">
        <v>60</v>
      </c>
      <c r="P409" s="5">
        <v>0</v>
      </c>
      <c r="Q409" t="s">
        <v>881</v>
      </c>
      <c r="R409" t="s">
        <v>882</v>
      </c>
      <c r="S409" s="5">
        <v>35.6</v>
      </c>
      <c r="T409" s="3">
        <v>45606</v>
      </c>
      <c r="U409" s="3">
        <v>45613</v>
      </c>
      <c r="V409" t="s">
        <v>63</v>
      </c>
      <c r="W409">
        <f t="shared" si="32"/>
        <v>7042.7999999999993</v>
      </c>
      <c r="X409">
        <f t="shared" si="33"/>
        <v>7042.7999999999993</v>
      </c>
      <c r="Y409">
        <f t="shared" si="34"/>
        <v>0</v>
      </c>
      <c r="Z409" s="8" t="str">
        <f t="shared" si="31"/>
        <v>No Discount</v>
      </c>
      <c r="AA409" s="12">
        <f>DATE(YEAR(Table1[[#This Row],[OrderDate]]),MONTH(Table1[[#This Row],[OrderDate]]),1)</f>
        <v>45597</v>
      </c>
    </row>
    <row r="410" spans="1:27" x14ac:dyDescent="0.3">
      <c r="A410" s="3">
        <v>45029</v>
      </c>
      <c r="B410" t="s">
        <v>9</v>
      </c>
      <c r="C410" t="s">
        <v>34</v>
      </c>
      <c r="D410" t="str">
        <f>TRIM(Table1[[#This Row],[Product]])</f>
        <v>Printer</v>
      </c>
      <c r="E410" t="str">
        <f>PROPER(Table1[[#This Row],[Column1]])</f>
        <v>Printer</v>
      </c>
      <c r="F410" s="8" t="str">
        <f t="shared" si="30"/>
        <v>Office Supplies</v>
      </c>
      <c r="G410" s="5">
        <v>1</v>
      </c>
      <c r="H410">
        <v>396.09</v>
      </c>
      <c r="I410" t="s">
        <v>81</v>
      </c>
      <c r="J410" t="s">
        <v>58</v>
      </c>
      <c r="K410" s="7">
        <v>0.15</v>
      </c>
      <c r="L410" t="s">
        <v>27</v>
      </c>
      <c r="M410" s="5">
        <v>336.67649999999998</v>
      </c>
      <c r="N410" t="s">
        <v>82</v>
      </c>
      <c r="O410" t="s">
        <v>71</v>
      </c>
      <c r="P410" s="5">
        <v>0</v>
      </c>
      <c r="Q410" t="s">
        <v>883</v>
      </c>
      <c r="R410" t="s">
        <v>884</v>
      </c>
      <c r="S410" s="5">
        <v>39.380000000000003</v>
      </c>
      <c r="T410" s="3">
        <v>45029</v>
      </c>
      <c r="U410" s="3">
        <v>45035</v>
      </c>
      <c r="V410" t="s">
        <v>63</v>
      </c>
      <c r="W410">
        <f t="shared" si="32"/>
        <v>286.17502499999995</v>
      </c>
      <c r="X410">
        <f t="shared" si="33"/>
        <v>396.09</v>
      </c>
      <c r="Y410">
        <f t="shared" si="34"/>
        <v>109.91497500000003</v>
      </c>
      <c r="Z410" s="8" t="str">
        <f t="shared" si="31"/>
        <v>High</v>
      </c>
      <c r="AA410" s="12">
        <f>DATE(YEAR(Table1[[#This Row],[OrderDate]]),MONTH(Table1[[#This Row],[OrderDate]]),1)</f>
        <v>45017</v>
      </c>
    </row>
    <row r="411" spans="1:27" x14ac:dyDescent="0.3">
      <c r="A411" s="3">
        <v>45250</v>
      </c>
      <c r="B411" t="s">
        <v>9</v>
      </c>
      <c r="C411" t="s">
        <v>31</v>
      </c>
      <c r="D411" t="str">
        <f>TRIM(Table1[[#This Row],[Product]])</f>
        <v>Laptop</v>
      </c>
      <c r="E411" t="str">
        <f>PROPER(Table1[[#This Row],[Column1]])</f>
        <v>Laptop</v>
      </c>
      <c r="F411" s="8" t="str">
        <f t="shared" si="30"/>
        <v>Technology</v>
      </c>
      <c r="G411" s="5">
        <v>12</v>
      </c>
      <c r="H411">
        <v>195.73</v>
      </c>
      <c r="I411" t="s">
        <v>78</v>
      </c>
      <c r="J411" t="s">
        <v>58</v>
      </c>
      <c r="K411" s="7">
        <v>0.05</v>
      </c>
      <c r="L411" t="s">
        <v>18</v>
      </c>
      <c r="M411" s="5">
        <v>2231.3220000000001</v>
      </c>
      <c r="N411" t="s">
        <v>88</v>
      </c>
      <c r="O411" t="s">
        <v>67</v>
      </c>
      <c r="P411" s="5">
        <v>0</v>
      </c>
      <c r="Q411" t="s">
        <v>885</v>
      </c>
      <c r="R411" t="s">
        <v>886</v>
      </c>
      <c r="S411" s="5">
        <v>37.090000000000003</v>
      </c>
      <c r="T411" s="3">
        <v>45250</v>
      </c>
      <c r="U411" s="3">
        <v>45257</v>
      </c>
      <c r="V411" t="s">
        <v>63</v>
      </c>
      <c r="W411">
        <f t="shared" si="32"/>
        <v>2119.7559000000001</v>
      </c>
      <c r="X411">
        <f t="shared" si="33"/>
        <v>2348.7599999999998</v>
      </c>
      <c r="Y411">
        <f t="shared" si="34"/>
        <v>229.00409999999965</v>
      </c>
      <c r="Z411" s="8" t="str">
        <f t="shared" si="31"/>
        <v>Medium</v>
      </c>
      <c r="AA411" s="12">
        <f>DATE(YEAR(Table1[[#This Row],[OrderDate]]),MONTH(Table1[[#This Row],[OrderDate]]),1)</f>
        <v>45231</v>
      </c>
    </row>
    <row r="412" spans="1:27" x14ac:dyDescent="0.3">
      <c r="A412" s="3">
        <v>45761</v>
      </c>
      <c r="B412" t="s">
        <v>11</v>
      </c>
      <c r="C412" t="s">
        <v>34</v>
      </c>
      <c r="D412" t="str">
        <f>TRIM(Table1[[#This Row],[Product]])</f>
        <v>Printer</v>
      </c>
      <c r="E412" t="str">
        <f>PROPER(Table1[[#This Row],[Column1]])</f>
        <v>Printer</v>
      </c>
      <c r="F412" s="8" t="str">
        <f t="shared" si="30"/>
        <v>Office Supplies</v>
      </c>
      <c r="G412" s="5">
        <v>5</v>
      </c>
      <c r="H412">
        <v>412.24</v>
      </c>
      <c r="I412" t="s">
        <v>57</v>
      </c>
      <c r="J412" t="s">
        <v>58</v>
      </c>
      <c r="K412" s="7">
        <v>0.15</v>
      </c>
      <c r="L412" t="s">
        <v>21</v>
      </c>
      <c r="M412" s="5">
        <v>1752.02</v>
      </c>
      <c r="N412" t="s">
        <v>88</v>
      </c>
      <c r="O412" t="s">
        <v>60</v>
      </c>
      <c r="P412" s="5">
        <v>0</v>
      </c>
      <c r="Q412" t="s">
        <v>887</v>
      </c>
      <c r="R412" t="s">
        <v>486</v>
      </c>
      <c r="S412" s="5">
        <v>29.31</v>
      </c>
      <c r="T412" s="3">
        <v>45761</v>
      </c>
      <c r="U412" s="3">
        <v>45766</v>
      </c>
      <c r="V412" t="s">
        <v>74</v>
      </c>
      <c r="W412">
        <f t="shared" si="32"/>
        <v>1489.2169999999999</v>
      </c>
      <c r="X412">
        <f t="shared" si="33"/>
        <v>2061.1999999999998</v>
      </c>
      <c r="Y412">
        <f t="shared" si="34"/>
        <v>571.98299999999995</v>
      </c>
      <c r="Z412" s="8" t="str">
        <f t="shared" si="31"/>
        <v>High</v>
      </c>
      <c r="AA412" s="12">
        <f>DATE(YEAR(Table1[[#This Row],[OrderDate]]),MONTH(Table1[[#This Row],[OrderDate]]),1)</f>
        <v>45748</v>
      </c>
    </row>
    <row r="413" spans="1:27" x14ac:dyDescent="0.3">
      <c r="A413" s="3">
        <v>44989</v>
      </c>
      <c r="B413" t="s">
        <v>7</v>
      </c>
      <c r="C413" t="s">
        <v>32</v>
      </c>
      <c r="D413" t="str">
        <f>TRIM(Table1[[#This Row],[Product]])</f>
        <v>Monitor</v>
      </c>
      <c r="E413" t="str">
        <f>PROPER(Table1[[#This Row],[Column1]])</f>
        <v>Monitor</v>
      </c>
      <c r="F413" s="8" t="str">
        <f t="shared" si="30"/>
        <v>Technology</v>
      </c>
      <c r="G413" s="5">
        <v>11</v>
      </c>
      <c r="H413">
        <v>558.5</v>
      </c>
      <c r="I413" t="s">
        <v>57</v>
      </c>
      <c r="J413" t="s">
        <v>65</v>
      </c>
      <c r="K413" s="7">
        <v>0.15</v>
      </c>
      <c r="L413" t="s">
        <v>21</v>
      </c>
      <c r="M413" s="5">
        <v>5221.9749999999995</v>
      </c>
      <c r="N413" t="s">
        <v>88</v>
      </c>
      <c r="O413" t="s">
        <v>71</v>
      </c>
      <c r="P413" s="5">
        <v>0</v>
      </c>
      <c r="Q413" t="s">
        <v>888</v>
      </c>
      <c r="R413" t="s">
        <v>373</v>
      </c>
      <c r="S413" s="5">
        <v>48.15</v>
      </c>
      <c r="T413" s="3">
        <v>44989</v>
      </c>
      <c r="U413" s="3">
        <v>44994</v>
      </c>
      <c r="V413" t="s">
        <v>77</v>
      </c>
      <c r="W413">
        <f t="shared" si="32"/>
        <v>4438.6787499999991</v>
      </c>
      <c r="X413">
        <f t="shared" si="33"/>
        <v>6143.5</v>
      </c>
      <c r="Y413">
        <f t="shared" si="34"/>
        <v>1704.8212500000009</v>
      </c>
      <c r="Z413" s="8" t="str">
        <f t="shared" si="31"/>
        <v>High</v>
      </c>
      <c r="AA413" s="12">
        <f>DATE(YEAR(Table1[[#This Row],[OrderDate]]),MONTH(Table1[[#This Row],[OrderDate]]),1)</f>
        <v>44986</v>
      </c>
    </row>
    <row r="414" spans="1:27" x14ac:dyDescent="0.3">
      <c r="A414" s="3">
        <v>45612</v>
      </c>
      <c r="B414" t="s">
        <v>11</v>
      </c>
      <c r="C414" t="s">
        <v>31</v>
      </c>
      <c r="D414" t="str">
        <f>TRIM(Table1[[#This Row],[Product]])</f>
        <v>Laptop</v>
      </c>
      <c r="E414" t="str">
        <f>PROPER(Table1[[#This Row],[Column1]])</f>
        <v>Laptop</v>
      </c>
      <c r="F414" s="8" t="str">
        <f t="shared" si="30"/>
        <v>Technology</v>
      </c>
      <c r="G414" s="5">
        <v>4</v>
      </c>
      <c r="H414">
        <v>175.34</v>
      </c>
      <c r="I414" t="s">
        <v>78</v>
      </c>
      <c r="J414" t="s">
        <v>65</v>
      </c>
      <c r="K414" s="7">
        <v>0.15</v>
      </c>
      <c r="L414" t="s">
        <v>25</v>
      </c>
      <c r="M414" s="5">
        <v>596.15599999999995</v>
      </c>
      <c r="N414" t="s">
        <v>88</v>
      </c>
      <c r="O414" t="s">
        <v>60</v>
      </c>
      <c r="P414" s="5">
        <v>0</v>
      </c>
      <c r="Q414" t="s">
        <v>889</v>
      </c>
      <c r="R414" t="s">
        <v>890</v>
      </c>
      <c r="S414" s="5">
        <v>40.86</v>
      </c>
      <c r="T414" s="3">
        <v>45612</v>
      </c>
      <c r="U414" s="3">
        <v>45615</v>
      </c>
      <c r="V414" t="s">
        <v>74</v>
      </c>
      <c r="W414">
        <f t="shared" si="32"/>
        <v>506.73259999999993</v>
      </c>
      <c r="X414">
        <f t="shared" si="33"/>
        <v>701.36</v>
      </c>
      <c r="Y414">
        <f t="shared" si="34"/>
        <v>194.62740000000008</v>
      </c>
      <c r="Z414" s="8" t="str">
        <f t="shared" si="31"/>
        <v>High</v>
      </c>
      <c r="AA414" s="12">
        <f>DATE(YEAR(Table1[[#This Row],[OrderDate]]),MONTH(Table1[[#This Row],[OrderDate]]),1)</f>
        <v>45597</v>
      </c>
    </row>
    <row r="415" spans="1:27" x14ac:dyDescent="0.3">
      <c r="A415" s="3">
        <v>45437</v>
      </c>
      <c r="B415" t="s">
        <v>13</v>
      </c>
      <c r="C415" t="s">
        <v>31</v>
      </c>
      <c r="D415" t="str">
        <f>TRIM(Table1[[#This Row],[Product]])</f>
        <v>Laptop</v>
      </c>
      <c r="E415" t="str">
        <f>PROPER(Table1[[#This Row],[Column1]])</f>
        <v>Laptop</v>
      </c>
      <c r="F415" s="8" t="str">
        <f t="shared" si="30"/>
        <v>Technology</v>
      </c>
      <c r="G415" s="5">
        <v>19</v>
      </c>
      <c r="H415">
        <v>478.73</v>
      </c>
      <c r="I415" t="s">
        <v>64</v>
      </c>
      <c r="J415" t="s">
        <v>65</v>
      </c>
      <c r="K415" s="7">
        <v>0</v>
      </c>
      <c r="L415" t="s">
        <v>27</v>
      </c>
      <c r="M415" s="5">
        <v>9095.8700000000008</v>
      </c>
      <c r="N415" t="s">
        <v>85</v>
      </c>
      <c r="O415" t="s">
        <v>71</v>
      </c>
      <c r="P415" s="5">
        <v>1</v>
      </c>
      <c r="Q415" t="s">
        <v>891</v>
      </c>
      <c r="R415" t="s">
        <v>892</v>
      </c>
      <c r="S415" s="5">
        <v>46.46</v>
      </c>
      <c r="T415" s="3">
        <v>45437</v>
      </c>
      <c r="U415" s="3">
        <v>45445</v>
      </c>
      <c r="V415" t="s">
        <v>70</v>
      </c>
      <c r="W415">
        <f t="shared" si="32"/>
        <v>9095.8700000000008</v>
      </c>
      <c r="X415">
        <f t="shared" si="33"/>
        <v>9095.8700000000008</v>
      </c>
      <c r="Y415">
        <f t="shared" si="34"/>
        <v>0</v>
      </c>
      <c r="Z415" s="8" t="str">
        <f t="shared" si="31"/>
        <v>No Discount</v>
      </c>
      <c r="AA415" s="12">
        <f>DATE(YEAR(Table1[[#This Row],[OrderDate]]),MONTH(Table1[[#This Row],[OrderDate]]),1)</f>
        <v>45413</v>
      </c>
    </row>
    <row r="416" spans="1:27" x14ac:dyDescent="0.3">
      <c r="A416" s="3">
        <v>45028</v>
      </c>
      <c r="B416" t="s">
        <v>9</v>
      </c>
      <c r="C416" t="s">
        <v>30</v>
      </c>
      <c r="D416" t="str">
        <f>TRIM(Table1[[#This Row],[Product]])</f>
        <v>Desk</v>
      </c>
      <c r="E416" t="str">
        <f>PROPER(Table1[[#This Row],[Column1]])</f>
        <v>Desk</v>
      </c>
      <c r="F416" s="8" t="str">
        <f t="shared" si="30"/>
        <v>Furniture</v>
      </c>
      <c r="G416" s="5">
        <v>5</v>
      </c>
      <c r="H416">
        <v>365.38</v>
      </c>
      <c r="I416" t="s">
        <v>81</v>
      </c>
      <c r="J416" t="s">
        <v>58</v>
      </c>
      <c r="K416" s="7">
        <v>0.15</v>
      </c>
      <c r="L416" t="s">
        <v>18</v>
      </c>
      <c r="M416" s="5">
        <v>1552.865</v>
      </c>
      <c r="N416" t="s">
        <v>85</v>
      </c>
      <c r="O416" t="s">
        <v>67</v>
      </c>
      <c r="P416" s="5">
        <v>1</v>
      </c>
      <c r="Q416" t="s">
        <v>893</v>
      </c>
      <c r="R416" t="s">
        <v>894</v>
      </c>
      <c r="S416" s="5">
        <v>5.66</v>
      </c>
      <c r="T416" s="3">
        <v>45028</v>
      </c>
      <c r="U416" s="3">
        <v>45031</v>
      </c>
      <c r="V416" t="s">
        <v>63</v>
      </c>
      <c r="W416">
        <f t="shared" si="32"/>
        <v>1319.93525</v>
      </c>
      <c r="X416">
        <f t="shared" si="33"/>
        <v>1826.9</v>
      </c>
      <c r="Y416">
        <f t="shared" si="34"/>
        <v>506.96475000000009</v>
      </c>
      <c r="Z416" s="8" t="str">
        <f t="shared" si="31"/>
        <v>High</v>
      </c>
      <c r="AA416" s="12">
        <f>DATE(YEAR(Table1[[#This Row],[OrderDate]]),MONTH(Table1[[#This Row],[OrderDate]]),1)</f>
        <v>45017</v>
      </c>
    </row>
    <row r="417" spans="1:27" x14ac:dyDescent="0.3">
      <c r="A417" s="3">
        <v>44992</v>
      </c>
      <c r="B417" t="s">
        <v>13</v>
      </c>
      <c r="C417" t="s">
        <v>30</v>
      </c>
      <c r="D417" t="str">
        <f>TRIM(Table1[[#This Row],[Product]])</f>
        <v>Desk</v>
      </c>
      <c r="E417" t="str">
        <f>PROPER(Table1[[#This Row],[Column1]])</f>
        <v>Desk</v>
      </c>
      <c r="F417" s="8" t="str">
        <f t="shared" si="30"/>
        <v>Furniture</v>
      </c>
      <c r="G417" s="5">
        <v>10</v>
      </c>
      <c r="H417">
        <v>397.33</v>
      </c>
      <c r="I417" t="s">
        <v>57</v>
      </c>
      <c r="J417" t="s">
        <v>65</v>
      </c>
      <c r="K417" s="7">
        <v>0.15</v>
      </c>
      <c r="L417" t="s">
        <v>18</v>
      </c>
      <c r="M417" s="5">
        <v>3377.3049999999998</v>
      </c>
      <c r="N417" t="s">
        <v>82</v>
      </c>
      <c r="P417" s="5">
        <v>0</v>
      </c>
      <c r="Q417" t="s">
        <v>895</v>
      </c>
      <c r="R417" t="s">
        <v>896</v>
      </c>
      <c r="S417" s="5">
        <v>10.199999999999999</v>
      </c>
      <c r="T417" s="3">
        <v>44992</v>
      </c>
      <c r="U417" s="3">
        <v>44998</v>
      </c>
      <c r="V417" t="s">
        <v>70</v>
      </c>
      <c r="W417">
        <f t="shared" si="32"/>
        <v>2870.7092499999999</v>
      </c>
      <c r="X417">
        <f t="shared" si="33"/>
        <v>3973.2999999999997</v>
      </c>
      <c r="Y417">
        <f t="shared" si="34"/>
        <v>1102.5907499999998</v>
      </c>
      <c r="Z417" s="8" t="str">
        <f t="shared" si="31"/>
        <v>High</v>
      </c>
      <c r="AA417" s="12">
        <f>DATE(YEAR(Table1[[#This Row],[OrderDate]]),MONTH(Table1[[#This Row],[OrderDate]]),1)</f>
        <v>44986</v>
      </c>
    </row>
    <row r="418" spans="1:27" x14ac:dyDescent="0.3">
      <c r="A418" s="3">
        <v>45296</v>
      </c>
      <c r="B418" t="s">
        <v>7</v>
      </c>
      <c r="C418" t="s">
        <v>29</v>
      </c>
      <c r="D418" t="str">
        <f>TRIM(Table1[[#This Row],[Product]])</f>
        <v>Chair</v>
      </c>
      <c r="E418" t="str">
        <f>PROPER(Table1[[#This Row],[Column1]])</f>
        <v>Chair</v>
      </c>
      <c r="F418" s="8" t="str">
        <f t="shared" si="30"/>
        <v>Furniture</v>
      </c>
      <c r="G418" s="5">
        <v>17</v>
      </c>
      <c r="H418">
        <v>241.01</v>
      </c>
      <c r="I418" t="s">
        <v>64</v>
      </c>
      <c r="J418" t="s">
        <v>65</v>
      </c>
      <c r="K418" s="7">
        <v>0.1</v>
      </c>
      <c r="L418" t="s">
        <v>19</v>
      </c>
      <c r="M418" s="5">
        <v>3687.453</v>
      </c>
      <c r="N418" t="s">
        <v>85</v>
      </c>
      <c r="O418" t="s">
        <v>71</v>
      </c>
      <c r="P418" s="5">
        <v>0</v>
      </c>
      <c r="Q418" t="s">
        <v>897</v>
      </c>
      <c r="R418" t="s">
        <v>898</v>
      </c>
      <c r="S418" s="5">
        <v>24.69</v>
      </c>
      <c r="T418" s="3">
        <v>45296</v>
      </c>
      <c r="U418" s="3">
        <v>45302</v>
      </c>
      <c r="V418" t="s">
        <v>77</v>
      </c>
      <c r="W418">
        <f t="shared" si="32"/>
        <v>3318.7076999999999</v>
      </c>
      <c r="X418">
        <f t="shared" si="33"/>
        <v>4097.17</v>
      </c>
      <c r="Y418">
        <f t="shared" si="34"/>
        <v>778.46230000000014</v>
      </c>
      <c r="Z418" s="8" t="str">
        <f t="shared" si="31"/>
        <v>Medium</v>
      </c>
      <c r="AA418" s="12">
        <f>DATE(YEAR(Table1[[#This Row],[OrderDate]]),MONTH(Table1[[#This Row],[OrderDate]]),1)</f>
        <v>45292</v>
      </c>
    </row>
    <row r="419" spans="1:27" x14ac:dyDescent="0.3">
      <c r="A419" s="3">
        <v>45596</v>
      </c>
      <c r="B419" t="s">
        <v>16</v>
      </c>
      <c r="C419" t="s">
        <v>30</v>
      </c>
      <c r="D419" t="str">
        <f>TRIM(Table1[[#This Row],[Product]])</f>
        <v>Desk</v>
      </c>
      <c r="E419" t="str">
        <f>PROPER(Table1[[#This Row],[Column1]])</f>
        <v>Desk</v>
      </c>
      <c r="F419" s="8" t="str">
        <f t="shared" si="30"/>
        <v>Furniture</v>
      </c>
      <c r="G419" s="5">
        <v>17</v>
      </c>
      <c r="H419">
        <v>82.2</v>
      </c>
      <c r="I419" t="s">
        <v>78</v>
      </c>
      <c r="J419" t="s">
        <v>58</v>
      </c>
      <c r="K419" s="7">
        <v>0</v>
      </c>
      <c r="L419" t="s">
        <v>18</v>
      </c>
      <c r="M419" s="5">
        <v>1397.4</v>
      </c>
      <c r="N419" t="s">
        <v>88</v>
      </c>
      <c r="O419" t="s">
        <v>71</v>
      </c>
      <c r="P419" s="5">
        <v>0</v>
      </c>
      <c r="Q419" t="s">
        <v>899</v>
      </c>
      <c r="R419" t="s">
        <v>900</v>
      </c>
      <c r="S419" s="5">
        <v>32.5</v>
      </c>
      <c r="T419" s="3">
        <v>45596</v>
      </c>
      <c r="U419" s="3">
        <v>45606</v>
      </c>
      <c r="V419" t="s">
        <v>95</v>
      </c>
      <c r="W419">
        <f t="shared" si="32"/>
        <v>1397.4</v>
      </c>
      <c r="X419">
        <f t="shared" si="33"/>
        <v>1397.4</v>
      </c>
      <c r="Y419">
        <f t="shared" si="34"/>
        <v>0</v>
      </c>
      <c r="Z419" s="8" t="str">
        <f t="shared" si="31"/>
        <v>No Discount</v>
      </c>
      <c r="AA419" s="12">
        <f>DATE(YEAR(Table1[[#This Row],[OrderDate]]),MONTH(Table1[[#This Row],[OrderDate]]),1)</f>
        <v>45566</v>
      </c>
    </row>
    <row r="420" spans="1:27" x14ac:dyDescent="0.3">
      <c r="A420" s="3">
        <v>45420</v>
      </c>
      <c r="B420" t="s">
        <v>16</v>
      </c>
      <c r="C420" t="s">
        <v>32</v>
      </c>
      <c r="D420" t="str">
        <f>TRIM(Table1[[#This Row],[Product]])</f>
        <v>Monitor</v>
      </c>
      <c r="E420" t="str">
        <f>PROPER(Table1[[#This Row],[Column1]])</f>
        <v>Monitor</v>
      </c>
      <c r="F420" s="8" t="str">
        <f t="shared" si="30"/>
        <v>Technology</v>
      </c>
      <c r="G420" s="5">
        <v>16</v>
      </c>
      <c r="H420">
        <v>170.77</v>
      </c>
      <c r="I420" t="s">
        <v>78</v>
      </c>
      <c r="J420" t="s">
        <v>65</v>
      </c>
      <c r="K420" s="7">
        <v>0.1</v>
      </c>
      <c r="L420" t="s">
        <v>27</v>
      </c>
      <c r="M420" s="5">
        <v>2459.0880000000002</v>
      </c>
      <c r="N420" t="s">
        <v>59</v>
      </c>
      <c r="O420" t="s">
        <v>67</v>
      </c>
      <c r="P420" s="5">
        <v>1</v>
      </c>
      <c r="Q420" t="s">
        <v>901</v>
      </c>
      <c r="R420" t="s">
        <v>902</v>
      </c>
      <c r="S420" s="5">
        <v>45.93</v>
      </c>
      <c r="T420" s="3">
        <v>45420</v>
      </c>
      <c r="U420" s="3">
        <v>45426</v>
      </c>
      <c r="V420" t="s">
        <v>95</v>
      </c>
      <c r="W420">
        <f t="shared" si="32"/>
        <v>2213.1792</v>
      </c>
      <c r="X420">
        <f t="shared" si="33"/>
        <v>2732.32</v>
      </c>
      <c r="Y420">
        <f t="shared" si="34"/>
        <v>519.14080000000013</v>
      </c>
      <c r="Z420" s="8" t="str">
        <f t="shared" si="31"/>
        <v>Medium</v>
      </c>
      <c r="AA420" s="12">
        <f>DATE(YEAR(Table1[[#This Row],[OrderDate]]),MONTH(Table1[[#This Row],[OrderDate]]),1)</f>
        <v>45413</v>
      </c>
    </row>
    <row r="421" spans="1:27" x14ac:dyDescent="0.3">
      <c r="A421" s="3">
        <v>45356</v>
      </c>
      <c r="B421" t="s">
        <v>7</v>
      </c>
      <c r="C421" t="s">
        <v>32</v>
      </c>
      <c r="D421" t="str">
        <f>TRIM(Table1[[#This Row],[Product]])</f>
        <v>Monitor</v>
      </c>
      <c r="E421" t="str">
        <f>PROPER(Table1[[#This Row],[Column1]])</f>
        <v>Monitor</v>
      </c>
      <c r="F421" s="8" t="str">
        <f t="shared" si="30"/>
        <v>Technology</v>
      </c>
      <c r="G421" s="5">
        <v>1</v>
      </c>
      <c r="H421">
        <v>8.1999999999999993</v>
      </c>
      <c r="I421" t="s">
        <v>78</v>
      </c>
      <c r="J421" t="s">
        <v>58</v>
      </c>
      <c r="K421" s="7">
        <v>0.15</v>
      </c>
      <c r="L421" t="s">
        <v>27</v>
      </c>
      <c r="M421" s="5">
        <v>6.9699999999999989</v>
      </c>
      <c r="N421" t="s">
        <v>85</v>
      </c>
      <c r="P421" s="5">
        <v>0</v>
      </c>
      <c r="Q421" t="s">
        <v>903</v>
      </c>
      <c r="R421" t="s">
        <v>904</v>
      </c>
      <c r="S421" s="5">
        <v>30.35</v>
      </c>
      <c r="T421" s="3">
        <v>45356</v>
      </c>
      <c r="U421" s="3">
        <v>45366</v>
      </c>
      <c r="V421" t="s">
        <v>77</v>
      </c>
      <c r="W421">
        <f t="shared" si="32"/>
        <v>5.9244999999999992</v>
      </c>
      <c r="X421">
        <f t="shared" si="33"/>
        <v>8.1999999999999993</v>
      </c>
      <c r="Y421">
        <f t="shared" si="34"/>
        <v>2.2755000000000001</v>
      </c>
      <c r="Z421" s="8" t="str">
        <f t="shared" si="31"/>
        <v>High</v>
      </c>
      <c r="AA421" s="12">
        <f>DATE(YEAR(Table1[[#This Row],[OrderDate]]),MONTH(Table1[[#This Row],[OrderDate]]),1)</f>
        <v>45352</v>
      </c>
    </row>
    <row r="422" spans="1:27" x14ac:dyDescent="0.3">
      <c r="A422" s="3">
        <v>45125</v>
      </c>
      <c r="B422" t="s">
        <v>11</v>
      </c>
      <c r="C422" t="s">
        <v>31</v>
      </c>
      <c r="D422" t="str">
        <f>TRIM(Table1[[#This Row],[Product]])</f>
        <v>Laptop</v>
      </c>
      <c r="E422" t="str">
        <f>PROPER(Table1[[#This Row],[Column1]])</f>
        <v>Laptop</v>
      </c>
      <c r="F422" s="8" t="str">
        <f t="shared" si="30"/>
        <v>Technology</v>
      </c>
      <c r="G422" s="5">
        <v>12</v>
      </c>
      <c r="H422">
        <v>425.78</v>
      </c>
      <c r="I422" t="s">
        <v>64</v>
      </c>
      <c r="J422" t="s">
        <v>65</v>
      </c>
      <c r="K422" s="7">
        <v>0.1</v>
      </c>
      <c r="L422" t="s">
        <v>19</v>
      </c>
      <c r="M422" s="5">
        <v>4598.424</v>
      </c>
      <c r="N422" t="s">
        <v>59</v>
      </c>
      <c r="P422" s="5">
        <v>1</v>
      </c>
      <c r="Q422" t="s">
        <v>905</v>
      </c>
      <c r="R422" t="s">
        <v>906</v>
      </c>
      <c r="S422" s="5">
        <v>25.48</v>
      </c>
      <c r="T422" s="3">
        <v>45125</v>
      </c>
      <c r="U422" s="3">
        <v>45129</v>
      </c>
      <c r="V422" t="s">
        <v>74</v>
      </c>
      <c r="W422">
        <f t="shared" si="32"/>
        <v>4138.5816000000004</v>
      </c>
      <c r="X422">
        <f t="shared" si="33"/>
        <v>5109.3599999999997</v>
      </c>
      <c r="Y422">
        <f t="shared" si="34"/>
        <v>970.77839999999924</v>
      </c>
      <c r="Z422" s="8" t="str">
        <f t="shared" si="31"/>
        <v>Medium</v>
      </c>
      <c r="AA422" s="12">
        <f>DATE(YEAR(Table1[[#This Row],[OrderDate]]),MONTH(Table1[[#This Row],[OrderDate]]),1)</f>
        <v>45108</v>
      </c>
    </row>
    <row r="423" spans="1:27" x14ac:dyDescent="0.3">
      <c r="A423" s="3">
        <v>45143</v>
      </c>
      <c r="B423" t="s">
        <v>13</v>
      </c>
      <c r="C423" t="s">
        <v>34</v>
      </c>
      <c r="D423" t="str">
        <f>TRIM(Table1[[#This Row],[Product]])</f>
        <v>Printer</v>
      </c>
      <c r="E423" t="str">
        <f>PROPER(Table1[[#This Row],[Column1]])</f>
        <v>Printer</v>
      </c>
      <c r="F423" s="8" t="str">
        <f t="shared" si="30"/>
        <v>Office Supplies</v>
      </c>
      <c r="G423" s="5">
        <v>20</v>
      </c>
      <c r="H423">
        <v>121.14</v>
      </c>
      <c r="I423" t="s">
        <v>78</v>
      </c>
      <c r="J423" t="s">
        <v>65</v>
      </c>
      <c r="K423" s="7">
        <v>0.1</v>
      </c>
      <c r="L423" t="s">
        <v>19</v>
      </c>
      <c r="M423" s="5">
        <v>2180.52</v>
      </c>
      <c r="N423" t="s">
        <v>82</v>
      </c>
      <c r="O423" t="s">
        <v>60</v>
      </c>
      <c r="P423" s="5">
        <v>0</v>
      </c>
      <c r="Q423" t="s">
        <v>907</v>
      </c>
      <c r="R423" t="s">
        <v>908</v>
      </c>
      <c r="S423" s="5">
        <v>21.47</v>
      </c>
      <c r="T423" s="3">
        <v>45143</v>
      </c>
      <c r="U423" s="3">
        <v>45152</v>
      </c>
      <c r="V423" t="s">
        <v>70</v>
      </c>
      <c r="W423">
        <f t="shared" si="32"/>
        <v>1962.4680000000001</v>
      </c>
      <c r="X423">
        <f t="shared" si="33"/>
        <v>2422.8000000000002</v>
      </c>
      <c r="Y423">
        <f t="shared" si="34"/>
        <v>460.33200000000011</v>
      </c>
      <c r="Z423" s="8" t="str">
        <f t="shared" si="31"/>
        <v>Medium</v>
      </c>
      <c r="AA423" s="12">
        <f>DATE(YEAR(Table1[[#This Row],[OrderDate]]),MONTH(Table1[[#This Row],[OrderDate]]),1)</f>
        <v>45139</v>
      </c>
    </row>
    <row r="424" spans="1:27" x14ac:dyDescent="0.3">
      <c r="A424" s="3">
        <v>45187</v>
      </c>
      <c r="B424" t="s">
        <v>16</v>
      </c>
      <c r="C424" t="s">
        <v>35</v>
      </c>
      <c r="D424" t="str">
        <f>TRIM(Table1[[#This Row],[Product]])</f>
        <v>Tablet</v>
      </c>
      <c r="E424" t="str">
        <f>PROPER(Table1[[#This Row],[Column1]])</f>
        <v>Tablet</v>
      </c>
      <c r="F424" s="8" t="str">
        <f t="shared" si="30"/>
        <v>Technology</v>
      </c>
      <c r="G424" s="5">
        <v>19</v>
      </c>
      <c r="H424">
        <v>448.13</v>
      </c>
      <c r="I424" t="s">
        <v>81</v>
      </c>
      <c r="J424" t="s">
        <v>58</v>
      </c>
      <c r="K424" s="7">
        <v>0</v>
      </c>
      <c r="L424" t="s">
        <v>18</v>
      </c>
      <c r="M424" s="5">
        <v>8514.4699999999993</v>
      </c>
      <c r="N424" t="s">
        <v>85</v>
      </c>
      <c r="O424" t="s">
        <v>60</v>
      </c>
      <c r="P424" s="5">
        <v>0</v>
      </c>
      <c r="Q424" t="s">
        <v>909</v>
      </c>
      <c r="R424" t="s">
        <v>910</v>
      </c>
      <c r="S424" s="5">
        <v>28.29</v>
      </c>
      <c r="T424" s="3">
        <v>45187</v>
      </c>
      <c r="U424" s="3">
        <v>45189</v>
      </c>
      <c r="V424" t="s">
        <v>95</v>
      </c>
      <c r="W424">
        <f t="shared" si="32"/>
        <v>8514.4699999999993</v>
      </c>
      <c r="X424">
        <f t="shared" si="33"/>
        <v>8514.4699999999993</v>
      </c>
      <c r="Y424">
        <f t="shared" si="34"/>
        <v>0</v>
      </c>
      <c r="Z424" s="8" t="str">
        <f t="shared" si="31"/>
        <v>No Discount</v>
      </c>
      <c r="AA424" s="12">
        <f>DATE(YEAR(Table1[[#This Row],[OrderDate]]),MONTH(Table1[[#This Row],[OrderDate]]),1)</f>
        <v>45170</v>
      </c>
    </row>
    <row r="425" spans="1:27" x14ac:dyDescent="0.3">
      <c r="A425" s="3">
        <v>45012</v>
      </c>
      <c r="B425" t="s">
        <v>13</v>
      </c>
      <c r="C425" t="s">
        <v>31</v>
      </c>
      <c r="D425" t="str">
        <f>TRIM(Table1[[#This Row],[Product]])</f>
        <v>Laptop</v>
      </c>
      <c r="E425" t="str">
        <f>PROPER(Table1[[#This Row],[Column1]])</f>
        <v>Laptop</v>
      </c>
      <c r="F425" s="8" t="str">
        <f t="shared" si="30"/>
        <v>Technology</v>
      </c>
      <c r="G425" s="5">
        <v>8</v>
      </c>
      <c r="H425">
        <v>7.81</v>
      </c>
      <c r="I425" t="s">
        <v>81</v>
      </c>
      <c r="J425" t="s">
        <v>58</v>
      </c>
      <c r="K425" s="7">
        <v>0.1</v>
      </c>
      <c r="L425" t="s">
        <v>27</v>
      </c>
      <c r="M425" s="5">
        <v>56.231999999999999</v>
      </c>
      <c r="N425" t="s">
        <v>59</v>
      </c>
      <c r="O425" t="s">
        <v>67</v>
      </c>
      <c r="P425" s="5">
        <v>0</v>
      </c>
      <c r="Q425" t="s">
        <v>911</v>
      </c>
      <c r="R425" t="s">
        <v>912</v>
      </c>
      <c r="S425" s="5">
        <v>25.03</v>
      </c>
      <c r="T425" s="3">
        <v>45012</v>
      </c>
      <c r="U425" s="3">
        <v>45014</v>
      </c>
      <c r="V425" t="s">
        <v>70</v>
      </c>
      <c r="W425">
        <f t="shared" si="32"/>
        <v>50.608800000000002</v>
      </c>
      <c r="X425">
        <f t="shared" si="33"/>
        <v>62.48</v>
      </c>
      <c r="Y425">
        <f t="shared" si="34"/>
        <v>11.871199999999995</v>
      </c>
      <c r="Z425" s="8" t="str">
        <f t="shared" si="31"/>
        <v>Medium</v>
      </c>
      <c r="AA425" s="12">
        <f>DATE(YEAR(Table1[[#This Row],[OrderDate]]),MONTH(Table1[[#This Row],[OrderDate]]),1)</f>
        <v>44986</v>
      </c>
    </row>
    <row r="426" spans="1:27" x14ac:dyDescent="0.3">
      <c r="A426" s="3">
        <v>44993</v>
      </c>
      <c r="B426" t="s">
        <v>9</v>
      </c>
      <c r="C426" t="s">
        <v>29</v>
      </c>
      <c r="D426" t="str">
        <f>TRIM(Table1[[#This Row],[Product]])</f>
        <v>Chair</v>
      </c>
      <c r="E426" t="str">
        <f>PROPER(Table1[[#This Row],[Column1]])</f>
        <v>Chair</v>
      </c>
      <c r="F426" s="8" t="str">
        <f t="shared" si="30"/>
        <v>Furniture</v>
      </c>
      <c r="G426" s="5">
        <v>19</v>
      </c>
      <c r="H426">
        <v>191.44</v>
      </c>
      <c r="I426" t="s">
        <v>78</v>
      </c>
      <c r="J426" t="s">
        <v>58</v>
      </c>
      <c r="K426" s="7">
        <v>0.15</v>
      </c>
      <c r="L426" t="s">
        <v>21</v>
      </c>
      <c r="M426" s="5">
        <v>3091.7559999999999</v>
      </c>
      <c r="N426" t="s">
        <v>88</v>
      </c>
      <c r="O426" t="s">
        <v>71</v>
      </c>
      <c r="P426" s="5">
        <v>1</v>
      </c>
      <c r="Q426" t="s">
        <v>913</v>
      </c>
      <c r="R426" t="s">
        <v>914</v>
      </c>
      <c r="S426" s="5">
        <v>35.54</v>
      </c>
      <c r="T426" s="3">
        <v>44993</v>
      </c>
      <c r="U426" s="3">
        <v>45002</v>
      </c>
      <c r="V426" t="s">
        <v>63</v>
      </c>
      <c r="W426">
        <f t="shared" si="32"/>
        <v>2627.9925999999996</v>
      </c>
      <c r="X426">
        <f t="shared" si="33"/>
        <v>3637.36</v>
      </c>
      <c r="Y426">
        <f t="shared" si="34"/>
        <v>1009.3674000000005</v>
      </c>
      <c r="Z426" s="8" t="str">
        <f t="shared" si="31"/>
        <v>High</v>
      </c>
      <c r="AA426" s="12">
        <f>DATE(YEAR(Table1[[#This Row],[OrderDate]]),MONTH(Table1[[#This Row],[OrderDate]]),1)</f>
        <v>44986</v>
      </c>
    </row>
    <row r="427" spans="1:27" x14ac:dyDescent="0.3">
      <c r="A427" s="3">
        <v>45414</v>
      </c>
      <c r="B427" t="s">
        <v>16</v>
      </c>
      <c r="C427" t="s">
        <v>30</v>
      </c>
      <c r="D427" t="str">
        <f>TRIM(Table1[[#This Row],[Product]])</f>
        <v>Desk</v>
      </c>
      <c r="E427" t="str">
        <f>PROPER(Table1[[#This Row],[Column1]])</f>
        <v>Desk</v>
      </c>
      <c r="F427" s="8" t="str">
        <f t="shared" si="30"/>
        <v>Furniture</v>
      </c>
      <c r="G427" s="5">
        <v>5</v>
      </c>
      <c r="H427">
        <v>245.2</v>
      </c>
      <c r="I427" t="s">
        <v>57</v>
      </c>
      <c r="J427" t="s">
        <v>65</v>
      </c>
      <c r="K427" s="7">
        <v>0.15</v>
      </c>
      <c r="L427" t="s">
        <v>25</v>
      </c>
      <c r="M427" s="5">
        <v>1042.0999999999999</v>
      </c>
      <c r="N427" t="s">
        <v>59</v>
      </c>
      <c r="P427" s="5">
        <v>0</v>
      </c>
      <c r="Q427" t="s">
        <v>915</v>
      </c>
      <c r="R427" t="s">
        <v>916</v>
      </c>
      <c r="S427" s="5">
        <v>46.37</v>
      </c>
      <c r="T427" s="3">
        <v>45414</v>
      </c>
      <c r="U427" s="3">
        <v>45418</v>
      </c>
      <c r="V427" t="s">
        <v>95</v>
      </c>
      <c r="W427">
        <f t="shared" si="32"/>
        <v>885.78499999999985</v>
      </c>
      <c r="X427">
        <f t="shared" si="33"/>
        <v>1226</v>
      </c>
      <c r="Y427">
        <f t="shared" si="34"/>
        <v>340.21500000000015</v>
      </c>
      <c r="Z427" s="8" t="str">
        <f t="shared" si="31"/>
        <v>High</v>
      </c>
      <c r="AA427" s="12">
        <f>DATE(YEAR(Table1[[#This Row],[OrderDate]]),MONTH(Table1[[#This Row],[OrderDate]]),1)</f>
        <v>45413</v>
      </c>
    </row>
    <row r="428" spans="1:27" x14ac:dyDescent="0.3">
      <c r="A428" s="3">
        <v>45185</v>
      </c>
      <c r="B428" t="s">
        <v>11</v>
      </c>
      <c r="C428" t="s">
        <v>30</v>
      </c>
      <c r="D428" t="str">
        <f>TRIM(Table1[[#This Row],[Product]])</f>
        <v>Desk</v>
      </c>
      <c r="E428" t="str">
        <f>PROPER(Table1[[#This Row],[Column1]])</f>
        <v>Desk</v>
      </c>
      <c r="F428" s="8" t="str">
        <f t="shared" si="30"/>
        <v>Furniture</v>
      </c>
      <c r="G428" s="5">
        <v>17</v>
      </c>
      <c r="H428">
        <v>163.37</v>
      </c>
      <c r="I428" t="s">
        <v>57</v>
      </c>
      <c r="J428" t="s">
        <v>58</v>
      </c>
      <c r="K428" s="7">
        <v>0.15</v>
      </c>
      <c r="L428" t="s">
        <v>25</v>
      </c>
      <c r="M428" s="5">
        <v>2360.6965</v>
      </c>
      <c r="N428" t="s">
        <v>66</v>
      </c>
      <c r="O428" t="s">
        <v>67</v>
      </c>
      <c r="P428" s="5">
        <v>0</v>
      </c>
      <c r="Q428" t="s">
        <v>917</v>
      </c>
      <c r="R428" t="s">
        <v>918</v>
      </c>
      <c r="S428" s="5">
        <v>5.36</v>
      </c>
      <c r="T428" s="3">
        <v>45185</v>
      </c>
      <c r="U428" s="3">
        <v>45195</v>
      </c>
      <c r="V428" t="s">
        <v>74</v>
      </c>
      <c r="W428">
        <f t="shared" si="32"/>
        <v>2006.5920249999999</v>
      </c>
      <c r="X428">
        <f t="shared" si="33"/>
        <v>2777.29</v>
      </c>
      <c r="Y428">
        <f t="shared" si="34"/>
        <v>770.69797500000004</v>
      </c>
      <c r="Z428" s="8" t="str">
        <f t="shared" si="31"/>
        <v>High</v>
      </c>
      <c r="AA428" s="12">
        <f>DATE(YEAR(Table1[[#This Row],[OrderDate]]),MONTH(Table1[[#This Row],[OrderDate]]),1)</f>
        <v>45170</v>
      </c>
    </row>
    <row r="429" spans="1:27" x14ac:dyDescent="0.3">
      <c r="A429" s="3">
        <v>45090</v>
      </c>
      <c r="B429" t="s">
        <v>13</v>
      </c>
      <c r="C429" t="s">
        <v>35</v>
      </c>
      <c r="D429" t="str">
        <f>TRIM(Table1[[#This Row],[Product]])</f>
        <v>Tablet</v>
      </c>
      <c r="E429" t="str">
        <f>PROPER(Table1[[#This Row],[Column1]])</f>
        <v>Tablet</v>
      </c>
      <c r="F429" s="8" t="str">
        <f t="shared" si="30"/>
        <v>Technology</v>
      </c>
      <c r="G429" s="5">
        <v>14</v>
      </c>
      <c r="H429">
        <v>583.96</v>
      </c>
      <c r="I429" t="s">
        <v>78</v>
      </c>
      <c r="J429" t="s">
        <v>65</v>
      </c>
      <c r="K429" s="7">
        <v>0</v>
      </c>
      <c r="L429" t="s">
        <v>23</v>
      </c>
      <c r="M429" s="5">
        <v>8175.4400000000014</v>
      </c>
      <c r="N429" t="s">
        <v>85</v>
      </c>
      <c r="O429" t="s">
        <v>71</v>
      </c>
      <c r="P429" s="5">
        <v>0</v>
      </c>
      <c r="Q429" t="s">
        <v>919</v>
      </c>
      <c r="R429" t="s">
        <v>920</v>
      </c>
      <c r="S429" s="5">
        <v>23.03</v>
      </c>
      <c r="T429" s="3">
        <v>45090</v>
      </c>
      <c r="U429" s="3">
        <v>45099</v>
      </c>
      <c r="V429" t="s">
        <v>70</v>
      </c>
      <c r="W429">
        <f t="shared" si="32"/>
        <v>8175.4400000000014</v>
      </c>
      <c r="X429">
        <f t="shared" si="33"/>
        <v>8175.4400000000005</v>
      </c>
      <c r="Y429">
        <f t="shared" si="34"/>
        <v>0</v>
      </c>
      <c r="Z429" s="8" t="str">
        <f t="shared" si="31"/>
        <v>No Discount</v>
      </c>
      <c r="AA429" s="12">
        <f>DATE(YEAR(Table1[[#This Row],[OrderDate]]),MONTH(Table1[[#This Row],[OrderDate]]),1)</f>
        <v>45078</v>
      </c>
    </row>
    <row r="430" spans="1:27" x14ac:dyDescent="0.3">
      <c r="A430" s="3">
        <v>45235</v>
      </c>
      <c r="B430" t="s">
        <v>11</v>
      </c>
      <c r="C430" t="s">
        <v>30</v>
      </c>
      <c r="D430" t="str">
        <f>TRIM(Table1[[#This Row],[Product]])</f>
        <v>Desk</v>
      </c>
      <c r="E430" t="str">
        <f>PROPER(Table1[[#This Row],[Column1]])</f>
        <v>Desk</v>
      </c>
      <c r="F430" s="8" t="str">
        <f t="shared" si="30"/>
        <v>Furniture</v>
      </c>
      <c r="G430" s="5">
        <v>16</v>
      </c>
      <c r="H430">
        <v>181.08</v>
      </c>
      <c r="I430" t="s">
        <v>78</v>
      </c>
      <c r="J430" t="s">
        <v>65</v>
      </c>
      <c r="K430" s="7">
        <v>0.1</v>
      </c>
      <c r="L430" t="s">
        <v>21</v>
      </c>
      <c r="M430" s="5">
        <v>2607.5520000000001</v>
      </c>
      <c r="N430" t="s">
        <v>59</v>
      </c>
      <c r="O430" t="s">
        <v>71</v>
      </c>
      <c r="P430" s="5">
        <v>0</v>
      </c>
      <c r="Q430" t="s">
        <v>921</v>
      </c>
      <c r="R430" t="s">
        <v>922</v>
      </c>
      <c r="S430" s="5">
        <v>39.840000000000003</v>
      </c>
      <c r="T430" s="3">
        <v>45235</v>
      </c>
      <c r="U430" s="3">
        <v>45238</v>
      </c>
      <c r="V430" t="s">
        <v>74</v>
      </c>
      <c r="W430">
        <f t="shared" si="32"/>
        <v>2346.7968000000001</v>
      </c>
      <c r="X430">
        <f t="shared" si="33"/>
        <v>2897.28</v>
      </c>
      <c r="Y430">
        <f t="shared" si="34"/>
        <v>550.48320000000012</v>
      </c>
      <c r="Z430" s="8" t="str">
        <f t="shared" si="31"/>
        <v>Medium</v>
      </c>
      <c r="AA430" s="12">
        <f>DATE(YEAR(Table1[[#This Row],[OrderDate]]),MONTH(Table1[[#This Row],[OrderDate]]),1)</f>
        <v>45231</v>
      </c>
    </row>
    <row r="431" spans="1:27" x14ac:dyDescent="0.3">
      <c r="A431" s="3">
        <v>45619</v>
      </c>
      <c r="B431" t="s">
        <v>13</v>
      </c>
      <c r="C431" t="s">
        <v>35</v>
      </c>
      <c r="D431" t="str">
        <f>TRIM(Table1[[#This Row],[Product]])</f>
        <v>Tablet</v>
      </c>
      <c r="E431" t="str">
        <f>PROPER(Table1[[#This Row],[Column1]])</f>
        <v>Tablet</v>
      </c>
      <c r="F431" s="8" t="str">
        <f t="shared" si="30"/>
        <v>Technology</v>
      </c>
      <c r="G431" s="5">
        <v>8</v>
      </c>
      <c r="H431">
        <v>414.94</v>
      </c>
      <c r="I431" t="s">
        <v>64</v>
      </c>
      <c r="J431" t="s">
        <v>58</v>
      </c>
      <c r="K431" s="7">
        <v>0</v>
      </c>
      <c r="L431" t="s">
        <v>18</v>
      </c>
      <c r="M431" s="5">
        <v>3319.52</v>
      </c>
      <c r="N431" t="s">
        <v>85</v>
      </c>
      <c r="O431" t="s">
        <v>67</v>
      </c>
      <c r="P431" s="5">
        <v>0</v>
      </c>
      <c r="Q431" t="s">
        <v>923</v>
      </c>
      <c r="R431" t="s">
        <v>924</v>
      </c>
      <c r="S431" s="5">
        <v>46.58</v>
      </c>
      <c r="T431" s="3">
        <v>45619</v>
      </c>
      <c r="U431" s="3">
        <v>45622</v>
      </c>
      <c r="V431" t="s">
        <v>70</v>
      </c>
      <c r="W431">
        <f t="shared" si="32"/>
        <v>3319.52</v>
      </c>
      <c r="X431">
        <f t="shared" si="33"/>
        <v>3319.52</v>
      </c>
      <c r="Y431">
        <f t="shared" si="34"/>
        <v>0</v>
      </c>
      <c r="Z431" s="8" t="str">
        <f t="shared" si="31"/>
        <v>No Discount</v>
      </c>
      <c r="AA431" s="12">
        <f>DATE(YEAR(Table1[[#This Row],[OrderDate]]),MONTH(Table1[[#This Row],[OrderDate]]),1)</f>
        <v>45597</v>
      </c>
    </row>
    <row r="432" spans="1:27" x14ac:dyDescent="0.3">
      <c r="A432" s="3">
        <v>45331</v>
      </c>
      <c r="B432" t="s">
        <v>7</v>
      </c>
      <c r="C432" t="s">
        <v>33</v>
      </c>
      <c r="D432" t="str">
        <f>TRIM(Table1[[#This Row],[Product]])</f>
        <v>Phone</v>
      </c>
      <c r="E432" t="str">
        <f>PROPER(Table1[[#This Row],[Column1]])</f>
        <v>Phone</v>
      </c>
      <c r="F432" s="8" t="str">
        <f t="shared" si="30"/>
        <v>Technology</v>
      </c>
      <c r="G432" s="5">
        <v>16</v>
      </c>
      <c r="H432">
        <v>442.22</v>
      </c>
      <c r="I432" t="s">
        <v>57</v>
      </c>
      <c r="J432" t="s">
        <v>65</v>
      </c>
      <c r="K432" s="7">
        <v>0</v>
      </c>
      <c r="L432" t="s">
        <v>18</v>
      </c>
      <c r="M432" s="5">
        <v>7075.52</v>
      </c>
      <c r="N432" t="s">
        <v>88</v>
      </c>
      <c r="O432" t="s">
        <v>60</v>
      </c>
      <c r="P432" s="5">
        <v>0</v>
      </c>
      <c r="Q432" t="s">
        <v>925</v>
      </c>
      <c r="R432" t="s">
        <v>926</v>
      </c>
      <c r="S432" s="5">
        <v>27.36</v>
      </c>
      <c r="T432" s="3">
        <v>45331</v>
      </c>
      <c r="U432" s="3">
        <v>45340</v>
      </c>
      <c r="V432" t="s">
        <v>77</v>
      </c>
      <c r="W432">
        <f t="shared" si="32"/>
        <v>7075.52</v>
      </c>
      <c r="X432">
        <f t="shared" si="33"/>
        <v>7075.52</v>
      </c>
      <c r="Y432">
        <f t="shared" si="34"/>
        <v>0</v>
      </c>
      <c r="Z432" s="8" t="str">
        <f t="shared" si="31"/>
        <v>No Discount</v>
      </c>
      <c r="AA432" s="12">
        <f>DATE(YEAR(Table1[[#This Row],[OrderDate]]),MONTH(Table1[[#This Row],[OrderDate]]),1)</f>
        <v>45323</v>
      </c>
    </row>
    <row r="433" spans="1:27" x14ac:dyDescent="0.3">
      <c r="A433" s="3">
        <v>45246</v>
      </c>
      <c r="B433" t="s">
        <v>7</v>
      </c>
      <c r="C433" t="s">
        <v>34</v>
      </c>
      <c r="D433" t="str">
        <f>TRIM(Table1[[#This Row],[Product]])</f>
        <v>Printer</v>
      </c>
      <c r="E433" t="str">
        <f>PROPER(Table1[[#This Row],[Column1]])</f>
        <v>Printer</v>
      </c>
      <c r="F433" s="8" t="str">
        <f t="shared" si="30"/>
        <v>Office Supplies</v>
      </c>
      <c r="G433" s="5">
        <v>14</v>
      </c>
      <c r="H433">
        <v>595.39</v>
      </c>
      <c r="I433" t="s">
        <v>64</v>
      </c>
      <c r="J433" t="s">
        <v>58</v>
      </c>
      <c r="K433" s="7">
        <v>0.1</v>
      </c>
      <c r="L433" t="s">
        <v>19</v>
      </c>
      <c r="M433" s="5">
        <v>7501.9139999999998</v>
      </c>
      <c r="N433" t="s">
        <v>82</v>
      </c>
      <c r="O433" t="s">
        <v>67</v>
      </c>
      <c r="P433" s="5">
        <v>0</v>
      </c>
      <c r="Q433" t="s">
        <v>927</v>
      </c>
      <c r="R433" t="s">
        <v>928</v>
      </c>
      <c r="S433" s="5">
        <v>9.51</v>
      </c>
      <c r="T433" s="3">
        <v>45246</v>
      </c>
      <c r="U433" s="3">
        <v>45252</v>
      </c>
      <c r="V433" t="s">
        <v>77</v>
      </c>
      <c r="W433">
        <f t="shared" si="32"/>
        <v>6751.7226000000001</v>
      </c>
      <c r="X433">
        <f t="shared" si="33"/>
        <v>8335.4599999999991</v>
      </c>
      <c r="Y433">
        <f t="shared" si="34"/>
        <v>1583.7373999999991</v>
      </c>
      <c r="Z433" s="8" t="str">
        <f t="shared" si="31"/>
        <v>Medium</v>
      </c>
      <c r="AA433" s="12">
        <f>DATE(YEAR(Table1[[#This Row],[OrderDate]]),MONTH(Table1[[#This Row],[OrderDate]]),1)</f>
        <v>45231</v>
      </c>
    </row>
    <row r="434" spans="1:27" x14ac:dyDescent="0.3">
      <c r="A434" s="3">
        <v>45681</v>
      </c>
      <c r="B434" t="s">
        <v>7</v>
      </c>
      <c r="C434" t="s">
        <v>32</v>
      </c>
      <c r="D434" t="str">
        <f>TRIM(Table1[[#This Row],[Product]])</f>
        <v>Monitor</v>
      </c>
      <c r="E434" t="str">
        <f>PROPER(Table1[[#This Row],[Column1]])</f>
        <v>Monitor</v>
      </c>
      <c r="F434" s="8" t="str">
        <f t="shared" si="30"/>
        <v>Technology</v>
      </c>
      <c r="G434" s="5">
        <v>6</v>
      </c>
      <c r="H434">
        <v>175.3</v>
      </c>
      <c r="I434" t="s">
        <v>64</v>
      </c>
      <c r="J434" t="s">
        <v>58</v>
      </c>
      <c r="K434" s="7">
        <v>0.15</v>
      </c>
      <c r="L434" t="s">
        <v>18</v>
      </c>
      <c r="M434" s="5">
        <v>894.03000000000009</v>
      </c>
      <c r="N434" t="s">
        <v>88</v>
      </c>
      <c r="O434" t="s">
        <v>67</v>
      </c>
      <c r="P434" s="5">
        <v>1</v>
      </c>
      <c r="Q434" t="s">
        <v>929</v>
      </c>
      <c r="R434" t="s">
        <v>930</v>
      </c>
      <c r="S434" s="5">
        <v>17.920000000000002</v>
      </c>
      <c r="T434" s="3">
        <v>45681</v>
      </c>
      <c r="U434" s="3">
        <v>45686</v>
      </c>
      <c r="V434" t="s">
        <v>77</v>
      </c>
      <c r="W434">
        <f t="shared" si="32"/>
        <v>759.92550000000006</v>
      </c>
      <c r="X434">
        <f t="shared" si="33"/>
        <v>1051.8000000000002</v>
      </c>
      <c r="Y434">
        <f t="shared" si="34"/>
        <v>291.87450000000013</v>
      </c>
      <c r="Z434" s="8" t="str">
        <f t="shared" si="31"/>
        <v>High</v>
      </c>
      <c r="AA434" s="12">
        <f>DATE(YEAR(Table1[[#This Row],[OrderDate]]),MONTH(Table1[[#This Row],[OrderDate]]),1)</f>
        <v>45658</v>
      </c>
    </row>
    <row r="435" spans="1:27" x14ac:dyDescent="0.3">
      <c r="A435" s="3">
        <v>45783</v>
      </c>
      <c r="B435" t="s">
        <v>7</v>
      </c>
      <c r="C435" t="s">
        <v>35</v>
      </c>
      <c r="D435" t="str">
        <f>TRIM(Table1[[#This Row],[Product]])</f>
        <v>Tablet</v>
      </c>
      <c r="E435" t="str">
        <f>PROPER(Table1[[#This Row],[Column1]])</f>
        <v>Tablet</v>
      </c>
      <c r="F435" s="8" t="str">
        <f t="shared" si="30"/>
        <v>Technology</v>
      </c>
      <c r="G435" s="5">
        <v>7</v>
      </c>
      <c r="H435">
        <v>319.58999999999997</v>
      </c>
      <c r="I435" t="s">
        <v>78</v>
      </c>
      <c r="J435" t="s">
        <v>58</v>
      </c>
      <c r="K435" s="7">
        <v>0.15</v>
      </c>
      <c r="L435" t="s">
        <v>21</v>
      </c>
      <c r="M435" s="5">
        <v>1901.5605</v>
      </c>
      <c r="N435" t="s">
        <v>66</v>
      </c>
      <c r="O435" t="s">
        <v>71</v>
      </c>
      <c r="P435" s="5">
        <v>1</v>
      </c>
      <c r="Q435" t="s">
        <v>931</v>
      </c>
      <c r="R435" t="s">
        <v>932</v>
      </c>
      <c r="S435" s="5">
        <v>8.4700000000000006</v>
      </c>
      <c r="T435" s="3">
        <v>45783</v>
      </c>
      <c r="U435" s="3">
        <v>45786</v>
      </c>
      <c r="V435" t="s">
        <v>77</v>
      </c>
      <c r="W435">
        <f t="shared" si="32"/>
        <v>1616.326425</v>
      </c>
      <c r="X435">
        <f t="shared" si="33"/>
        <v>2237.1299999999997</v>
      </c>
      <c r="Y435">
        <f t="shared" si="34"/>
        <v>620.80357499999968</v>
      </c>
      <c r="Z435" s="8" t="str">
        <f t="shared" si="31"/>
        <v>High</v>
      </c>
      <c r="AA435" s="12">
        <f>DATE(YEAR(Table1[[#This Row],[OrderDate]]),MONTH(Table1[[#This Row],[OrderDate]]),1)</f>
        <v>45778</v>
      </c>
    </row>
    <row r="436" spans="1:27" x14ac:dyDescent="0.3">
      <c r="A436" s="3">
        <v>45794</v>
      </c>
      <c r="B436" t="s">
        <v>9</v>
      </c>
      <c r="C436" t="s">
        <v>34</v>
      </c>
      <c r="D436" t="str">
        <f>TRIM(Table1[[#This Row],[Product]])</f>
        <v>Printer</v>
      </c>
      <c r="E436" t="str">
        <f>PROPER(Table1[[#This Row],[Column1]])</f>
        <v>Printer</v>
      </c>
      <c r="F436" s="8" t="str">
        <f t="shared" si="30"/>
        <v>Office Supplies</v>
      </c>
      <c r="G436" s="5">
        <v>15</v>
      </c>
      <c r="H436">
        <v>506.81</v>
      </c>
      <c r="I436" t="s">
        <v>64</v>
      </c>
      <c r="J436" t="s">
        <v>65</v>
      </c>
      <c r="K436" s="7">
        <v>0.15</v>
      </c>
      <c r="L436" t="s">
        <v>19</v>
      </c>
      <c r="M436" s="5">
        <v>6461.8274999999994</v>
      </c>
      <c r="N436" t="s">
        <v>88</v>
      </c>
      <c r="O436" t="s">
        <v>60</v>
      </c>
      <c r="P436" s="5">
        <v>1</v>
      </c>
      <c r="Q436" t="s">
        <v>933</v>
      </c>
      <c r="R436" t="s">
        <v>934</v>
      </c>
      <c r="S436" s="5">
        <v>41.03</v>
      </c>
      <c r="T436" s="3">
        <v>45794</v>
      </c>
      <c r="U436" s="3">
        <v>45804</v>
      </c>
      <c r="V436" t="s">
        <v>63</v>
      </c>
      <c r="W436">
        <f t="shared" si="32"/>
        <v>5492.5533749999995</v>
      </c>
      <c r="X436">
        <f t="shared" si="33"/>
        <v>7602.15</v>
      </c>
      <c r="Y436">
        <f t="shared" si="34"/>
        <v>2109.5966250000001</v>
      </c>
      <c r="Z436" s="8" t="str">
        <f t="shared" si="31"/>
        <v>High</v>
      </c>
      <c r="AA436" s="12">
        <f>DATE(YEAR(Table1[[#This Row],[OrderDate]]),MONTH(Table1[[#This Row],[OrderDate]]),1)</f>
        <v>45778</v>
      </c>
    </row>
    <row r="437" spans="1:27" x14ac:dyDescent="0.3">
      <c r="A437" s="3">
        <v>45259</v>
      </c>
      <c r="B437" t="s">
        <v>7</v>
      </c>
      <c r="C437" t="s">
        <v>31</v>
      </c>
      <c r="D437" t="str">
        <f>TRIM(Table1[[#This Row],[Product]])</f>
        <v>Laptop</v>
      </c>
      <c r="E437" t="str">
        <f>PROPER(Table1[[#This Row],[Column1]])</f>
        <v>Laptop</v>
      </c>
      <c r="F437" s="8" t="str">
        <f t="shared" si="30"/>
        <v>Technology</v>
      </c>
      <c r="G437" s="5">
        <v>17</v>
      </c>
      <c r="H437">
        <v>538.08000000000004</v>
      </c>
      <c r="I437" t="s">
        <v>64</v>
      </c>
      <c r="J437" t="s">
        <v>65</v>
      </c>
      <c r="K437" s="7">
        <v>0.05</v>
      </c>
      <c r="L437" t="s">
        <v>25</v>
      </c>
      <c r="M437" s="5">
        <v>8689.9920000000002</v>
      </c>
      <c r="N437" t="s">
        <v>85</v>
      </c>
      <c r="O437" t="s">
        <v>60</v>
      </c>
      <c r="P437" s="5">
        <v>0</v>
      </c>
      <c r="Q437" t="s">
        <v>935</v>
      </c>
      <c r="R437" t="s">
        <v>936</v>
      </c>
      <c r="S437" s="5">
        <v>19.61</v>
      </c>
      <c r="T437" s="3">
        <v>45259</v>
      </c>
      <c r="U437" s="3">
        <v>45261</v>
      </c>
      <c r="V437" t="s">
        <v>77</v>
      </c>
      <c r="W437">
        <f t="shared" si="32"/>
        <v>8255.4923999999992</v>
      </c>
      <c r="X437">
        <f t="shared" si="33"/>
        <v>9147.36</v>
      </c>
      <c r="Y437">
        <f t="shared" si="34"/>
        <v>891.8676000000014</v>
      </c>
      <c r="Z437" s="8" t="str">
        <f t="shared" si="31"/>
        <v>Medium</v>
      </c>
      <c r="AA437" s="12">
        <f>DATE(YEAR(Table1[[#This Row],[OrderDate]]),MONTH(Table1[[#This Row],[OrderDate]]),1)</f>
        <v>45231</v>
      </c>
    </row>
    <row r="438" spans="1:27" x14ac:dyDescent="0.3">
      <c r="A438" s="3">
        <v>44981</v>
      </c>
      <c r="B438" t="s">
        <v>13</v>
      </c>
      <c r="C438" t="s">
        <v>29</v>
      </c>
      <c r="D438" t="str">
        <f>TRIM(Table1[[#This Row],[Product]])</f>
        <v>Chair</v>
      </c>
      <c r="E438" t="str">
        <f>PROPER(Table1[[#This Row],[Column1]])</f>
        <v>Chair</v>
      </c>
      <c r="F438" s="8" t="str">
        <f t="shared" si="30"/>
        <v>Furniture</v>
      </c>
      <c r="G438" s="5">
        <v>16</v>
      </c>
      <c r="H438">
        <v>187.84</v>
      </c>
      <c r="I438" t="s">
        <v>64</v>
      </c>
      <c r="J438" t="s">
        <v>65</v>
      </c>
      <c r="K438" s="7">
        <v>0</v>
      </c>
      <c r="L438" t="s">
        <v>18</v>
      </c>
      <c r="M438" s="5">
        <v>3005.44</v>
      </c>
      <c r="N438" t="s">
        <v>82</v>
      </c>
      <c r="O438" t="s">
        <v>67</v>
      </c>
      <c r="P438" s="5">
        <v>0</v>
      </c>
      <c r="Q438" t="s">
        <v>937</v>
      </c>
      <c r="R438" t="s">
        <v>938</v>
      </c>
      <c r="S438" s="5">
        <v>18.649999999999999</v>
      </c>
      <c r="T438" s="3">
        <v>44981</v>
      </c>
      <c r="U438" s="3">
        <v>44983</v>
      </c>
      <c r="V438" t="s">
        <v>70</v>
      </c>
      <c r="W438">
        <f t="shared" si="32"/>
        <v>3005.44</v>
      </c>
      <c r="X438">
        <f t="shared" si="33"/>
        <v>3005.44</v>
      </c>
      <c r="Y438">
        <f t="shared" si="34"/>
        <v>0</v>
      </c>
      <c r="Z438" s="8" t="str">
        <f t="shared" si="31"/>
        <v>No Discount</v>
      </c>
      <c r="AA438" s="12">
        <f>DATE(YEAR(Table1[[#This Row],[OrderDate]]),MONTH(Table1[[#This Row],[OrderDate]]),1)</f>
        <v>44958</v>
      </c>
    </row>
    <row r="439" spans="1:27" x14ac:dyDescent="0.3">
      <c r="A439" s="3">
        <v>45234</v>
      </c>
      <c r="B439" t="s">
        <v>13</v>
      </c>
      <c r="C439" t="s">
        <v>31</v>
      </c>
      <c r="D439" t="str">
        <f>TRIM(Table1[[#This Row],[Product]])</f>
        <v>Laptop</v>
      </c>
      <c r="E439" t="str">
        <f>PROPER(Table1[[#This Row],[Column1]])</f>
        <v>Laptop</v>
      </c>
      <c r="F439" s="8" t="str">
        <f t="shared" si="30"/>
        <v>Technology</v>
      </c>
      <c r="G439" s="5">
        <v>18</v>
      </c>
      <c r="H439">
        <v>426.3</v>
      </c>
      <c r="I439" t="s">
        <v>64</v>
      </c>
      <c r="J439" t="s">
        <v>58</v>
      </c>
      <c r="K439" s="7">
        <v>0.15</v>
      </c>
      <c r="L439" t="s">
        <v>21</v>
      </c>
      <c r="M439" s="5">
        <v>6522.39</v>
      </c>
      <c r="N439" t="s">
        <v>82</v>
      </c>
      <c r="P439" s="5">
        <v>1</v>
      </c>
      <c r="Q439" t="s">
        <v>939</v>
      </c>
      <c r="R439" t="s">
        <v>940</v>
      </c>
      <c r="S439" s="5">
        <v>29.81</v>
      </c>
      <c r="T439" s="3">
        <v>45234</v>
      </c>
      <c r="U439" s="3">
        <v>45240</v>
      </c>
      <c r="V439" t="s">
        <v>70</v>
      </c>
      <c r="W439">
        <f t="shared" si="32"/>
        <v>5544.0315000000001</v>
      </c>
      <c r="X439">
        <f t="shared" si="33"/>
        <v>7673.4000000000005</v>
      </c>
      <c r="Y439">
        <f t="shared" si="34"/>
        <v>2129.3685000000005</v>
      </c>
      <c r="Z439" s="8" t="str">
        <f t="shared" si="31"/>
        <v>High</v>
      </c>
      <c r="AA439" s="12">
        <f>DATE(YEAR(Table1[[#This Row],[OrderDate]]),MONTH(Table1[[#This Row],[OrderDate]]),1)</f>
        <v>45231</v>
      </c>
    </row>
    <row r="440" spans="1:27" x14ac:dyDescent="0.3">
      <c r="A440" s="3">
        <v>45458</v>
      </c>
      <c r="B440" t="s">
        <v>9</v>
      </c>
      <c r="C440" t="s">
        <v>30</v>
      </c>
      <c r="D440" t="str">
        <f>TRIM(Table1[[#This Row],[Product]])</f>
        <v>Desk</v>
      </c>
      <c r="E440" t="str">
        <f>PROPER(Table1[[#This Row],[Column1]])</f>
        <v>Desk</v>
      </c>
      <c r="F440" s="8" t="str">
        <f t="shared" si="30"/>
        <v>Furniture</v>
      </c>
      <c r="G440" s="5">
        <v>1</v>
      </c>
      <c r="H440">
        <v>498.35</v>
      </c>
      <c r="I440" t="s">
        <v>57</v>
      </c>
      <c r="J440" t="s">
        <v>65</v>
      </c>
      <c r="K440" s="7">
        <v>0.1</v>
      </c>
      <c r="L440" t="s">
        <v>18</v>
      </c>
      <c r="M440" s="5">
        <v>448.51499999999999</v>
      </c>
      <c r="N440" t="s">
        <v>59</v>
      </c>
      <c r="O440" t="s">
        <v>60</v>
      </c>
      <c r="P440" s="5">
        <v>0</v>
      </c>
      <c r="Q440" t="s">
        <v>941</v>
      </c>
      <c r="R440" t="s">
        <v>942</v>
      </c>
      <c r="S440" s="5">
        <v>34.700000000000003</v>
      </c>
      <c r="T440" s="3">
        <v>45458</v>
      </c>
      <c r="U440" s="3">
        <v>45465</v>
      </c>
      <c r="V440" t="s">
        <v>63</v>
      </c>
      <c r="W440">
        <f t="shared" si="32"/>
        <v>403.6635</v>
      </c>
      <c r="X440">
        <f t="shared" si="33"/>
        <v>498.35</v>
      </c>
      <c r="Y440">
        <f t="shared" si="34"/>
        <v>94.686500000000024</v>
      </c>
      <c r="Z440" s="8" t="str">
        <f t="shared" si="31"/>
        <v>Medium</v>
      </c>
      <c r="AA440" s="12">
        <f>DATE(YEAR(Table1[[#This Row],[OrderDate]]),MONTH(Table1[[#This Row],[OrderDate]]),1)</f>
        <v>45444</v>
      </c>
    </row>
    <row r="441" spans="1:27" x14ac:dyDescent="0.3">
      <c r="A441" s="3">
        <v>45567</v>
      </c>
      <c r="B441" t="s">
        <v>11</v>
      </c>
      <c r="C441" t="s">
        <v>35</v>
      </c>
      <c r="D441" t="str">
        <f>TRIM(Table1[[#This Row],[Product]])</f>
        <v>Tablet</v>
      </c>
      <c r="E441" t="str">
        <f>PROPER(Table1[[#This Row],[Column1]])</f>
        <v>Tablet</v>
      </c>
      <c r="F441" s="8" t="str">
        <f t="shared" si="30"/>
        <v>Technology</v>
      </c>
      <c r="G441" s="5">
        <v>19</v>
      </c>
      <c r="H441">
        <v>385.72</v>
      </c>
      <c r="I441" t="s">
        <v>64</v>
      </c>
      <c r="J441" t="s">
        <v>65</v>
      </c>
      <c r="K441" s="7">
        <v>0.05</v>
      </c>
      <c r="L441" t="s">
        <v>21</v>
      </c>
      <c r="M441" s="5">
        <v>6962.2460000000001</v>
      </c>
      <c r="N441" t="s">
        <v>88</v>
      </c>
      <c r="O441" t="s">
        <v>67</v>
      </c>
      <c r="P441" s="5">
        <v>1</v>
      </c>
      <c r="Q441" t="s">
        <v>943</v>
      </c>
      <c r="R441" t="s">
        <v>944</v>
      </c>
      <c r="S441" s="5">
        <v>12.46</v>
      </c>
      <c r="T441" s="3">
        <v>45567</v>
      </c>
      <c r="U441" s="3">
        <v>45571</v>
      </c>
      <c r="V441" t="s">
        <v>74</v>
      </c>
      <c r="W441">
        <f t="shared" si="32"/>
        <v>6614.1336999999994</v>
      </c>
      <c r="X441">
        <f t="shared" si="33"/>
        <v>7328.68</v>
      </c>
      <c r="Y441">
        <f t="shared" si="34"/>
        <v>714.54630000000088</v>
      </c>
      <c r="Z441" s="8" t="str">
        <f t="shared" si="31"/>
        <v>Medium</v>
      </c>
      <c r="AA441" s="12">
        <f>DATE(YEAR(Table1[[#This Row],[OrderDate]]),MONTH(Table1[[#This Row],[OrderDate]]),1)</f>
        <v>45566</v>
      </c>
    </row>
    <row r="442" spans="1:27" x14ac:dyDescent="0.3">
      <c r="A442" s="3">
        <v>45080</v>
      </c>
      <c r="B442" t="s">
        <v>16</v>
      </c>
      <c r="C442" t="s">
        <v>35</v>
      </c>
      <c r="D442" t="str">
        <f>TRIM(Table1[[#This Row],[Product]])</f>
        <v>Tablet</v>
      </c>
      <c r="E442" t="str">
        <f>PROPER(Table1[[#This Row],[Column1]])</f>
        <v>Tablet</v>
      </c>
      <c r="F442" s="8" t="str">
        <f t="shared" si="30"/>
        <v>Technology</v>
      </c>
      <c r="G442" s="5">
        <v>3</v>
      </c>
      <c r="H442">
        <v>54.37</v>
      </c>
      <c r="I442" t="s">
        <v>57</v>
      </c>
      <c r="J442" t="s">
        <v>58</v>
      </c>
      <c r="K442" s="7">
        <v>0.1</v>
      </c>
      <c r="L442" t="s">
        <v>27</v>
      </c>
      <c r="M442" s="5">
        <v>146.79900000000001</v>
      </c>
      <c r="N442" t="s">
        <v>82</v>
      </c>
      <c r="O442" t="s">
        <v>71</v>
      </c>
      <c r="P442" s="5">
        <v>0</v>
      </c>
      <c r="Q442" t="s">
        <v>945</v>
      </c>
      <c r="R442" t="s">
        <v>946</v>
      </c>
      <c r="S442" s="5">
        <v>48.71</v>
      </c>
      <c r="T442" s="3">
        <v>45080</v>
      </c>
      <c r="U442" s="3">
        <v>45090</v>
      </c>
      <c r="V442" t="s">
        <v>95</v>
      </c>
      <c r="W442">
        <f t="shared" si="32"/>
        <v>132.1191</v>
      </c>
      <c r="X442">
        <f t="shared" si="33"/>
        <v>163.10999999999999</v>
      </c>
      <c r="Y442">
        <f t="shared" si="34"/>
        <v>30.990899999999982</v>
      </c>
      <c r="Z442" s="8" t="str">
        <f t="shared" si="31"/>
        <v>Medium</v>
      </c>
      <c r="AA442" s="12">
        <f>DATE(YEAR(Table1[[#This Row],[OrderDate]]),MONTH(Table1[[#This Row],[OrderDate]]),1)</f>
        <v>45078</v>
      </c>
    </row>
    <row r="443" spans="1:27" x14ac:dyDescent="0.3">
      <c r="A443" s="3">
        <v>45179</v>
      </c>
      <c r="B443" t="s">
        <v>9</v>
      </c>
      <c r="C443" t="s">
        <v>33</v>
      </c>
      <c r="D443" t="str">
        <f>TRIM(Table1[[#This Row],[Product]])</f>
        <v>Phone</v>
      </c>
      <c r="E443" t="str">
        <f>PROPER(Table1[[#This Row],[Column1]])</f>
        <v>Phone</v>
      </c>
      <c r="F443" s="8" t="str">
        <f t="shared" si="30"/>
        <v>Technology</v>
      </c>
      <c r="G443" s="5">
        <v>6</v>
      </c>
      <c r="H443">
        <v>471.74</v>
      </c>
      <c r="I443" t="s">
        <v>78</v>
      </c>
      <c r="J443" t="s">
        <v>65</v>
      </c>
      <c r="K443" s="7">
        <v>0.15</v>
      </c>
      <c r="L443" t="s">
        <v>21</v>
      </c>
      <c r="M443" s="5">
        <v>2405.8739999999998</v>
      </c>
      <c r="N443" t="s">
        <v>59</v>
      </c>
      <c r="P443" s="5">
        <v>0</v>
      </c>
      <c r="Q443" t="s">
        <v>947</v>
      </c>
      <c r="R443" t="s">
        <v>948</v>
      </c>
      <c r="S443" s="5">
        <v>36.79</v>
      </c>
      <c r="T443" s="3">
        <v>45179</v>
      </c>
      <c r="U443" s="3">
        <v>45187</v>
      </c>
      <c r="V443" t="s">
        <v>63</v>
      </c>
      <c r="W443">
        <f t="shared" si="32"/>
        <v>2044.9928999999997</v>
      </c>
      <c r="X443">
        <f t="shared" si="33"/>
        <v>2830.44</v>
      </c>
      <c r="Y443">
        <f t="shared" si="34"/>
        <v>785.44710000000032</v>
      </c>
      <c r="Z443" s="8" t="str">
        <f t="shared" si="31"/>
        <v>High</v>
      </c>
      <c r="AA443" s="12">
        <f>DATE(YEAR(Table1[[#This Row],[OrderDate]]),MONTH(Table1[[#This Row],[OrderDate]]),1)</f>
        <v>45170</v>
      </c>
    </row>
    <row r="444" spans="1:27" x14ac:dyDescent="0.3">
      <c r="A444" s="3">
        <v>45797</v>
      </c>
      <c r="B444" t="s">
        <v>7</v>
      </c>
      <c r="C444" t="s">
        <v>34</v>
      </c>
      <c r="D444" t="str">
        <f>TRIM(Table1[[#This Row],[Product]])</f>
        <v>Printer</v>
      </c>
      <c r="E444" t="str">
        <f>PROPER(Table1[[#This Row],[Column1]])</f>
        <v>Printer</v>
      </c>
      <c r="F444" s="8" t="str">
        <f t="shared" si="30"/>
        <v>Office Supplies</v>
      </c>
      <c r="G444" s="5">
        <v>19</v>
      </c>
      <c r="H444">
        <v>322.31</v>
      </c>
      <c r="I444" t="s">
        <v>57</v>
      </c>
      <c r="J444" t="s">
        <v>65</v>
      </c>
      <c r="K444" s="7">
        <v>0.15</v>
      </c>
      <c r="L444" t="s">
        <v>19</v>
      </c>
      <c r="M444" s="5">
        <v>5205.3065000000006</v>
      </c>
      <c r="N444" t="s">
        <v>88</v>
      </c>
      <c r="O444" t="s">
        <v>60</v>
      </c>
      <c r="P444" s="5">
        <v>0</v>
      </c>
      <c r="Q444" t="s">
        <v>949</v>
      </c>
      <c r="R444" t="s">
        <v>950</v>
      </c>
      <c r="S444" s="5">
        <v>33.950000000000003</v>
      </c>
      <c r="T444" s="3">
        <v>45797</v>
      </c>
      <c r="U444" s="3">
        <v>45799</v>
      </c>
      <c r="V444" t="s">
        <v>77</v>
      </c>
      <c r="W444">
        <f t="shared" si="32"/>
        <v>4424.5105250000006</v>
      </c>
      <c r="X444">
        <f t="shared" si="33"/>
        <v>6123.89</v>
      </c>
      <c r="Y444">
        <f t="shared" si="34"/>
        <v>1699.3794749999997</v>
      </c>
      <c r="Z444" s="8" t="str">
        <f t="shared" si="31"/>
        <v>High</v>
      </c>
      <c r="AA444" s="12">
        <f>DATE(YEAR(Table1[[#This Row],[OrderDate]]),MONTH(Table1[[#This Row],[OrderDate]]),1)</f>
        <v>45778</v>
      </c>
    </row>
    <row r="445" spans="1:27" x14ac:dyDescent="0.3">
      <c r="A445" s="3">
        <v>45193</v>
      </c>
      <c r="B445" t="s">
        <v>11</v>
      </c>
      <c r="C445" t="s">
        <v>35</v>
      </c>
      <c r="D445" t="str">
        <f>TRIM(Table1[[#This Row],[Product]])</f>
        <v>Tablet</v>
      </c>
      <c r="E445" t="str">
        <f>PROPER(Table1[[#This Row],[Column1]])</f>
        <v>Tablet</v>
      </c>
      <c r="F445" s="8" t="str">
        <f t="shared" si="30"/>
        <v>Technology</v>
      </c>
      <c r="G445" s="5">
        <v>13</v>
      </c>
      <c r="H445">
        <v>115.86</v>
      </c>
      <c r="I445" t="s">
        <v>64</v>
      </c>
      <c r="J445" t="s">
        <v>58</v>
      </c>
      <c r="K445" s="7">
        <v>0.1</v>
      </c>
      <c r="L445" t="s">
        <v>23</v>
      </c>
      <c r="M445" s="5">
        <v>1355.5619999999999</v>
      </c>
      <c r="N445" t="s">
        <v>88</v>
      </c>
      <c r="P445" s="5">
        <v>1</v>
      </c>
      <c r="Q445" t="s">
        <v>951</v>
      </c>
      <c r="R445" t="s">
        <v>952</v>
      </c>
      <c r="S445" s="5">
        <v>28.52</v>
      </c>
      <c r="T445" s="3">
        <v>45193</v>
      </c>
      <c r="U445" s="3">
        <v>45202</v>
      </c>
      <c r="V445" t="s">
        <v>74</v>
      </c>
      <c r="W445">
        <f t="shared" si="32"/>
        <v>1220.0057999999999</v>
      </c>
      <c r="X445">
        <f t="shared" si="33"/>
        <v>1506.18</v>
      </c>
      <c r="Y445">
        <f t="shared" si="34"/>
        <v>286.17420000000016</v>
      </c>
      <c r="Z445" s="8" t="str">
        <f t="shared" si="31"/>
        <v>Medium</v>
      </c>
      <c r="AA445" s="12">
        <f>DATE(YEAR(Table1[[#This Row],[OrderDate]]),MONTH(Table1[[#This Row],[OrderDate]]),1)</f>
        <v>45170</v>
      </c>
    </row>
    <row r="446" spans="1:27" x14ac:dyDescent="0.3">
      <c r="A446" s="3">
        <v>45745</v>
      </c>
      <c r="B446" t="s">
        <v>9</v>
      </c>
      <c r="C446" t="s">
        <v>35</v>
      </c>
      <c r="D446" t="str">
        <f>TRIM(Table1[[#This Row],[Product]])</f>
        <v>Tablet</v>
      </c>
      <c r="E446" t="str">
        <f>PROPER(Table1[[#This Row],[Column1]])</f>
        <v>Tablet</v>
      </c>
      <c r="F446" s="8" t="str">
        <f t="shared" si="30"/>
        <v>Technology</v>
      </c>
      <c r="G446" s="5">
        <v>18</v>
      </c>
      <c r="H446">
        <v>398.26</v>
      </c>
      <c r="I446" t="s">
        <v>57</v>
      </c>
      <c r="J446" t="s">
        <v>65</v>
      </c>
      <c r="K446" s="7">
        <v>0.1</v>
      </c>
      <c r="L446" t="s">
        <v>19</v>
      </c>
      <c r="M446" s="5">
        <v>6451.8120000000008</v>
      </c>
      <c r="N446" t="s">
        <v>85</v>
      </c>
      <c r="P446" s="5">
        <v>0</v>
      </c>
      <c r="Q446" t="s">
        <v>953</v>
      </c>
      <c r="R446" t="s">
        <v>954</v>
      </c>
      <c r="S446" s="5">
        <v>16.8</v>
      </c>
      <c r="T446" s="3">
        <v>45745</v>
      </c>
      <c r="U446" s="3">
        <v>45751</v>
      </c>
      <c r="V446" t="s">
        <v>63</v>
      </c>
      <c r="W446">
        <f t="shared" si="32"/>
        <v>5806.6308000000008</v>
      </c>
      <c r="X446">
        <f t="shared" si="33"/>
        <v>7168.68</v>
      </c>
      <c r="Y446">
        <f t="shared" si="34"/>
        <v>1362.0491999999995</v>
      </c>
      <c r="Z446" s="8" t="str">
        <f t="shared" si="31"/>
        <v>Medium</v>
      </c>
      <c r="AA446" s="12">
        <f>DATE(YEAR(Table1[[#This Row],[OrderDate]]),MONTH(Table1[[#This Row],[OrderDate]]),1)</f>
        <v>45717</v>
      </c>
    </row>
    <row r="447" spans="1:27" x14ac:dyDescent="0.3">
      <c r="A447" s="3">
        <v>45094</v>
      </c>
      <c r="B447" t="s">
        <v>9</v>
      </c>
      <c r="C447" t="s">
        <v>29</v>
      </c>
      <c r="D447" t="str">
        <f>TRIM(Table1[[#This Row],[Product]])</f>
        <v>Chair</v>
      </c>
      <c r="E447" t="str">
        <f>PROPER(Table1[[#This Row],[Column1]])</f>
        <v>Chair</v>
      </c>
      <c r="F447" s="8" t="str">
        <f t="shared" si="30"/>
        <v>Furniture</v>
      </c>
      <c r="G447" s="5">
        <v>4</v>
      </c>
      <c r="H447">
        <v>584.79999999999995</v>
      </c>
      <c r="I447" t="s">
        <v>57</v>
      </c>
      <c r="J447" t="s">
        <v>65</v>
      </c>
      <c r="K447" s="7">
        <v>0.1</v>
      </c>
      <c r="L447" t="s">
        <v>25</v>
      </c>
      <c r="M447" s="5">
        <v>2105.2800000000002</v>
      </c>
      <c r="N447" t="s">
        <v>59</v>
      </c>
      <c r="O447" t="s">
        <v>60</v>
      </c>
      <c r="P447" s="5">
        <v>0</v>
      </c>
      <c r="Q447" t="s">
        <v>955</v>
      </c>
      <c r="R447" t="s">
        <v>956</v>
      </c>
      <c r="S447" s="5">
        <v>16.440000000000001</v>
      </c>
      <c r="T447" s="3">
        <v>45094</v>
      </c>
      <c r="U447" s="3">
        <v>45102</v>
      </c>
      <c r="V447" t="s">
        <v>63</v>
      </c>
      <c r="W447">
        <f t="shared" si="32"/>
        <v>1894.7520000000002</v>
      </c>
      <c r="X447">
        <f t="shared" si="33"/>
        <v>2339.1999999999998</v>
      </c>
      <c r="Y447">
        <f t="shared" si="34"/>
        <v>444.44799999999964</v>
      </c>
      <c r="Z447" s="8" t="str">
        <f t="shared" si="31"/>
        <v>Medium</v>
      </c>
      <c r="AA447" s="12">
        <f>DATE(YEAR(Table1[[#This Row],[OrderDate]]),MONTH(Table1[[#This Row],[OrderDate]]),1)</f>
        <v>45078</v>
      </c>
    </row>
    <row r="448" spans="1:27" x14ac:dyDescent="0.3">
      <c r="A448" s="3">
        <v>45319</v>
      </c>
      <c r="B448" t="s">
        <v>16</v>
      </c>
      <c r="C448" t="s">
        <v>34</v>
      </c>
      <c r="D448" t="str">
        <f>TRIM(Table1[[#This Row],[Product]])</f>
        <v>Printer</v>
      </c>
      <c r="E448" t="str">
        <f>PROPER(Table1[[#This Row],[Column1]])</f>
        <v>Printer</v>
      </c>
      <c r="F448" s="8" t="str">
        <f t="shared" si="30"/>
        <v>Office Supplies</v>
      </c>
      <c r="G448" s="5">
        <v>20</v>
      </c>
      <c r="H448">
        <v>424.7</v>
      </c>
      <c r="I448" t="s">
        <v>57</v>
      </c>
      <c r="J448" t="s">
        <v>58</v>
      </c>
      <c r="K448" s="7">
        <v>0.15</v>
      </c>
      <c r="L448" t="s">
        <v>19</v>
      </c>
      <c r="M448" s="5">
        <v>7219.9</v>
      </c>
      <c r="N448" t="s">
        <v>59</v>
      </c>
      <c r="O448" t="s">
        <v>60</v>
      </c>
      <c r="P448" s="5">
        <v>0</v>
      </c>
      <c r="Q448" t="s">
        <v>957</v>
      </c>
      <c r="R448" t="s">
        <v>958</v>
      </c>
      <c r="S448" s="5">
        <v>42.03</v>
      </c>
      <c r="T448" s="3">
        <v>45319</v>
      </c>
      <c r="U448" s="3">
        <v>45327</v>
      </c>
      <c r="V448" t="s">
        <v>95</v>
      </c>
      <c r="W448">
        <f t="shared" si="32"/>
        <v>6136.915</v>
      </c>
      <c r="X448">
        <f t="shared" si="33"/>
        <v>8494</v>
      </c>
      <c r="Y448">
        <f t="shared" si="34"/>
        <v>2357.085</v>
      </c>
      <c r="Z448" s="8" t="str">
        <f t="shared" si="31"/>
        <v>High</v>
      </c>
      <c r="AA448" s="12">
        <f>DATE(YEAR(Table1[[#This Row],[OrderDate]]),MONTH(Table1[[#This Row],[OrderDate]]),1)</f>
        <v>45292</v>
      </c>
    </row>
    <row r="449" spans="1:27" x14ac:dyDescent="0.3">
      <c r="A449" s="3">
        <v>44999</v>
      </c>
      <c r="B449" t="s">
        <v>7</v>
      </c>
      <c r="C449" t="s">
        <v>29</v>
      </c>
      <c r="D449" t="str">
        <f>TRIM(Table1[[#This Row],[Product]])</f>
        <v>Chair</v>
      </c>
      <c r="E449" t="str">
        <f>PROPER(Table1[[#This Row],[Column1]])</f>
        <v>Chair</v>
      </c>
      <c r="F449" s="8" t="str">
        <f t="shared" si="30"/>
        <v>Furniture</v>
      </c>
      <c r="G449" s="5">
        <v>16</v>
      </c>
      <c r="H449">
        <v>179.22</v>
      </c>
      <c r="I449" t="s">
        <v>81</v>
      </c>
      <c r="J449" t="s">
        <v>65</v>
      </c>
      <c r="K449" s="7">
        <v>0.1</v>
      </c>
      <c r="L449" t="s">
        <v>18</v>
      </c>
      <c r="M449" s="5">
        <v>2580.768</v>
      </c>
      <c r="N449" t="s">
        <v>59</v>
      </c>
      <c r="O449" t="s">
        <v>71</v>
      </c>
      <c r="P449" s="5">
        <v>0</v>
      </c>
      <c r="Q449" t="s">
        <v>959</v>
      </c>
      <c r="R449" t="s">
        <v>960</v>
      </c>
      <c r="S449" s="5">
        <v>45.99</v>
      </c>
      <c r="T449" s="3">
        <v>44999</v>
      </c>
      <c r="U449" s="3">
        <v>45002</v>
      </c>
      <c r="V449" t="s">
        <v>77</v>
      </c>
      <c r="W449">
        <f t="shared" si="32"/>
        <v>2322.6912000000002</v>
      </c>
      <c r="X449">
        <f t="shared" si="33"/>
        <v>2867.52</v>
      </c>
      <c r="Y449">
        <f t="shared" si="34"/>
        <v>544.82879999999977</v>
      </c>
      <c r="Z449" s="8" t="str">
        <f t="shared" si="31"/>
        <v>Medium</v>
      </c>
      <c r="AA449" s="12">
        <f>DATE(YEAR(Table1[[#This Row],[OrderDate]]),MONTH(Table1[[#This Row],[OrderDate]]),1)</f>
        <v>44986</v>
      </c>
    </row>
    <row r="450" spans="1:27" x14ac:dyDescent="0.3">
      <c r="A450" s="3">
        <v>45666</v>
      </c>
      <c r="B450" t="s">
        <v>9</v>
      </c>
      <c r="C450" t="s">
        <v>31</v>
      </c>
      <c r="D450" t="str">
        <f>TRIM(Table1[[#This Row],[Product]])</f>
        <v>Laptop</v>
      </c>
      <c r="E450" t="str">
        <f>PROPER(Table1[[#This Row],[Column1]])</f>
        <v>Laptop</v>
      </c>
      <c r="F450" s="8" t="str">
        <f t="shared" ref="F450:F513" si="35">IF(OR(E450="Chair",E450="Desk"),"Furniture",IF(OR(E450="Laptop",E450="Monitor",E450="Phone",E450="Tablet"),"Technology",IF(E450="Printer","Office Supplies","Other")))</f>
        <v>Technology</v>
      </c>
      <c r="G450" s="5">
        <v>12</v>
      </c>
      <c r="H450">
        <v>148.66</v>
      </c>
      <c r="I450" t="s">
        <v>64</v>
      </c>
      <c r="J450" t="s">
        <v>58</v>
      </c>
      <c r="K450" s="7">
        <v>0</v>
      </c>
      <c r="L450" t="s">
        <v>23</v>
      </c>
      <c r="M450" s="5">
        <v>1783.92</v>
      </c>
      <c r="N450" t="s">
        <v>59</v>
      </c>
      <c r="P450" s="5">
        <v>1</v>
      </c>
      <c r="Q450" t="s">
        <v>961</v>
      </c>
      <c r="R450" t="s">
        <v>962</v>
      </c>
      <c r="S450" s="5">
        <v>27.16</v>
      </c>
      <c r="T450" s="3">
        <v>45666</v>
      </c>
      <c r="U450" s="3">
        <v>45674</v>
      </c>
      <c r="V450" t="s">
        <v>63</v>
      </c>
      <c r="W450">
        <f t="shared" si="32"/>
        <v>1783.92</v>
      </c>
      <c r="X450">
        <f t="shared" si="33"/>
        <v>1783.92</v>
      </c>
      <c r="Y450">
        <f t="shared" si="34"/>
        <v>0</v>
      </c>
      <c r="Z450" s="8" t="str">
        <f t="shared" ref="Z450:Z513" si="36">IF(K450=0,"No Discount",IF(K450&lt;5%,"Low",IF(K450&lt;15%,"Medium","High")))</f>
        <v>No Discount</v>
      </c>
      <c r="AA450" s="12">
        <f>DATE(YEAR(Table1[[#This Row],[OrderDate]]),MONTH(Table1[[#This Row],[OrderDate]]),1)</f>
        <v>45658</v>
      </c>
    </row>
    <row r="451" spans="1:27" x14ac:dyDescent="0.3">
      <c r="A451" s="3">
        <v>45746</v>
      </c>
      <c r="B451" t="s">
        <v>7</v>
      </c>
      <c r="C451" t="s">
        <v>33</v>
      </c>
      <c r="D451" t="str">
        <f>TRIM(Table1[[#This Row],[Product]])</f>
        <v>Phone</v>
      </c>
      <c r="E451" t="str">
        <f>PROPER(Table1[[#This Row],[Column1]])</f>
        <v>Phone</v>
      </c>
      <c r="F451" s="8" t="str">
        <f t="shared" si="35"/>
        <v>Technology</v>
      </c>
      <c r="G451" s="5">
        <v>16</v>
      </c>
      <c r="H451">
        <v>460.43</v>
      </c>
      <c r="I451" t="s">
        <v>57</v>
      </c>
      <c r="J451" t="s">
        <v>58</v>
      </c>
      <c r="K451" s="7">
        <v>0.15</v>
      </c>
      <c r="L451" t="s">
        <v>19</v>
      </c>
      <c r="M451" s="5">
        <v>6261.848</v>
      </c>
      <c r="N451" t="s">
        <v>59</v>
      </c>
      <c r="O451" t="s">
        <v>71</v>
      </c>
      <c r="P451" s="5">
        <v>0</v>
      </c>
      <c r="Q451" t="s">
        <v>963</v>
      </c>
      <c r="R451" t="s">
        <v>964</v>
      </c>
      <c r="S451" s="5">
        <v>20.38</v>
      </c>
      <c r="T451" s="3">
        <v>45746</v>
      </c>
      <c r="U451" s="3">
        <v>45753</v>
      </c>
      <c r="V451" t="s">
        <v>77</v>
      </c>
      <c r="W451">
        <f t="shared" ref="W451:W514" si="37">M451*(1-K451)</f>
        <v>5322.5707999999995</v>
      </c>
      <c r="X451">
        <f t="shared" ref="X451:X514" si="38">G451*H451</f>
        <v>7366.88</v>
      </c>
      <c r="Y451">
        <f t="shared" ref="Y451:Y514" si="39">X451-W451</f>
        <v>2044.3092000000006</v>
      </c>
      <c r="Z451" s="8" t="str">
        <f t="shared" si="36"/>
        <v>High</v>
      </c>
      <c r="AA451" s="12">
        <f>DATE(YEAR(Table1[[#This Row],[OrderDate]]),MONTH(Table1[[#This Row],[OrderDate]]),1)</f>
        <v>45717</v>
      </c>
    </row>
    <row r="452" spans="1:27" x14ac:dyDescent="0.3">
      <c r="A452" s="3">
        <v>45222</v>
      </c>
      <c r="B452" t="s">
        <v>9</v>
      </c>
      <c r="C452" t="s">
        <v>35</v>
      </c>
      <c r="D452" t="str">
        <f>TRIM(Table1[[#This Row],[Product]])</f>
        <v>Tablet</v>
      </c>
      <c r="E452" t="str">
        <f>PROPER(Table1[[#This Row],[Column1]])</f>
        <v>Tablet</v>
      </c>
      <c r="F452" s="8" t="str">
        <f t="shared" si="35"/>
        <v>Technology</v>
      </c>
      <c r="G452" s="5">
        <v>5</v>
      </c>
      <c r="H452">
        <v>334.37</v>
      </c>
      <c r="I452" t="s">
        <v>57</v>
      </c>
      <c r="J452" t="s">
        <v>65</v>
      </c>
      <c r="K452" s="7">
        <v>0.05</v>
      </c>
      <c r="L452" t="s">
        <v>21</v>
      </c>
      <c r="M452" s="5">
        <v>1588.2574999999999</v>
      </c>
      <c r="N452" t="s">
        <v>82</v>
      </c>
      <c r="P452" s="5">
        <v>0</v>
      </c>
      <c r="Q452" t="s">
        <v>965</v>
      </c>
      <c r="R452" t="s">
        <v>529</v>
      </c>
      <c r="S452" s="5">
        <v>32.130000000000003</v>
      </c>
      <c r="T452" s="3">
        <v>45222</v>
      </c>
      <c r="U452" s="3">
        <v>45227</v>
      </c>
      <c r="V452" t="s">
        <v>63</v>
      </c>
      <c r="W452">
        <f t="shared" si="37"/>
        <v>1508.844625</v>
      </c>
      <c r="X452">
        <f t="shared" si="38"/>
        <v>1671.85</v>
      </c>
      <c r="Y452">
        <f t="shared" si="39"/>
        <v>163.00537499999996</v>
      </c>
      <c r="Z452" s="8" t="str">
        <f t="shared" si="36"/>
        <v>Medium</v>
      </c>
      <c r="AA452" s="12">
        <f>DATE(YEAR(Table1[[#This Row],[OrderDate]]),MONTH(Table1[[#This Row],[OrderDate]]),1)</f>
        <v>45200</v>
      </c>
    </row>
    <row r="453" spans="1:27" x14ac:dyDescent="0.3">
      <c r="A453" s="3">
        <v>45816</v>
      </c>
      <c r="B453" t="s">
        <v>16</v>
      </c>
      <c r="C453" t="s">
        <v>32</v>
      </c>
      <c r="D453" t="str">
        <f>TRIM(Table1[[#This Row],[Product]])</f>
        <v>Monitor</v>
      </c>
      <c r="E453" t="str">
        <f>PROPER(Table1[[#This Row],[Column1]])</f>
        <v>Monitor</v>
      </c>
      <c r="F453" s="8" t="str">
        <f t="shared" si="35"/>
        <v>Technology</v>
      </c>
      <c r="G453" s="5">
        <v>3</v>
      </c>
      <c r="H453">
        <v>599.72</v>
      </c>
      <c r="I453" t="s">
        <v>81</v>
      </c>
      <c r="J453" t="s">
        <v>65</v>
      </c>
      <c r="K453" s="7">
        <v>0.15</v>
      </c>
      <c r="L453" t="s">
        <v>18</v>
      </c>
      <c r="M453" s="5">
        <v>1529.2860000000001</v>
      </c>
      <c r="N453" t="s">
        <v>59</v>
      </c>
      <c r="O453" t="s">
        <v>71</v>
      </c>
      <c r="P453" s="5">
        <v>1</v>
      </c>
      <c r="Q453" t="s">
        <v>966</v>
      </c>
      <c r="R453" t="s">
        <v>967</v>
      </c>
      <c r="S453" s="5">
        <v>14.93</v>
      </c>
      <c r="T453" s="3">
        <v>45816</v>
      </c>
      <c r="U453" s="3">
        <v>45822</v>
      </c>
      <c r="V453" t="s">
        <v>95</v>
      </c>
      <c r="W453">
        <f t="shared" si="37"/>
        <v>1299.8931</v>
      </c>
      <c r="X453">
        <f t="shared" si="38"/>
        <v>1799.16</v>
      </c>
      <c r="Y453">
        <f t="shared" si="39"/>
        <v>499.26690000000008</v>
      </c>
      <c r="Z453" s="8" t="str">
        <f t="shared" si="36"/>
        <v>High</v>
      </c>
      <c r="AA453" s="12">
        <f>DATE(YEAR(Table1[[#This Row],[OrderDate]]),MONTH(Table1[[#This Row],[OrderDate]]),1)</f>
        <v>45809</v>
      </c>
    </row>
    <row r="454" spans="1:27" x14ac:dyDescent="0.3">
      <c r="A454" s="3">
        <v>45348</v>
      </c>
      <c r="B454" t="s">
        <v>16</v>
      </c>
      <c r="C454" t="s">
        <v>32</v>
      </c>
      <c r="D454" t="str">
        <f>TRIM(Table1[[#This Row],[Product]])</f>
        <v>Monitor</v>
      </c>
      <c r="E454" t="str">
        <f>PROPER(Table1[[#This Row],[Column1]])</f>
        <v>Monitor</v>
      </c>
      <c r="F454" s="8" t="str">
        <f t="shared" si="35"/>
        <v>Technology</v>
      </c>
      <c r="G454" s="5">
        <v>11</v>
      </c>
      <c r="H454">
        <v>389.84</v>
      </c>
      <c r="I454" t="s">
        <v>81</v>
      </c>
      <c r="J454" t="s">
        <v>58</v>
      </c>
      <c r="K454" s="7">
        <v>0</v>
      </c>
      <c r="L454" t="s">
        <v>18</v>
      </c>
      <c r="M454" s="5">
        <v>4288.24</v>
      </c>
      <c r="N454" t="s">
        <v>66</v>
      </c>
      <c r="O454" t="s">
        <v>67</v>
      </c>
      <c r="P454" s="5">
        <v>1</v>
      </c>
      <c r="Q454" t="s">
        <v>968</v>
      </c>
      <c r="R454" t="s">
        <v>969</v>
      </c>
      <c r="S454" s="5">
        <v>10.24</v>
      </c>
      <c r="T454" s="3">
        <v>45348</v>
      </c>
      <c r="U454" s="3">
        <v>45351</v>
      </c>
      <c r="V454" t="s">
        <v>95</v>
      </c>
      <c r="W454">
        <f t="shared" si="37"/>
        <v>4288.24</v>
      </c>
      <c r="X454">
        <f t="shared" si="38"/>
        <v>4288.24</v>
      </c>
      <c r="Y454">
        <f t="shared" si="39"/>
        <v>0</v>
      </c>
      <c r="Z454" s="8" t="str">
        <f t="shared" si="36"/>
        <v>No Discount</v>
      </c>
      <c r="AA454" s="12">
        <f>DATE(YEAR(Table1[[#This Row],[OrderDate]]),MONTH(Table1[[#This Row],[OrderDate]]),1)</f>
        <v>45323</v>
      </c>
    </row>
    <row r="455" spans="1:27" x14ac:dyDescent="0.3">
      <c r="A455" s="3">
        <v>45595</v>
      </c>
      <c r="B455" t="s">
        <v>9</v>
      </c>
      <c r="C455" t="s">
        <v>29</v>
      </c>
      <c r="D455" t="str">
        <f>TRIM(Table1[[#This Row],[Product]])</f>
        <v>Chair</v>
      </c>
      <c r="E455" t="str">
        <f>PROPER(Table1[[#This Row],[Column1]])</f>
        <v>Chair</v>
      </c>
      <c r="F455" s="8" t="str">
        <f t="shared" si="35"/>
        <v>Furniture</v>
      </c>
      <c r="G455" s="5">
        <v>11</v>
      </c>
      <c r="H455">
        <v>445.75</v>
      </c>
      <c r="I455" t="s">
        <v>64</v>
      </c>
      <c r="J455" t="s">
        <v>58</v>
      </c>
      <c r="K455" s="7">
        <v>0.1</v>
      </c>
      <c r="L455" t="s">
        <v>27</v>
      </c>
      <c r="M455" s="5">
        <v>4412.9250000000002</v>
      </c>
      <c r="N455" t="s">
        <v>59</v>
      </c>
      <c r="O455" t="s">
        <v>67</v>
      </c>
      <c r="P455" s="5">
        <v>0</v>
      </c>
      <c r="Q455" t="s">
        <v>970</v>
      </c>
      <c r="R455" t="s">
        <v>971</v>
      </c>
      <c r="S455" s="5">
        <v>18.07</v>
      </c>
      <c r="T455" s="3">
        <v>45595</v>
      </c>
      <c r="U455" s="3">
        <v>45603</v>
      </c>
      <c r="V455" t="s">
        <v>63</v>
      </c>
      <c r="W455">
        <f t="shared" si="37"/>
        <v>3971.6325000000002</v>
      </c>
      <c r="X455">
        <f t="shared" si="38"/>
        <v>4903.25</v>
      </c>
      <c r="Y455">
        <f t="shared" si="39"/>
        <v>931.61749999999984</v>
      </c>
      <c r="Z455" s="8" t="str">
        <f t="shared" si="36"/>
        <v>Medium</v>
      </c>
      <c r="AA455" s="12">
        <f>DATE(YEAR(Table1[[#This Row],[OrderDate]]),MONTH(Table1[[#This Row],[OrderDate]]),1)</f>
        <v>45566</v>
      </c>
    </row>
    <row r="456" spans="1:27" x14ac:dyDescent="0.3">
      <c r="A456" s="3">
        <v>45523</v>
      </c>
      <c r="B456" t="s">
        <v>13</v>
      </c>
      <c r="C456" t="s">
        <v>31</v>
      </c>
      <c r="D456" t="str">
        <f>TRIM(Table1[[#This Row],[Product]])</f>
        <v>Laptop</v>
      </c>
      <c r="E456" t="str">
        <f>PROPER(Table1[[#This Row],[Column1]])</f>
        <v>Laptop</v>
      </c>
      <c r="F456" s="8" t="str">
        <f t="shared" si="35"/>
        <v>Technology</v>
      </c>
      <c r="G456" s="5">
        <v>18</v>
      </c>
      <c r="H456">
        <v>96.84</v>
      </c>
      <c r="I456" t="s">
        <v>64</v>
      </c>
      <c r="J456" t="s">
        <v>58</v>
      </c>
      <c r="K456" s="7">
        <v>0.15</v>
      </c>
      <c r="L456" t="s">
        <v>27</v>
      </c>
      <c r="M456" s="5">
        <v>1481.652</v>
      </c>
      <c r="N456" t="s">
        <v>88</v>
      </c>
      <c r="O456" t="s">
        <v>67</v>
      </c>
      <c r="P456" s="5">
        <v>1</v>
      </c>
      <c r="Q456" t="s">
        <v>972</v>
      </c>
      <c r="R456" t="s">
        <v>973</v>
      </c>
      <c r="S456" s="5">
        <v>8.1</v>
      </c>
      <c r="T456" s="3">
        <v>45523</v>
      </c>
      <c r="U456" s="3">
        <v>45527</v>
      </c>
      <c r="V456" t="s">
        <v>70</v>
      </c>
      <c r="W456">
        <f t="shared" si="37"/>
        <v>1259.4041999999999</v>
      </c>
      <c r="X456">
        <f t="shared" si="38"/>
        <v>1743.1200000000001</v>
      </c>
      <c r="Y456">
        <f t="shared" si="39"/>
        <v>483.71580000000017</v>
      </c>
      <c r="Z456" s="8" t="str">
        <f t="shared" si="36"/>
        <v>High</v>
      </c>
      <c r="AA456" s="12">
        <f>DATE(YEAR(Table1[[#This Row],[OrderDate]]),MONTH(Table1[[#This Row],[OrderDate]]),1)</f>
        <v>45505</v>
      </c>
    </row>
    <row r="457" spans="1:27" x14ac:dyDescent="0.3">
      <c r="A457" s="3">
        <v>45137</v>
      </c>
      <c r="B457" t="s">
        <v>7</v>
      </c>
      <c r="C457" t="s">
        <v>29</v>
      </c>
      <c r="D457" t="str">
        <f>TRIM(Table1[[#This Row],[Product]])</f>
        <v>Chair</v>
      </c>
      <c r="E457" t="str">
        <f>PROPER(Table1[[#This Row],[Column1]])</f>
        <v>Chair</v>
      </c>
      <c r="F457" s="8" t="str">
        <f t="shared" si="35"/>
        <v>Furniture</v>
      </c>
      <c r="G457" s="5">
        <v>1</v>
      </c>
      <c r="H457">
        <v>528.30999999999995</v>
      </c>
      <c r="I457" t="s">
        <v>78</v>
      </c>
      <c r="J457" t="s">
        <v>58</v>
      </c>
      <c r="K457" s="7">
        <v>0.1</v>
      </c>
      <c r="L457" t="s">
        <v>18</v>
      </c>
      <c r="M457" s="5">
        <v>475.47899999999998</v>
      </c>
      <c r="N457" t="s">
        <v>59</v>
      </c>
      <c r="O457" t="s">
        <v>60</v>
      </c>
      <c r="P457" s="5">
        <v>0</v>
      </c>
      <c r="Q457" t="s">
        <v>974</v>
      </c>
      <c r="R457" t="s">
        <v>119</v>
      </c>
      <c r="S457" s="5">
        <v>24.55</v>
      </c>
      <c r="T457" s="3">
        <v>45137</v>
      </c>
      <c r="U457" s="3">
        <v>45147</v>
      </c>
      <c r="V457" t="s">
        <v>77</v>
      </c>
      <c r="W457">
        <f t="shared" si="37"/>
        <v>427.93110000000001</v>
      </c>
      <c r="X457">
        <f t="shared" si="38"/>
        <v>528.30999999999995</v>
      </c>
      <c r="Y457">
        <f t="shared" si="39"/>
        <v>100.37889999999993</v>
      </c>
      <c r="Z457" s="8" t="str">
        <f t="shared" si="36"/>
        <v>Medium</v>
      </c>
      <c r="AA457" s="12">
        <f>DATE(YEAR(Table1[[#This Row],[OrderDate]]),MONTH(Table1[[#This Row],[OrderDate]]),1)</f>
        <v>45108</v>
      </c>
    </row>
    <row r="458" spans="1:27" x14ac:dyDescent="0.3">
      <c r="A458" s="3">
        <v>45517</v>
      </c>
      <c r="B458" t="s">
        <v>11</v>
      </c>
      <c r="C458" t="s">
        <v>32</v>
      </c>
      <c r="D458" t="str">
        <f>TRIM(Table1[[#This Row],[Product]])</f>
        <v>Monitor</v>
      </c>
      <c r="E458" t="str">
        <f>PROPER(Table1[[#This Row],[Column1]])</f>
        <v>Monitor</v>
      </c>
      <c r="F458" s="8" t="str">
        <f t="shared" si="35"/>
        <v>Technology</v>
      </c>
      <c r="G458" s="5">
        <v>16</v>
      </c>
      <c r="H458">
        <v>64.03</v>
      </c>
      <c r="I458" t="s">
        <v>64</v>
      </c>
      <c r="J458" t="s">
        <v>58</v>
      </c>
      <c r="K458" s="7">
        <v>0</v>
      </c>
      <c r="L458" t="s">
        <v>21</v>
      </c>
      <c r="M458" s="5">
        <v>1024.48</v>
      </c>
      <c r="N458" t="s">
        <v>66</v>
      </c>
      <c r="O458" t="s">
        <v>71</v>
      </c>
      <c r="P458" s="5">
        <v>1</v>
      </c>
      <c r="Q458" t="s">
        <v>975</v>
      </c>
      <c r="R458" t="s">
        <v>976</v>
      </c>
      <c r="S458" s="5">
        <v>16.71</v>
      </c>
      <c r="T458" s="3">
        <v>45517</v>
      </c>
      <c r="U458" s="3">
        <v>45527</v>
      </c>
      <c r="V458" t="s">
        <v>74</v>
      </c>
      <c r="W458">
        <f t="shared" si="37"/>
        <v>1024.48</v>
      </c>
      <c r="X458">
        <f t="shared" si="38"/>
        <v>1024.48</v>
      </c>
      <c r="Y458">
        <f t="shared" si="39"/>
        <v>0</v>
      </c>
      <c r="Z458" s="8" t="str">
        <f t="shared" si="36"/>
        <v>No Discount</v>
      </c>
      <c r="AA458" s="12">
        <f>DATE(YEAR(Table1[[#This Row],[OrderDate]]),MONTH(Table1[[#This Row],[OrderDate]]),1)</f>
        <v>45505</v>
      </c>
    </row>
    <row r="459" spans="1:27" x14ac:dyDescent="0.3">
      <c r="A459" s="3">
        <v>45234</v>
      </c>
      <c r="B459" t="s">
        <v>11</v>
      </c>
      <c r="C459" t="s">
        <v>34</v>
      </c>
      <c r="D459" t="str">
        <f>TRIM(Table1[[#This Row],[Product]])</f>
        <v>Printer</v>
      </c>
      <c r="E459" t="str">
        <f>PROPER(Table1[[#This Row],[Column1]])</f>
        <v>Printer</v>
      </c>
      <c r="F459" s="8" t="str">
        <f t="shared" si="35"/>
        <v>Office Supplies</v>
      </c>
      <c r="G459" s="5">
        <v>13</v>
      </c>
      <c r="H459">
        <v>179.37</v>
      </c>
      <c r="I459" t="s">
        <v>64</v>
      </c>
      <c r="J459" t="s">
        <v>65</v>
      </c>
      <c r="K459" s="7">
        <v>0.05</v>
      </c>
      <c r="L459" t="s">
        <v>25</v>
      </c>
      <c r="M459" s="5">
        <v>2215.2195000000002</v>
      </c>
      <c r="N459" t="s">
        <v>59</v>
      </c>
      <c r="O459" t="s">
        <v>60</v>
      </c>
      <c r="P459" s="5">
        <v>0</v>
      </c>
      <c r="Q459" t="s">
        <v>977</v>
      </c>
      <c r="R459" t="s">
        <v>978</v>
      </c>
      <c r="S459" s="5">
        <v>35.28</v>
      </c>
      <c r="T459" s="3">
        <v>45234</v>
      </c>
      <c r="U459" s="3">
        <v>45242</v>
      </c>
      <c r="V459" t="s">
        <v>74</v>
      </c>
      <c r="W459">
        <f t="shared" si="37"/>
        <v>2104.458525</v>
      </c>
      <c r="X459">
        <f t="shared" si="38"/>
        <v>2331.81</v>
      </c>
      <c r="Y459">
        <f t="shared" si="39"/>
        <v>227.35147499999994</v>
      </c>
      <c r="Z459" s="8" t="str">
        <f t="shared" si="36"/>
        <v>Medium</v>
      </c>
      <c r="AA459" s="12">
        <f>DATE(YEAR(Table1[[#This Row],[OrderDate]]),MONTH(Table1[[#This Row],[OrderDate]]),1)</f>
        <v>45231</v>
      </c>
    </row>
    <row r="460" spans="1:27" x14ac:dyDescent="0.3">
      <c r="A460" s="3">
        <v>45813</v>
      </c>
      <c r="B460" t="s">
        <v>9</v>
      </c>
      <c r="C460" t="s">
        <v>34</v>
      </c>
      <c r="D460" t="str">
        <f>TRIM(Table1[[#This Row],[Product]])</f>
        <v>Printer</v>
      </c>
      <c r="E460" t="str">
        <f>PROPER(Table1[[#This Row],[Column1]])</f>
        <v>Printer</v>
      </c>
      <c r="F460" s="8" t="str">
        <f t="shared" si="35"/>
        <v>Office Supplies</v>
      </c>
      <c r="G460" s="5">
        <v>19</v>
      </c>
      <c r="H460">
        <v>491.15</v>
      </c>
      <c r="I460" t="s">
        <v>78</v>
      </c>
      <c r="J460" t="s">
        <v>65</v>
      </c>
      <c r="K460" s="7">
        <v>0</v>
      </c>
      <c r="L460" t="s">
        <v>27</v>
      </c>
      <c r="M460" s="5">
        <v>9331.85</v>
      </c>
      <c r="N460" t="s">
        <v>59</v>
      </c>
      <c r="P460" s="5">
        <v>0</v>
      </c>
      <c r="Q460" t="s">
        <v>979</v>
      </c>
      <c r="R460" t="s">
        <v>980</v>
      </c>
      <c r="S460" s="5">
        <v>48.68</v>
      </c>
      <c r="T460" s="3">
        <v>45813</v>
      </c>
      <c r="U460" s="3">
        <v>45823</v>
      </c>
      <c r="V460" t="s">
        <v>63</v>
      </c>
      <c r="W460">
        <f t="shared" si="37"/>
        <v>9331.85</v>
      </c>
      <c r="X460">
        <f t="shared" si="38"/>
        <v>9331.85</v>
      </c>
      <c r="Y460">
        <f t="shared" si="39"/>
        <v>0</v>
      </c>
      <c r="Z460" s="8" t="str">
        <f t="shared" si="36"/>
        <v>No Discount</v>
      </c>
      <c r="AA460" s="12">
        <f>DATE(YEAR(Table1[[#This Row],[OrderDate]]),MONTH(Table1[[#This Row],[OrderDate]]),1)</f>
        <v>45809</v>
      </c>
    </row>
    <row r="461" spans="1:27" x14ac:dyDescent="0.3">
      <c r="A461" s="3">
        <v>45100</v>
      </c>
      <c r="B461" t="s">
        <v>11</v>
      </c>
      <c r="C461" t="s">
        <v>34</v>
      </c>
      <c r="D461" t="str">
        <f>TRIM(Table1[[#This Row],[Product]])</f>
        <v>Printer</v>
      </c>
      <c r="E461" t="str">
        <f>PROPER(Table1[[#This Row],[Column1]])</f>
        <v>Printer</v>
      </c>
      <c r="F461" s="8" t="str">
        <f t="shared" si="35"/>
        <v>Office Supplies</v>
      </c>
      <c r="G461" s="5">
        <v>5</v>
      </c>
      <c r="H461">
        <v>360.34</v>
      </c>
      <c r="I461" t="s">
        <v>78</v>
      </c>
      <c r="J461" t="s">
        <v>58</v>
      </c>
      <c r="K461" s="7">
        <v>0</v>
      </c>
      <c r="L461" t="s">
        <v>21</v>
      </c>
      <c r="M461" s="5">
        <v>1801.7</v>
      </c>
      <c r="N461" t="s">
        <v>66</v>
      </c>
      <c r="P461" s="5">
        <v>0</v>
      </c>
      <c r="Q461" t="s">
        <v>981</v>
      </c>
      <c r="R461" t="s">
        <v>982</v>
      </c>
      <c r="S461" s="5">
        <v>33.76</v>
      </c>
      <c r="T461" s="3">
        <v>45100</v>
      </c>
      <c r="U461" s="3">
        <v>45105</v>
      </c>
      <c r="V461" t="s">
        <v>74</v>
      </c>
      <c r="W461">
        <f t="shared" si="37"/>
        <v>1801.7</v>
      </c>
      <c r="X461">
        <f t="shared" si="38"/>
        <v>1801.6999999999998</v>
      </c>
      <c r="Y461">
        <f t="shared" si="39"/>
        <v>0</v>
      </c>
      <c r="Z461" s="8" t="str">
        <f t="shared" si="36"/>
        <v>No Discount</v>
      </c>
      <c r="AA461" s="12">
        <f>DATE(YEAR(Table1[[#This Row],[OrderDate]]),MONTH(Table1[[#This Row],[OrderDate]]),1)</f>
        <v>45078</v>
      </c>
    </row>
    <row r="462" spans="1:27" x14ac:dyDescent="0.3">
      <c r="A462" s="3">
        <v>45556</v>
      </c>
      <c r="B462" t="s">
        <v>13</v>
      </c>
      <c r="C462" t="s">
        <v>31</v>
      </c>
      <c r="D462" t="str">
        <f>TRIM(Table1[[#This Row],[Product]])</f>
        <v>Laptop</v>
      </c>
      <c r="E462" t="str">
        <f>PROPER(Table1[[#This Row],[Column1]])</f>
        <v>Laptop</v>
      </c>
      <c r="F462" s="8" t="str">
        <f t="shared" si="35"/>
        <v>Technology</v>
      </c>
      <c r="G462" s="5">
        <v>20</v>
      </c>
      <c r="H462">
        <v>296.8</v>
      </c>
      <c r="I462" t="s">
        <v>64</v>
      </c>
      <c r="J462" t="s">
        <v>65</v>
      </c>
      <c r="K462" s="7">
        <v>0.1</v>
      </c>
      <c r="L462" t="s">
        <v>27</v>
      </c>
      <c r="M462" s="5">
        <v>5342.4000000000005</v>
      </c>
      <c r="N462" t="s">
        <v>66</v>
      </c>
      <c r="P462" s="5">
        <v>0</v>
      </c>
      <c r="Q462" t="s">
        <v>983</v>
      </c>
      <c r="R462" t="s">
        <v>984</v>
      </c>
      <c r="S462" s="5">
        <v>19.57</v>
      </c>
      <c r="T462" s="3">
        <v>45556</v>
      </c>
      <c r="U462" s="3">
        <v>45563</v>
      </c>
      <c r="V462" t="s">
        <v>70</v>
      </c>
      <c r="W462">
        <f t="shared" si="37"/>
        <v>4808.1600000000008</v>
      </c>
      <c r="X462">
        <f t="shared" si="38"/>
        <v>5936</v>
      </c>
      <c r="Y462">
        <f t="shared" si="39"/>
        <v>1127.8399999999992</v>
      </c>
      <c r="Z462" s="8" t="str">
        <f t="shared" si="36"/>
        <v>Medium</v>
      </c>
      <c r="AA462" s="12">
        <f>DATE(YEAR(Table1[[#This Row],[OrderDate]]),MONTH(Table1[[#This Row],[OrderDate]]),1)</f>
        <v>45536</v>
      </c>
    </row>
    <row r="463" spans="1:27" x14ac:dyDescent="0.3">
      <c r="A463" s="3">
        <v>45292</v>
      </c>
      <c r="B463" t="s">
        <v>13</v>
      </c>
      <c r="C463" t="s">
        <v>30</v>
      </c>
      <c r="D463" t="str">
        <f>TRIM(Table1[[#This Row],[Product]])</f>
        <v>Desk</v>
      </c>
      <c r="E463" t="str">
        <f>PROPER(Table1[[#This Row],[Column1]])</f>
        <v>Desk</v>
      </c>
      <c r="F463" s="8" t="str">
        <f t="shared" si="35"/>
        <v>Furniture</v>
      </c>
      <c r="G463" s="5">
        <v>3</v>
      </c>
      <c r="H463">
        <v>599.41999999999996</v>
      </c>
      <c r="I463" t="s">
        <v>64</v>
      </c>
      <c r="J463" t="s">
        <v>58</v>
      </c>
      <c r="K463" s="7">
        <v>0.1</v>
      </c>
      <c r="L463" t="s">
        <v>19</v>
      </c>
      <c r="M463" s="5">
        <v>1618.434</v>
      </c>
      <c r="N463" t="s">
        <v>59</v>
      </c>
      <c r="O463" t="s">
        <v>67</v>
      </c>
      <c r="P463" s="5">
        <v>0</v>
      </c>
      <c r="Q463" t="s">
        <v>985</v>
      </c>
      <c r="R463" t="s">
        <v>986</v>
      </c>
      <c r="S463" s="5">
        <v>48.02</v>
      </c>
      <c r="T463" s="3">
        <v>45292</v>
      </c>
      <c r="U463" s="3">
        <v>45294</v>
      </c>
      <c r="V463" t="s">
        <v>70</v>
      </c>
      <c r="W463">
        <f t="shared" si="37"/>
        <v>1456.5906</v>
      </c>
      <c r="X463">
        <f t="shared" si="38"/>
        <v>1798.2599999999998</v>
      </c>
      <c r="Y463">
        <f t="shared" si="39"/>
        <v>341.66939999999977</v>
      </c>
      <c r="Z463" s="8" t="str">
        <f t="shared" si="36"/>
        <v>Medium</v>
      </c>
      <c r="AA463" s="12">
        <f>DATE(YEAR(Table1[[#This Row],[OrderDate]]),MONTH(Table1[[#This Row],[OrderDate]]),1)</f>
        <v>45292</v>
      </c>
    </row>
    <row r="464" spans="1:27" x14ac:dyDescent="0.3">
      <c r="A464" s="3">
        <v>45659</v>
      </c>
      <c r="B464" t="s">
        <v>16</v>
      </c>
      <c r="C464" t="s">
        <v>31</v>
      </c>
      <c r="D464" t="str">
        <f>TRIM(Table1[[#This Row],[Product]])</f>
        <v>Laptop</v>
      </c>
      <c r="E464" t="str">
        <f>PROPER(Table1[[#This Row],[Column1]])</f>
        <v>Laptop</v>
      </c>
      <c r="F464" s="8" t="str">
        <f t="shared" si="35"/>
        <v>Technology</v>
      </c>
      <c r="G464" s="5">
        <v>1</v>
      </c>
      <c r="H464">
        <v>374.33</v>
      </c>
      <c r="I464" t="s">
        <v>57</v>
      </c>
      <c r="J464" t="s">
        <v>58</v>
      </c>
      <c r="K464" s="7">
        <v>0</v>
      </c>
      <c r="L464" t="s">
        <v>21</v>
      </c>
      <c r="M464" s="5">
        <v>374.33</v>
      </c>
      <c r="N464" t="s">
        <v>82</v>
      </c>
      <c r="O464" t="s">
        <v>60</v>
      </c>
      <c r="P464" s="5">
        <v>0</v>
      </c>
      <c r="Q464" t="s">
        <v>987</v>
      </c>
      <c r="R464" t="s">
        <v>988</v>
      </c>
      <c r="S464" s="5">
        <v>33.31</v>
      </c>
      <c r="T464" s="3">
        <v>45659</v>
      </c>
      <c r="U464" s="3">
        <v>45669</v>
      </c>
      <c r="V464" t="s">
        <v>95</v>
      </c>
      <c r="W464">
        <f t="shared" si="37"/>
        <v>374.33</v>
      </c>
      <c r="X464">
        <f t="shared" si="38"/>
        <v>374.33</v>
      </c>
      <c r="Y464">
        <f t="shared" si="39"/>
        <v>0</v>
      </c>
      <c r="Z464" s="8" t="str">
        <f t="shared" si="36"/>
        <v>No Discount</v>
      </c>
      <c r="AA464" s="12">
        <f>DATE(YEAR(Table1[[#This Row],[OrderDate]]),MONTH(Table1[[#This Row],[OrderDate]]),1)</f>
        <v>45658</v>
      </c>
    </row>
    <row r="465" spans="1:27" x14ac:dyDescent="0.3">
      <c r="A465" s="3">
        <v>45365</v>
      </c>
      <c r="B465" t="s">
        <v>11</v>
      </c>
      <c r="C465" t="s">
        <v>30</v>
      </c>
      <c r="D465" t="str">
        <f>TRIM(Table1[[#This Row],[Product]])</f>
        <v>Desk</v>
      </c>
      <c r="E465" t="str">
        <f>PROPER(Table1[[#This Row],[Column1]])</f>
        <v>Desk</v>
      </c>
      <c r="F465" s="8" t="str">
        <f t="shared" si="35"/>
        <v>Furniture</v>
      </c>
      <c r="G465" s="5">
        <v>13</v>
      </c>
      <c r="H465">
        <v>588.79999999999995</v>
      </c>
      <c r="I465" t="s">
        <v>81</v>
      </c>
      <c r="J465" t="s">
        <v>58</v>
      </c>
      <c r="K465" s="7">
        <v>0.15</v>
      </c>
      <c r="L465" t="s">
        <v>27</v>
      </c>
      <c r="M465" s="5">
        <v>6506.24</v>
      </c>
      <c r="N465" t="s">
        <v>88</v>
      </c>
      <c r="O465" t="s">
        <v>67</v>
      </c>
      <c r="P465" s="5">
        <v>0</v>
      </c>
      <c r="Q465" t="s">
        <v>989</v>
      </c>
      <c r="R465" t="s">
        <v>990</v>
      </c>
      <c r="S465" s="5">
        <v>45.03</v>
      </c>
      <c r="T465" s="3">
        <v>45365</v>
      </c>
      <c r="U465" s="3">
        <v>45372</v>
      </c>
      <c r="V465" t="s">
        <v>74</v>
      </c>
      <c r="W465">
        <f t="shared" si="37"/>
        <v>5530.3040000000001</v>
      </c>
      <c r="X465">
        <f t="shared" si="38"/>
        <v>7654.4</v>
      </c>
      <c r="Y465">
        <f t="shared" si="39"/>
        <v>2124.0959999999995</v>
      </c>
      <c r="Z465" s="8" t="str">
        <f t="shared" si="36"/>
        <v>High</v>
      </c>
      <c r="AA465" s="12">
        <f>DATE(YEAR(Table1[[#This Row],[OrderDate]]),MONTH(Table1[[#This Row],[OrderDate]]),1)</f>
        <v>45352</v>
      </c>
    </row>
    <row r="466" spans="1:27" x14ac:dyDescent="0.3">
      <c r="A466" s="3">
        <v>45416</v>
      </c>
      <c r="B466" t="s">
        <v>16</v>
      </c>
      <c r="C466" t="s">
        <v>32</v>
      </c>
      <c r="D466" t="str">
        <f>TRIM(Table1[[#This Row],[Product]])</f>
        <v>Monitor</v>
      </c>
      <c r="E466" t="str">
        <f>PROPER(Table1[[#This Row],[Column1]])</f>
        <v>Monitor</v>
      </c>
      <c r="F466" s="8" t="str">
        <f t="shared" si="35"/>
        <v>Technology</v>
      </c>
      <c r="G466" s="5">
        <v>13</v>
      </c>
      <c r="H466">
        <v>198.44</v>
      </c>
      <c r="I466" t="s">
        <v>81</v>
      </c>
      <c r="J466" t="s">
        <v>58</v>
      </c>
      <c r="K466" s="7">
        <v>0</v>
      </c>
      <c r="L466" t="s">
        <v>21</v>
      </c>
      <c r="M466" s="5">
        <v>2579.7199999999998</v>
      </c>
      <c r="N466" t="s">
        <v>88</v>
      </c>
      <c r="O466" t="s">
        <v>67</v>
      </c>
      <c r="P466" s="5">
        <v>1</v>
      </c>
      <c r="Q466" t="s">
        <v>991</v>
      </c>
      <c r="R466" t="s">
        <v>992</v>
      </c>
      <c r="S466" s="5">
        <v>31.51</v>
      </c>
      <c r="T466" s="3">
        <v>45416</v>
      </c>
      <c r="U466" s="3">
        <v>45421</v>
      </c>
      <c r="V466" t="s">
        <v>95</v>
      </c>
      <c r="W466">
        <f t="shared" si="37"/>
        <v>2579.7199999999998</v>
      </c>
      <c r="X466">
        <f t="shared" si="38"/>
        <v>2579.7199999999998</v>
      </c>
      <c r="Y466">
        <f t="shared" si="39"/>
        <v>0</v>
      </c>
      <c r="Z466" s="8" t="str">
        <f t="shared" si="36"/>
        <v>No Discount</v>
      </c>
      <c r="AA466" s="12">
        <f>DATE(YEAR(Table1[[#This Row],[OrderDate]]),MONTH(Table1[[#This Row],[OrderDate]]),1)</f>
        <v>45413</v>
      </c>
    </row>
    <row r="467" spans="1:27" x14ac:dyDescent="0.3">
      <c r="A467" s="3">
        <v>45715</v>
      </c>
      <c r="B467" t="s">
        <v>13</v>
      </c>
      <c r="C467" t="s">
        <v>34</v>
      </c>
      <c r="D467" t="str">
        <f>TRIM(Table1[[#This Row],[Product]])</f>
        <v>Printer</v>
      </c>
      <c r="E467" t="str">
        <f>PROPER(Table1[[#This Row],[Column1]])</f>
        <v>Printer</v>
      </c>
      <c r="F467" s="8" t="str">
        <f t="shared" si="35"/>
        <v>Office Supplies</v>
      </c>
      <c r="G467" s="5">
        <v>12</v>
      </c>
      <c r="H467">
        <v>384.2</v>
      </c>
      <c r="I467" t="s">
        <v>64</v>
      </c>
      <c r="J467" t="s">
        <v>65</v>
      </c>
      <c r="K467" s="7">
        <v>0</v>
      </c>
      <c r="L467" t="s">
        <v>25</v>
      </c>
      <c r="M467" s="5">
        <v>4610.3999999999996</v>
      </c>
      <c r="N467" t="s">
        <v>88</v>
      </c>
      <c r="O467" t="s">
        <v>60</v>
      </c>
      <c r="P467" s="5">
        <v>0</v>
      </c>
      <c r="Q467" t="s">
        <v>993</v>
      </c>
      <c r="R467" t="s">
        <v>687</v>
      </c>
      <c r="S467" s="5">
        <v>38.99</v>
      </c>
      <c r="T467" s="3">
        <v>45715</v>
      </c>
      <c r="U467" s="3">
        <v>45718</v>
      </c>
      <c r="V467" t="s">
        <v>70</v>
      </c>
      <c r="W467">
        <f t="shared" si="37"/>
        <v>4610.3999999999996</v>
      </c>
      <c r="X467">
        <f t="shared" si="38"/>
        <v>4610.3999999999996</v>
      </c>
      <c r="Y467">
        <f t="shared" si="39"/>
        <v>0</v>
      </c>
      <c r="Z467" s="8" t="str">
        <f t="shared" si="36"/>
        <v>No Discount</v>
      </c>
      <c r="AA467" s="12">
        <f>DATE(YEAR(Table1[[#This Row],[OrderDate]]),MONTH(Table1[[#This Row],[OrderDate]]),1)</f>
        <v>45689</v>
      </c>
    </row>
    <row r="468" spans="1:27" x14ac:dyDescent="0.3">
      <c r="A468" s="3">
        <v>45609</v>
      </c>
      <c r="B468" t="s">
        <v>7</v>
      </c>
      <c r="C468" t="s">
        <v>33</v>
      </c>
      <c r="D468" t="str">
        <f>TRIM(Table1[[#This Row],[Product]])</f>
        <v>Phone</v>
      </c>
      <c r="E468" t="str">
        <f>PROPER(Table1[[#This Row],[Column1]])</f>
        <v>Phone</v>
      </c>
      <c r="F468" s="8" t="str">
        <f t="shared" si="35"/>
        <v>Technology</v>
      </c>
      <c r="G468" s="5">
        <v>4</v>
      </c>
      <c r="H468">
        <v>475.49</v>
      </c>
      <c r="I468" t="s">
        <v>57</v>
      </c>
      <c r="J468" t="s">
        <v>58</v>
      </c>
      <c r="K468" s="7">
        <v>0.15</v>
      </c>
      <c r="L468" t="s">
        <v>27</v>
      </c>
      <c r="M468" s="5">
        <v>1616.6659999999999</v>
      </c>
      <c r="N468" t="s">
        <v>88</v>
      </c>
      <c r="O468" t="s">
        <v>71</v>
      </c>
      <c r="P468" s="5">
        <v>0</v>
      </c>
      <c r="Q468" t="s">
        <v>994</v>
      </c>
      <c r="R468" t="s">
        <v>995</v>
      </c>
      <c r="S468" s="5">
        <v>11.6</v>
      </c>
      <c r="T468" s="3">
        <v>45609</v>
      </c>
      <c r="U468" s="3">
        <v>45613</v>
      </c>
      <c r="V468" t="s">
        <v>77</v>
      </c>
      <c r="W468">
        <f t="shared" si="37"/>
        <v>1374.1660999999999</v>
      </c>
      <c r="X468">
        <f t="shared" si="38"/>
        <v>1901.96</v>
      </c>
      <c r="Y468">
        <f t="shared" si="39"/>
        <v>527.79390000000012</v>
      </c>
      <c r="Z468" s="8" t="str">
        <f t="shared" si="36"/>
        <v>High</v>
      </c>
      <c r="AA468" s="12">
        <f>DATE(YEAR(Table1[[#This Row],[OrderDate]]),MONTH(Table1[[#This Row],[OrderDate]]),1)</f>
        <v>45597</v>
      </c>
    </row>
    <row r="469" spans="1:27" x14ac:dyDescent="0.3">
      <c r="A469" s="3">
        <v>45230</v>
      </c>
      <c r="B469" t="s">
        <v>16</v>
      </c>
      <c r="C469" t="s">
        <v>34</v>
      </c>
      <c r="D469" t="str">
        <f>TRIM(Table1[[#This Row],[Product]])</f>
        <v>Printer</v>
      </c>
      <c r="E469" t="str">
        <f>PROPER(Table1[[#This Row],[Column1]])</f>
        <v>Printer</v>
      </c>
      <c r="F469" s="8" t="str">
        <f t="shared" si="35"/>
        <v>Office Supplies</v>
      </c>
      <c r="G469" s="5">
        <v>6</v>
      </c>
      <c r="H469">
        <v>202.97</v>
      </c>
      <c r="I469" t="s">
        <v>78</v>
      </c>
      <c r="J469" t="s">
        <v>65</v>
      </c>
      <c r="K469" s="7">
        <v>0.1</v>
      </c>
      <c r="L469" t="s">
        <v>25</v>
      </c>
      <c r="M469" s="5">
        <v>1096.038</v>
      </c>
      <c r="N469" t="s">
        <v>66</v>
      </c>
      <c r="O469" t="s">
        <v>71</v>
      </c>
      <c r="P469" s="5">
        <v>0</v>
      </c>
      <c r="Q469" t="s">
        <v>996</v>
      </c>
      <c r="R469" t="s">
        <v>997</v>
      </c>
      <c r="S469" s="5">
        <v>43.55</v>
      </c>
      <c r="T469" s="3">
        <v>45230</v>
      </c>
      <c r="U469" s="3">
        <v>45240</v>
      </c>
      <c r="V469" t="s">
        <v>95</v>
      </c>
      <c r="W469">
        <f t="shared" si="37"/>
        <v>986.43420000000003</v>
      </c>
      <c r="X469">
        <f t="shared" si="38"/>
        <v>1217.82</v>
      </c>
      <c r="Y469">
        <f t="shared" si="39"/>
        <v>231.3857999999999</v>
      </c>
      <c r="Z469" s="8" t="str">
        <f t="shared" si="36"/>
        <v>Medium</v>
      </c>
      <c r="AA469" s="12">
        <f>DATE(YEAR(Table1[[#This Row],[OrderDate]]),MONTH(Table1[[#This Row],[OrderDate]]),1)</f>
        <v>45200</v>
      </c>
    </row>
    <row r="470" spans="1:27" x14ac:dyDescent="0.3">
      <c r="A470" s="3">
        <v>45279</v>
      </c>
      <c r="B470" t="s">
        <v>7</v>
      </c>
      <c r="C470" t="s">
        <v>35</v>
      </c>
      <c r="D470" t="str">
        <f>TRIM(Table1[[#This Row],[Product]])</f>
        <v>Tablet</v>
      </c>
      <c r="E470" t="str">
        <f>PROPER(Table1[[#This Row],[Column1]])</f>
        <v>Tablet</v>
      </c>
      <c r="F470" s="8" t="str">
        <f t="shared" si="35"/>
        <v>Technology</v>
      </c>
      <c r="G470" s="5">
        <v>18</v>
      </c>
      <c r="H470">
        <v>135.22999999999999</v>
      </c>
      <c r="I470" t="s">
        <v>78</v>
      </c>
      <c r="J470" t="s">
        <v>58</v>
      </c>
      <c r="K470" s="7">
        <v>0</v>
      </c>
      <c r="L470" t="s">
        <v>23</v>
      </c>
      <c r="M470" s="5">
        <v>2434.14</v>
      </c>
      <c r="N470" t="s">
        <v>59</v>
      </c>
      <c r="O470" t="s">
        <v>71</v>
      </c>
      <c r="P470" s="5">
        <v>1</v>
      </c>
      <c r="Q470" t="s">
        <v>998</v>
      </c>
      <c r="R470" t="s">
        <v>999</v>
      </c>
      <c r="S470" s="5">
        <v>46.1</v>
      </c>
      <c r="T470" s="3">
        <v>45279</v>
      </c>
      <c r="U470" s="3">
        <v>45284</v>
      </c>
      <c r="V470" t="s">
        <v>77</v>
      </c>
      <c r="W470">
        <f t="shared" si="37"/>
        <v>2434.14</v>
      </c>
      <c r="X470">
        <f t="shared" si="38"/>
        <v>2434.14</v>
      </c>
      <c r="Y470">
        <f t="shared" si="39"/>
        <v>0</v>
      </c>
      <c r="Z470" s="8" t="str">
        <f t="shared" si="36"/>
        <v>No Discount</v>
      </c>
      <c r="AA470" s="12">
        <f>DATE(YEAR(Table1[[#This Row],[OrderDate]]),MONTH(Table1[[#This Row],[OrderDate]]),1)</f>
        <v>45261</v>
      </c>
    </row>
    <row r="471" spans="1:27" x14ac:dyDescent="0.3">
      <c r="A471" s="3">
        <v>45257</v>
      </c>
      <c r="B471" t="s">
        <v>13</v>
      </c>
      <c r="C471" t="s">
        <v>35</v>
      </c>
      <c r="D471" t="str">
        <f>TRIM(Table1[[#This Row],[Product]])</f>
        <v>Tablet</v>
      </c>
      <c r="E471" t="str">
        <f>PROPER(Table1[[#This Row],[Column1]])</f>
        <v>Tablet</v>
      </c>
      <c r="F471" s="8" t="str">
        <f t="shared" si="35"/>
        <v>Technology</v>
      </c>
      <c r="G471" s="5">
        <v>20</v>
      </c>
      <c r="H471">
        <v>356.4</v>
      </c>
      <c r="I471" t="s">
        <v>78</v>
      </c>
      <c r="J471" t="s">
        <v>58</v>
      </c>
      <c r="K471" s="7">
        <v>0.05</v>
      </c>
      <c r="L471" t="s">
        <v>23</v>
      </c>
      <c r="M471" s="5">
        <v>6771.5999999999995</v>
      </c>
      <c r="N471" t="s">
        <v>88</v>
      </c>
      <c r="O471" t="s">
        <v>60</v>
      </c>
      <c r="P471" s="5">
        <v>1</v>
      </c>
      <c r="Q471" t="s">
        <v>1000</v>
      </c>
      <c r="R471" t="s">
        <v>1001</v>
      </c>
      <c r="S471" s="5">
        <v>26.7</v>
      </c>
      <c r="T471" s="3">
        <v>45257</v>
      </c>
      <c r="U471" s="3">
        <v>45263</v>
      </c>
      <c r="V471" t="s">
        <v>70</v>
      </c>
      <c r="W471">
        <f t="shared" si="37"/>
        <v>6433.0199999999995</v>
      </c>
      <c r="X471">
        <f t="shared" si="38"/>
        <v>7128</v>
      </c>
      <c r="Y471">
        <f t="shared" si="39"/>
        <v>694.98000000000047</v>
      </c>
      <c r="Z471" s="8" t="str">
        <f t="shared" si="36"/>
        <v>Medium</v>
      </c>
      <c r="AA471" s="12">
        <f>DATE(YEAR(Table1[[#This Row],[OrderDate]]),MONTH(Table1[[#This Row],[OrderDate]]),1)</f>
        <v>45231</v>
      </c>
    </row>
    <row r="472" spans="1:27" x14ac:dyDescent="0.3">
      <c r="A472" s="3">
        <v>45153</v>
      </c>
      <c r="B472" t="s">
        <v>9</v>
      </c>
      <c r="C472" t="s">
        <v>31</v>
      </c>
      <c r="D472" t="str">
        <f>TRIM(Table1[[#This Row],[Product]])</f>
        <v>Laptop</v>
      </c>
      <c r="E472" t="str">
        <f>PROPER(Table1[[#This Row],[Column1]])</f>
        <v>Laptop</v>
      </c>
      <c r="F472" s="8" t="str">
        <f t="shared" si="35"/>
        <v>Technology</v>
      </c>
      <c r="G472" s="5">
        <v>3</v>
      </c>
      <c r="H472">
        <v>294.72000000000003</v>
      </c>
      <c r="I472" t="s">
        <v>78</v>
      </c>
      <c r="J472" t="s">
        <v>58</v>
      </c>
      <c r="K472" s="7">
        <v>0.05</v>
      </c>
      <c r="L472" t="s">
        <v>18</v>
      </c>
      <c r="M472" s="5">
        <v>839.952</v>
      </c>
      <c r="N472" t="s">
        <v>88</v>
      </c>
      <c r="O472" t="s">
        <v>67</v>
      </c>
      <c r="P472" s="5">
        <v>0</v>
      </c>
      <c r="Q472" t="s">
        <v>1002</v>
      </c>
      <c r="R472" t="s">
        <v>1003</v>
      </c>
      <c r="S472" s="5">
        <v>45.33</v>
      </c>
      <c r="T472" s="3">
        <v>45153</v>
      </c>
      <c r="U472" s="3">
        <v>45156</v>
      </c>
      <c r="V472" t="s">
        <v>63</v>
      </c>
      <c r="W472">
        <f t="shared" si="37"/>
        <v>797.95439999999996</v>
      </c>
      <c r="X472">
        <f t="shared" si="38"/>
        <v>884.16000000000008</v>
      </c>
      <c r="Y472">
        <f t="shared" si="39"/>
        <v>86.205600000000118</v>
      </c>
      <c r="Z472" s="8" t="str">
        <f t="shared" si="36"/>
        <v>Medium</v>
      </c>
      <c r="AA472" s="12">
        <f>DATE(YEAR(Table1[[#This Row],[OrderDate]]),MONTH(Table1[[#This Row],[OrderDate]]),1)</f>
        <v>45139</v>
      </c>
    </row>
    <row r="473" spans="1:27" x14ac:dyDescent="0.3">
      <c r="A473" s="3">
        <v>44942</v>
      </c>
      <c r="B473" t="s">
        <v>16</v>
      </c>
      <c r="C473" t="s">
        <v>33</v>
      </c>
      <c r="D473" t="str">
        <f>TRIM(Table1[[#This Row],[Product]])</f>
        <v>Phone</v>
      </c>
      <c r="E473" t="str">
        <f>PROPER(Table1[[#This Row],[Column1]])</f>
        <v>Phone</v>
      </c>
      <c r="F473" s="8" t="str">
        <f t="shared" si="35"/>
        <v>Technology</v>
      </c>
      <c r="G473" s="5">
        <v>20</v>
      </c>
      <c r="H473">
        <v>553.85</v>
      </c>
      <c r="I473" t="s">
        <v>64</v>
      </c>
      <c r="J473" t="s">
        <v>65</v>
      </c>
      <c r="K473" s="7">
        <v>0</v>
      </c>
      <c r="L473" t="s">
        <v>27</v>
      </c>
      <c r="M473" s="5">
        <v>11077</v>
      </c>
      <c r="N473" t="s">
        <v>88</v>
      </c>
      <c r="O473" t="s">
        <v>71</v>
      </c>
      <c r="P473" s="5">
        <v>0</v>
      </c>
      <c r="Q473" t="s">
        <v>1004</v>
      </c>
      <c r="R473" t="s">
        <v>1005</v>
      </c>
      <c r="S473" s="5">
        <v>33.21</v>
      </c>
      <c r="T473" s="3">
        <v>44942</v>
      </c>
      <c r="U473" s="3">
        <v>44950</v>
      </c>
      <c r="V473" t="s">
        <v>95</v>
      </c>
      <c r="W473">
        <f t="shared" si="37"/>
        <v>11077</v>
      </c>
      <c r="X473">
        <f t="shared" si="38"/>
        <v>11077</v>
      </c>
      <c r="Y473">
        <f t="shared" si="39"/>
        <v>0</v>
      </c>
      <c r="Z473" s="8" t="str">
        <f t="shared" si="36"/>
        <v>No Discount</v>
      </c>
      <c r="AA473" s="12">
        <f>DATE(YEAR(Table1[[#This Row],[OrderDate]]),MONTH(Table1[[#This Row],[OrderDate]]),1)</f>
        <v>44927</v>
      </c>
    </row>
    <row r="474" spans="1:27" x14ac:dyDescent="0.3">
      <c r="A474" s="3">
        <v>45716</v>
      </c>
      <c r="B474" t="s">
        <v>7</v>
      </c>
      <c r="C474" t="s">
        <v>35</v>
      </c>
      <c r="D474" t="str">
        <f>TRIM(Table1[[#This Row],[Product]])</f>
        <v>Tablet</v>
      </c>
      <c r="E474" t="str">
        <f>PROPER(Table1[[#This Row],[Column1]])</f>
        <v>Tablet</v>
      </c>
      <c r="F474" s="8" t="str">
        <f t="shared" si="35"/>
        <v>Technology</v>
      </c>
      <c r="G474" s="5">
        <v>13</v>
      </c>
      <c r="H474">
        <v>81.17</v>
      </c>
      <c r="I474" t="s">
        <v>81</v>
      </c>
      <c r="J474" t="s">
        <v>65</v>
      </c>
      <c r="K474" s="7">
        <v>0.1</v>
      </c>
      <c r="L474" t="s">
        <v>27</v>
      </c>
      <c r="M474" s="5">
        <v>949.68900000000008</v>
      </c>
      <c r="N474" t="s">
        <v>88</v>
      </c>
      <c r="O474" t="s">
        <v>67</v>
      </c>
      <c r="P474" s="5">
        <v>1</v>
      </c>
      <c r="Q474" t="s">
        <v>1006</v>
      </c>
      <c r="R474" t="s">
        <v>1007</v>
      </c>
      <c r="S474" s="5">
        <v>48.21</v>
      </c>
      <c r="T474" s="3">
        <v>45716</v>
      </c>
      <c r="U474" s="3">
        <v>45724</v>
      </c>
      <c r="V474" t="s">
        <v>77</v>
      </c>
      <c r="W474">
        <f t="shared" si="37"/>
        <v>854.72010000000012</v>
      </c>
      <c r="X474">
        <f t="shared" si="38"/>
        <v>1055.21</v>
      </c>
      <c r="Y474">
        <f t="shared" si="39"/>
        <v>200.48989999999992</v>
      </c>
      <c r="Z474" s="8" t="str">
        <f t="shared" si="36"/>
        <v>Medium</v>
      </c>
      <c r="AA474" s="12">
        <f>DATE(YEAR(Table1[[#This Row],[OrderDate]]),MONTH(Table1[[#This Row],[OrderDate]]),1)</f>
        <v>45689</v>
      </c>
    </row>
    <row r="475" spans="1:27" x14ac:dyDescent="0.3">
      <c r="A475" s="3">
        <v>45258</v>
      </c>
      <c r="B475" t="s">
        <v>16</v>
      </c>
      <c r="C475" t="s">
        <v>33</v>
      </c>
      <c r="D475" t="str">
        <f>TRIM(Table1[[#This Row],[Product]])</f>
        <v>Phone</v>
      </c>
      <c r="E475" t="str">
        <f>PROPER(Table1[[#This Row],[Column1]])</f>
        <v>Phone</v>
      </c>
      <c r="F475" s="8" t="str">
        <f t="shared" si="35"/>
        <v>Technology</v>
      </c>
      <c r="G475" s="5">
        <v>2</v>
      </c>
      <c r="H475">
        <v>532.51</v>
      </c>
      <c r="I475" t="s">
        <v>57</v>
      </c>
      <c r="J475" t="s">
        <v>58</v>
      </c>
      <c r="K475" s="7">
        <v>0</v>
      </c>
      <c r="L475" t="s">
        <v>21</v>
      </c>
      <c r="M475" s="5">
        <v>1065.02</v>
      </c>
      <c r="N475" t="s">
        <v>82</v>
      </c>
      <c r="O475" t="s">
        <v>71</v>
      </c>
      <c r="P475" s="5">
        <v>1</v>
      </c>
      <c r="Q475" t="s">
        <v>1008</v>
      </c>
      <c r="R475" t="s">
        <v>1009</v>
      </c>
      <c r="S475" s="5">
        <v>49.67</v>
      </c>
      <c r="T475" s="3">
        <v>45258</v>
      </c>
      <c r="U475" s="3">
        <v>45261</v>
      </c>
      <c r="V475" t="s">
        <v>95</v>
      </c>
      <c r="W475">
        <f t="shared" si="37"/>
        <v>1065.02</v>
      </c>
      <c r="X475">
        <f t="shared" si="38"/>
        <v>1065.02</v>
      </c>
      <c r="Y475">
        <f t="shared" si="39"/>
        <v>0</v>
      </c>
      <c r="Z475" s="8" t="str">
        <f t="shared" si="36"/>
        <v>No Discount</v>
      </c>
      <c r="AA475" s="12">
        <f>DATE(YEAR(Table1[[#This Row],[OrderDate]]),MONTH(Table1[[#This Row],[OrderDate]]),1)</f>
        <v>45231</v>
      </c>
    </row>
    <row r="476" spans="1:27" x14ac:dyDescent="0.3">
      <c r="A476" s="3">
        <v>45264</v>
      </c>
      <c r="B476" t="s">
        <v>16</v>
      </c>
      <c r="C476" t="s">
        <v>34</v>
      </c>
      <c r="D476" t="str">
        <f>TRIM(Table1[[#This Row],[Product]])</f>
        <v>Printer</v>
      </c>
      <c r="E476" t="str">
        <f>PROPER(Table1[[#This Row],[Column1]])</f>
        <v>Printer</v>
      </c>
      <c r="F476" s="8" t="str">
        <f t="shared" si="35"/>
        <v>Office Supplies</v>
      </c>
      <c r="G476" s="5">
        <v>1</v>
      </c>
      <c r="H476">
        <v>268.19</v>
      </c>
      <c r="I476" t="s">
        <v>57</v>
      </c>
      <c r="J476" t="s">
        <v>58</v>
      </c>
      <c r="K476" s="7">
        <v>0.1</v>
      </c>
      <c r="L476" t="s">
        <v>21</v>
      </c>
      <c r="M476" s="5">
        <v>241.37100000000001</v>
      </c>
      <c r="N476" t="s">
        <v>66</v>
      </c>
      <c r="O476" t="s">
        <v>71</v>
      </c>
      <c r="P476" s="5">
        <v>0</v>
      </c>
      <c r="Q476" t="s">
        <v>1010</v>
      </c>
      <c r="R476" t="s">
        <v>1011</v>
      </c>
      <c r="S476" s="5">
        <v>9.48</v>
      </c>
      <c r="T476" s="3">
        <v>45264</v>
      </c>
      <c r="U476" s="3">
        <v>45273</v>
      </c>
      <c r="V476" t="s">
        <v>95</v>
      </c>
      <c r="W476">
        <f t="shared" si="37"/>
        <v>217.23390000000001</v>
      </c>
      <c r="X476">
        <f t="shared" si="38"/>
        <v>268.19</v>
      </c>
      <c r="Y476">
        <f t="shared" si="39"/>
        <v>50.956099999999992</v>
      </c>
      <c r="Z476" s="8" t="str">
        <f t="shared" si="36"/>
        <v>Medium</v>
      </c>
      <c r="AA476" s="12">
        <f>DATE(YEAR(Table1[[#This Row],[OrderDate]]),MONTH(Table1[[#This Row],[OrderDate]]),1)</f>
        <v>45261</v>
      </c>
    </row>
    <row r="477" spans="1:27" x14ac:dyDescent="0.3">
      <c r="A477" s="3">
        <v>45464</v>
      </c>
      <c r="B477" t="s">
        <v>13</v>
      </c>
      <c r="C477" t="s">
        <v>34</v>
      </c>
      <c r="D477" t="str">
        <f>TRIM(Table1[[#This Row],[Product]])</f>
        <v>Printer</v>
      </c>
      <c r="E477" t="str">
        <f>PROPER(Table1[[#This Row],[Column1]])</f>
        <v>Printer</v>
      </c>
      <c r="F477" s="8" t="str">
        <f t="shared" si="35"/>
        <v>Office Supplies</v>
      </c>
      <c r="G477" s="5">
        <v>17</v>
      </c>
      <c r="H477">
        <v>432.65</v>
      </c>
      <c r="I477" t="s">
        <v>64</v>
      </c>
      <c r="J477" t="s">
        <v>65</v>
      </c>
      <c r="K477" s="7">
        <v>0.15</v>
      </c>
      <c r="L477" t="s">
        <v>27</v>
      </c>
      <c r="M477" s="5">
        <v>6251.7924999999996</v>
      </c>
      <c r="N477" t="s">
        <v>88</v>
      </c>
      <c r="O477" t="s">
        <v>60</v>
      </c>
      <c r="P477" s="5">
        <v>0</v>
      </c>
      <c r="Q477" t="s">
        <v>1012</v>
      </c>
      <c r="R477" t="s">
        <v>1013</v>
      </c>
      <c r="S477" s="5">
        <v>18.850000000000001</v>
      </c>
      <c r="T477" s="3">
        <v>45464</v>
      </c>
      <c r="U477" s="3">
        <v>45472</v>
      </c>
      <c r="V477" t="s">
        <v>70</v>
      </c>
      <c r="W477">
        <f t="shared" si="37"/>
        <v>5314.0236249999998</v>
      </c>
      <c r="X477">
        <f t="shared" si="38"/>
        <v>7355.0499999999993</v>
      </c>
      <c r="Y477">
        <f t="shared" si="39"/>
        <v>2041.0263749999995</v>
      </c>
      <c r="Z477" s="8" t="str">
        <f t="shared" si="36"/>
        <v>High</v>
      </c>
      <c r="AA477" s="12">
        <f>DATE(YEAR(Table1[[#This Row],[OrderDate]]),MONTH(Table1[[#This Row],[OrderDate]]),1)</f>
        <v>45444</v>
      </c>
    </row>
    <row r="478" spans="1:27" x14ac:dyDescent="0.3">
      <c r="A478" s="3">
        <v>45733</v>
      </c>
      <c r="B478" t="s">
        <v>9</v>
      </c>
      <c r="C478" t="s">
        <v>30</v>
      </c>
      <c r="D478" t="str">
        <f>TRIM(Table1[[#This Row],[Product]])</f>
        <v>Desk</v>
      </c>
      <c r="E478" t="str">
        <f>PROPER(Table1[[#This Row],[Column1]])</f>
        <v>Desk</v>
      </c>
      <c r="F478" s="8" t="str">
        <f t="shared" si="35"/>
        <v>Furniture</v>
      </c>
      <c r="G478" s="5">
        <v>14</v>
      </c>
      <c r="H478">
        <v>123.04</v>
      </c>
      <c r="I478" t="s">
        <v>64</v>
      </c>
      <c r="J478" t="s">
        <v>58</v>
      </c>
      <c r="K478" s="7">
        <v>0.1</v>
      </c>
      <c r="L478" t="s">
        <v>23</v>
      </c>
      <c r="M478" s="5">
        <v>1550.3040000000001</v>
      </c>
      <c r="N478" t="s">
        <v>88</v>
      </c>
      <c r="O478" t="s">
        <v>71</v>
      </c>
      <c r="P478" s="5">
        <v>1</v>
      </c>
      <c r="Q478" t="s">
        <v>1014</v>
      </c>
      <c r="R478" t="s">
        <v>1015</v>
      </c>
      <c r="S478" s="5">
        <v>43.28</v>
      </c>
      <c r="T478" s="3">
        <v>45733</v>
      </c>
      <c r="U478" s="3">
        <v>45742</v>
      </c>
      <c r="V478" t="s">
        <v>63</v>
      </c>
      <c r="W478">
        <f t="shared" si="37"/>
        <v>1395.2736000000002</v>
      </c>
      <c r="X478">
        <f t="shared" si="38"/>
        <v>1722.5600000000002</v>
      </c>
      <c r="Y478">
        <f t="shared" si="39"/>
        <v>327.28639999999996</v>
      </c>
      <c r="Z478" s="8" t="str">
        <f t="shared" si="36"/>
        <v>Medium</v>
      </c>
      <c r="AA478" s="12">
        <f>DATE(YEAR(Table1[[#This Row],[OrderDate]]),MONTH(Table1[[#This Row],[OrderDate]]),1)</f>
        <v>45717</v>
      </c>
    </row>
    <row r="479" spans="1:27" x14ac:dyDescent="0.3">
      <c r="A479" s="3">
        <v>45155</v>
      </c>
      <c r="B479" t="s">
        <v>7</v>
      </c>
      <c r="C479" t="s">
        <v>30</v>
      </c>
      <c r="D479" t="str">
        <f>TRIM(Table1[[#This Row],[Product]])</f>
        <v>Desk</v>
      </c>
      <c r="E479" t="str">
        <f>PROPER(Table1[[#This Row],[Column1]])</f>
        <v>Desk</v>
      </c>
      <c r="F479" s="8" t="str">
        <f t="shared" si="35"/>
        <v>Furniture</v>
      </c>
      <c r="G479" s="5">
        <v>16</v>
      </c>
      <c r="H479">
        <v>454.54</v>
      </c>
      <c r="I479" t="s">
        <v>57</v>
      </c>
      <c r="J479" t="s">
        <v>65</v>
      </c>
      <c r="K479" s="7">
        <v>0.1</v>
      </c>
      <c r="L479" t="s">
        <v>19</v>
      </c>
      <c r="M479" s="5">
        <v>6545.3760000000002</v>
      </c>
      <c r="N479" t="s">
        <v>59</v>
      </c>
      <c r="O479" t="s">
        <v>60</v>
      </c>
      <c r="P479" s="5">
        <v>0</v>
      </c>
      <c r="Q479" t="s">
        <v>1016</v>
      </c>
      <c r="R479" t="s">
        <v>1017</v>
      </c>
      <c r="S479" s="5">
        <v>20.55</v>
      </c>
      <c r="T479" s="3">
        <v>45155</v>
      </c>
      <c r="U479" s="3">
        <v>45157</v>
      </c>
      <c r="V479" t="s">
        <v>77</v>
      </c>
      <c r="W479">
        <f t="shared" si="37"/>
        <v>5890.8384000000005</v>
      </c>
      <c r="X479">
        <f t="shared" si="38"/>
        <v>7272.64</v>
      </c>
      <c r="Y479">
        <f t="shared" si="39"/>
        <v>1381.8015999999998</v>
      </c>
      <c r="Z479" s="8" t="str">
        <f t="shared" si="36"/>
        <v>Medium</v>
      </c>
      <c r="AA479" s="12">
        <f>DATE(YEAR(Table1[[#This Row],[OrderDate]]),MONTH(Table1[[#This Row],[OrderDate]]),1)</f>
        <v>45139</v>
      </c>
    </row>
    <row r="480" spans="1:27" x14ac:dyDescent="0.3">
      <c r="A480" s="3">
        <v>45168</v>
      </c>
      <c r="B480" t="s">
        <v>7</v>
      </c>
      <c r="C480" t="s">
        <v>32</v>
      </c>
      <c r="D480" t="str">
        <f>TRIM(Table1[[#This Row],[Product]])</f>
        <v>Monitor</v>
      </c>
      <c r="E480" t="str">
        <f>PROPER(Table1[[#This Row],[Column1]])</f>
        <v>Monitor</v>
      </c>
      <c r="F480" s="8" t="str">
        <f t="shared" si="35"/>
        <v>Technology</v>
      </c>
      <c r="G480" s="5">
        <v>11</v>
      </c>
      <c r="H480">
        <v>414.58</v>
      </c>
      <c r="I480" t="s">
        <v>81</v>
      </c>
      <c r="J480" t="s">
        <v>58</v>
      </c>
      <c r="K480" s="7">
        <v>0.05</v>
      </c>
      <c r="L480" t="s">
        <v>23</v>
      </c>
      <c r="M480" s="5">
        <v>4332.3609999999999</v>
      </c>
      <c r="N480" t="s">
        <v>88</v>
      </c>
      <c r="O480" t="s">
        <v>71</v>
      </c>
      <c r="P480" s="5">
        <v>0</v>
      </c>
      <c r="Q480" t="s">
        <v>1018</v>
      </c>
      <c r="R480" t="s">
        <v>379</v>
      </c>
      <c r="S480" s="5">
        <v>25.33</v>
      </c>
      <c r="T480" s="3">
        <v>45168</v>
      </c>
      <c r="U480" s="3">
        <v>45174</v>
      </c>
      <c r="V480" t="s">
        <v>77</v>
      </c>
      <c r="W480">
        <f t="shared" si="37"/>
        <v>4115.7429499999998</v>
      </c>
      <c r="X480">
        <f t="shared" si="38"/>
        <v>4560.38</v>
      </c>
      <c r="Y480">
        <f t="shared" si="39"/>
        <v>444.63705000000027</v>
      </c>
      <c r="Z480" s="8" t="str">
        <f t="shared" si="36"/>
        <v>Medium</v>
      </c>
      <c r="AA480" s="12">
        <f>DATE(YEAR(Table1[[#This Row],[OrderDate]]),MONTH(Table1[[#This Row],[OrderDate]]),1)</f>
        <v>45139</v>
      </c>
    </row>
    <row r="481" spans="1:27" x14ac:dyDescent="0.3">
      <c r="A481" s="3">
        <v>45824</v>
      </c>
      <c r="B481" t="s">
        <v>9</v>
      </c>
      <c r="C481" t="s">
        <v>33</v>
      </c>
      <c r="D481" t="str">
        <f>TRIM(Table1[[#This Row],[Product]])</f>
        <v>Phone</v>
      </c>
      <c r="E481" t="str">
        <f>PROPER(Table1[[#This Row],[Column1]])</f>
        <v>Phone</v>
      </c>
      <c r="F481" s="8" t="str">
        <f t="shared" si="35"/>
        <v>Technology</v>
      </c>
      <c r="G481" s="5">
        <v>9</v>
      </c>
      <c r="H481">
        <v>352.91</v>
      </c>
      <c r="I481" t="s">
        <v>57</v>
      </c>
      <c r="J481" t="s">
        <v>58</v>
      </c>
      <c r="K481" s="7">
        <v>0.1</v>
      </c>
      <c r="L481" t="s">
        <v>19</v>
      </c>
      <c r="M481" s="5">
        <v>2858.5709999999999</v>
      </c>
      <c r="N481" t="s">
        <v>88</v>
      </c>
      <c r="O481" t="s">
        <v>60</v>
      </c>
      <c r="P481" s="5">
        <v>0</v>
      </c>
      <c r="Q481" t="s">
        <v>1019</v>
      </c>
      <c r="R481" t="s">
        <v>1020</v>
      </c>
      <c r="S481" s="5">
        <v>30.57</v>
      </c>
      <c r="T481" s="3">
        <v>45824</v>
      </c>
      <c r="U481" s="3">
        <v>45826</v>
      </c>
      <c r="V481" t="s">
        <v>63</v>
      </c>
      <c r="W481">
        <f t="shared" si="37"/>
        <v>2572.7139000000002</v>
      </c>
      <c r="X481">
        <f t="shared" si="38"/>
        <v>3176.19</v>
      </c>
      <c r="Y481">
        <f t="shared" si="39"/>
        <v>603.47609999999986</v>
      </c>
      <c r="Z481" s="8" t="str">
        <f t="shared" si="36"/>
        <v>Medium</v>
      </c>
      <c r="AA481" s="12">
        <f>DATE(YEAR(Table1[[#This Row],[OrderDate]]),MONTH(Table1[[#This Row],[OrderDate]]),1)</f>
        <v>45809</v>
      </c>
    </row>
    <row r="482" spans="1:27" x14ac:dyDescent="0.3">
      <c r="A482" s="3">
        <v>45106</v>
      </c>
      <c r="B482" t="s">
        <v>11</v>
      </c>
      <c r="C482" t="s">
        <v>29</v>
      </c>
      <c r="D482" t="str">
        <f>TRIM(Table1[[#This Row],[Product]])</f>
        <v>Chair</v>
      </c>
      <c r="E482" t="str">
        <f>PROPER(Table1[[#This Row],[Column1]])</f>
        <v>Chair</v>
      </c>
      <c r="F482" s="8" t="str">
        <f t="shared" si="35"/>
        <v>Furniture</v>
      </c>
      <c r="G482" s="5">
        <v>10</v>
      </c>
      <c r="H482">
        <v>126.46</v>
      </c>
      <c r="I482" t="s">
        <v>64</v>
      </c>
      <c r="J482" t="s">
        <v>65</v>
      </c>
      <c r="K482" s="7">
        <v>0.1</v>
      </c>
      <c r="L482" t="s">
        <v>25</v>
      </c>
      <c r="M482" s="5">
        <v>1138.1400000000001</v>
      </c>
      <c r="N482" t="s">
        <v>59</v>
      </c>
      <c r="O482" t="s">
        <v>71</v>
      </c>
      <c r="P482" s="5">
        <v>0</v>
      </c>
      <c r="Q482" t="s">
        <v>1021</v>
      </c>
      <c r="R482" t="s">
        <v>1022</v>
      </c>
      <c r="S482" s="5">
        <v>26.96</v>
      </c>
      <c r="T482" s="3">
        <v>45106</v>
      </c>
      <c r="U482" s="3">
        <v>45116</v>
      </c>
      <c r="V482" t="s">
        <v>74</v>
      </c>
      <c r="W482">
        <f t="shared" si="37"/>
        <v>1024.326</v>
      </c>
      <c r="X482">
        <f t="shared" si="38"/>
        <v>1264.5999999999999</v>
      </c>
      <c r="Y482">
        <f t="shared" si="39"/>
        <v>240.27399999999989</v>
      </c>
      <c r="Z482" s="8" t="str">
        <f t="shared" si="36"/>
        <v>Medium</v>
      </c>
      <c r="AA482" s="12">
        <f>DATE(YEAR(Table1[[#This Row],[OrderDate]]),MONTH(Table1[[#This Row],[OrderDate]]),1)</f>
        <v>45078</v>
      </c>
    </row>
    <row r="483" spans="1:27" x14ac:dyDescent="0.3">
      <c r="A483" s="3">
        <v>45151</v>
      </c>
      <c r="B483" t="s">
        <v>11</v>
      </c>
      <c r="C483" t="s">
        <v>32</v>
      </c>
      <c r="D483" t="str">
        <f>TRIM(Table1[[#This Row],[Product]])</f>
        <v>Monitor</v>
      </c>
      <c r="E483" t="str">
        <f>PROPER(Table1[[#This Row],[Column1]])</f>
        <v>Monitor</v>
      </c>
      <c r="F483" s="8" t="str">
        <f t="shared" si="35"/>
        <v>Technology</v>
      </c>
      <c r="G483" s="5">
        <v>7</v>
      </c>
      <c r="H483">
        <v>125.02</v>
      </c>
      <c r="I483" t="s">
        <v>81</v>
      </c>
      <c r="J483" t="s">
        <v>58</v>
      </c>
      <c r="K483" s="7">
        <v>0</v>
      </c>
      <c r="L483" t="s">
        <v>21</v>
      </c>
      <c r="M483" s="5">
        <v>875.14</v>
      </c>
      <c r="N483" t="s">
        <v>82</v>
      </c>
      <c r="O483" t="s">
        <v>60</v>
      </c>
      <c r="P483" s="5">
        <v>0</v>
      </c>
      <c r="Q483" t="s">
        <v>1023</v>
      </c>
      <c r="R483" t="s">
        <v>1024</v>
      </c>
      <c r="S483" s="5">
        <v>12.45</v>
      </c>
      <c r="T483" s="3">
        <v>45151</v>
      </c>
      <c r="U483" s="3">
        <v>45158</v>
      </c>
      <c r="V483" t="s">
        <v>74</v>
      </c>
      <c r="W483">
        <f t="shared" si="37"/>
        <v>875.14</v>
      </c>
      <c r="X483">
        <f t="shared" si="38"/>
        <v>875.14</v>
      </c>
      <c r="Y483">
        <f t="shared" si="39"/>
        <v>0</v>
      </c>
      <c r="Z483" s="8" t="str">
        <f t="shared" si="36"/>
        <v>No Discount</v>
      </c>
      <c r="AA483" s="12">
        <f>DATE(YEAR(Table1[[#This Row],[OrderDate]]),MONTH(Table1[[#This Row],[OrderDate]]),1)</f>
        <v>45139</v>
      </c>
    </row>
    <row r="484" spans="1:27" x14ac:dyDescent="0.3">
      <c r="A484" s="3">
        <v>45411</v>
      </c>
      <c r="B484" t="s">
        <v>16</v>
      </c>
      <c r="C484" t="s">
        <v>35</v>
      </c>
      <c r="D484" t="str">
        <f>TRIM(Table1[[#This Row],[Product]])</f>
        <v>Tablet</v>
      </c>
      <c r="E484" t="str">
        <f>PROPER(Table1[[#This Row],[Column1]])</f>
        <v>Tablet</v>
      </c>
      <c r="F484" s="8" t="str">
        <f t="shared" si="35"/>
        <v>Technology</v>
      </c>
      <c r="G484" s="5">
        <v>20</v>
      </c>
      <c r="H484">
        <v>367.24</v>
      </c>
      <c r="I484" t="s">
        <v>64</v>
      </c>
      <c r="J484" t="s">
        <v>58</v>
      </c>
      <c r="K484" s="7">
        <v>0.05</v>
      </c>
      <c r="L484" t="s">
        <v>21</v>
      </c>
      <c r="M484" s="5">
        <v>6977.5599999999986</v>
      </c>
      <c r="N484" t="s">
        <v>66</v>
      </c>
      <c r="O484" t="s">
        <v>60</v>
      </c>
      <c r="P484" s="5">
        <v>0</v>
      </c>
      <c r="Q484" t="s">
        <v>1025</v>
      </c>
      <c r="R484" t="s">
        <v>1026</v>
      </c>
      <c r="S484" s="5">
        <v>45.67</v>
      </c>
      <c r="T484" s="3">
        <v>45411</v>
      </c>
      <c r="U484" s="3">
        <v>45419</v>
      </c>
      <c r="V484" t="s">
        <v>95</v>
      </c>
      <c r="W484">
        <f t="shared" si="37"/>
        <v>6628.681999999998</v>
      </c>
      <c r="X484">
        <f t="shared" si="38"/>
        <v>7344.8</v>
      </c>
      <c r="Y484">
        <f t="shared" si="39"/>
        <v>716.11800000000221</v>
      </c>
      <c r="Z484" s="8" t="str">
        <f t="shared" si="36"/>
        <v>Medium</v>
      </c>
      <c r="AA484" s="12">
        <f>DATE(YEAR(Table1[[#This Row],[OrderDate]]),MONTH(Table1[[#This Row],[OrderDate]]),1)</f>
        <v>45383</v>
      </c>
    </row>
    <row r="485" spans="1:27" x14ac:dyDescent="0.3">
      <c r="A485" s="3">
        <v>45122</v>
      </c>
      <c r="B485" t="s">
        <v>16</v>
      </c>
      <c r="C485" t="s">
        <v>32</v>
      </c>
      <c r="D485" t="str">
        <f>TRIM(Table1[[#This Row],[Product]])</f>
        <v>Monitor</v>
      </c>
      <c r="E485" t="str">
        <f>PROPER(Table1[[#This Row],[Column1]])</f>
        <v>Monitor</v>
      </c>
      <c r="F485" s="8" t="str">
        <f t="shared" si="35"/>
        <v>Technology</v>
      </c>
      <c r="G485" s="5">
        <v>8</v>
      </c>
      <c r="H485">
        <v>432.12</v>
      </c>
      <c r="I485" t="s">
        <v>57</v>
      </c>
      <c r="J485" t="s">
        <v>65</v>
      </c>
      <c r="K485" s="7">
        <v>0</v>
      </c>
      <c r="L485" t="s">
        <v>23</v>
      </c>
      <c r="M485" s="5">
        <v>3456.96</v>
      </c>
      <c r="N485" t="s">
        <v>82</v>
      </c>
      <c r="O485" t="s">
        <v>71</v>
      </c>
      <c r="P485" s="5">
        <v>0</v>
      </c>
      <c r="Q485" t="s">
        <v>1027</v>
      </c>
      <c r="R485" t="s">
        <v>1028</v>
      </c>
      <c r="S485" s="5">
        <v>42.1</v>
      </c>
      <c r="T485" s="3">
        <v>45122</v>
      </c>
      <c r="U485" s="3">
        <v>45132</v>
      </c>
      <c r="V485" t="s">
        <v>95</v>
      </c>
      <c r="W485">
        <f t="shared" si="37"/>
        <v>3456.96</v>
      </c>
      <c r="X485">
        <f t="shared" si="38"/>
        <v>3456.96</v>
      </c>
      <c r="Y485">
        <f t="shared" si="39"/>
        <v>0</v>
      </c>
      <c r="Z485" s="8" t="str">
        <f t="shared" si="36"/>
        <v>No Discount</v>
      </c>
      <c r="AA485" s="12">
        <f>DATE(YEAR(Table1[[#This Row],[OrderDate]]),MONTH(Table1[[#This Row],[OrderDate]]),1)</f>
        <v>45108</v>
      </c>
    </row>
    <row r="486" spans="1:27" x14ac:dyDescent="0.3">
      <c r="A486" s="3">
        <v>45674</v>
      </c>
      <c r="B486" t="s">
        <v>11</v>
      </c>
      <c r="C486" t="s">
        <v>35</v>
      </c>
      <c r="D486" t="str">
        <f>TRIM(Table1[[#This Row],[Product]])</f>
        <v>Tablet</v>
      </c>
      <c r="E486" t="str">
        <f>PROPER(Table1[[#This Row],[Column1]])</f>
        <v>Tablet</v>
      </c>
      <c r="F486" s="8" t="str">
        <f t="shared" si="35"/>
        <v>Technology</v>
      </c>
      <c r="G486" s="5">
        <v>3</v>
      </c>
      <c r="H486">
        <v>13.33</v>
      </c>
      <c r="I486" t="s">
        <v>81</v>
      </c>
      <c r="J486" t="s">
        <v>65</v>
      </c>
      <c r="K486" s="7">
        <v>0.1</v>
      </c>
      <c r="L486" t="s">
        <v>25</v>
      </c>
      <c r="M486" s="5">
        <v>35.991</v>
      </c>
      <c r="N486" t="s">
        <v>88</v>
      </c>
      <c r="O486" t="s">
        <v>67</v>
      </c>
      <c r="P486" s="5">
        <v>0</v>
      </c>
      <c r="Q486" t="s">
        <v>1029</v>
      </c>
      <c r="R486" t="s">
        <v>1030</v>
      </c>
      <c r="S486" s="5">
        <v>17.62</v>
      </c>
      <c r="T486" s="3">
        <v>45674</v>
      </c>
      <c r="U486" s="3">
        <v>45680</v>
      </c>
      <c r="V486" t="s">
        <v>74</v>
      </c>
      <c r="W486">
        <f t="shared" si="37"/>
        <v>32.3919</v>
      </c>
      <c r="X486">
        <f t="shared" si="38"/>
        <v>39.99</v>
      </c>
      <c r="Y486">
        <f t="shared" si="39"/>
        <v>7.5981000000000023</v>
      </c>
      <c r="Z486" s="8" t="str">
        <f t="shared" si="36"/>
        <v>Medium</v>
      </c>
      <c r="AA486" s="12">
        <f>DATE(YEAR(Table1[[#This Row],[OrderDate]]),MONTH(Table1[[#This Row],[OrderDate]]),1)</f>
        <v>45658</v>
      </c>
    </row>
    <row r="487" spans="1:27" x14ac:dyDescent="0.3">
      <c r="A487" s="3">
        <v>45709</v>
      </c>
      <c r="B487" t="s">
        <v>9</v>
      </c>
      <c r="C487" t="s">
        <v>34</v>
      </c>
      <c r="D487" t="str">
        <f>TRIM(Table1[[#This Row],[Product]])</f>
        <v>Printer</v>
      </c>
      <c r="E487" t="str">
        <f>PROPER(Table1[[#This Row],[Column1]])</f>
        <v>Printer</v>
      </c>
      <c r="F487" s="8" t="str">
        <f t="shared" si="35"/>
        <v>Office Supplies</v>
      </c>
      <c r="G487" s="5">
        <v>13</v>
      </c>
      <c r="H487">
        <v>105.93</v>
      </c>
      <c r="I487" t="s">
        <v>78</v>
      </c>
      <c r="J487" t="s">
        <v>65</v>
      </c>
      <c r="K487" s="7">
        <v>0</v>
      </c>
      <c r="L487" t="s">
        <v>19</v>
      </c>
      <c r="M487" s="5">
        <v>1377.09</v>
      </c>
      <c r="N487" t="s">
        <v>85</v>
      </c>
      <c r="O487" t="s">
        <v>60</v>
      </c>
      <c r="P487" s="5">
        <v>0</v>
      </c>
      <c r="Q487" t="s">
        <v>1031</v>
      </c>
      <c r="R487" t="s">
        <v>1032</v>
      </c>
      <c r="S487" s="5">
        <v>38.96</v>
      </c>
      <c r="T487" s="3">
        <v>45709</v>
      </c>
      <c r="U487" s="3">
        <v>45719</v>
      </c>
      <c r="V487" t="s">
        <v>63</v>
      </c>
      <c r="W487">
        <f t="shared" si="37"/>
        <v>1377.09</v>
      </c>
      <c r="X487">
        <f t="shared" si="38"/>
        <v>1377.0900000000001</v>
      </c>
      <c r="Y487">
        <f t="shared" si="39"/>
        <v>0</v>
      </c>
      <c r="Z487" s="8" t="str">
        <f t="shared" si="36"/>
        <v>No Discount</v>
      </c>
      <c r="AA487" s="12">
        <f>DATE(YEAR(Table1[[#This Row],[OrderDate]]),MONTH(Table1[[#This Row],[OrderDate]]),1)</f>
        <v>45689</v>
      </c>
    </row>
    <row r="488" spans="1:27" x14ac:dyDescent="0.3">
      <c r="A488" s="3">
        <v>45126</v>
      </c>
      <c r="B488" t="s">
        <v>16</v>
      </c>
      <c r="C488" t="s">
        <v>32</v>
      </c>
      <c r="D488" t="str">
        <f>TRIM(Table1[[#This Row],[Product]])</f>
        <v>Monitor</v>
      </c>
      <c r="E488" t="str">
        <f>PROPER(Table1[[#This Row],[Column1]])</f>
        <v>Monitor</v>
      </c>
      <c r="F488" s="8" t="str">
        <f t="shared" si="35"/>
        <v>Technology</v>
      </c>
      <c r="G488" s="5">
        <v>20</v>
      </c>
      <c r="H488">
        <v>526.54999999999995</v>
      </c>
      <c r="I488" t="s">
        <v>64</v>
      </c>
      <c r="J488" t="s">
        <v>58</v>
      </c>
      <c r="K488" s="7">
        <v>0</v>
      </c>
      <c r="L488" t="s">
        <v>18</v>
      </c>
      <c r="M488" s="5">
        <v>10531</v>
      </c>
      <c r="N488" t="s">
        <v>85</v>
      </c>
      <c r="O488" t="s">
        <v>60</v>
      </c>
      <c r="P488" s="5">
        <v>1</v>
      </c>
      <c r="Q488" t="s">
        <v>1033</v>
      </c>
      <c r="R488" t="s">
        <v>1034</v>
      </c>
      <c r="S488" s="5">
        <v>25.64</v>
      </c>
      <c r="T488" s="3">
        <v>45126</v>
      </c>
      <c r="U488" s="3">
        <v>45133</v>
      </c>
      <c r="V488" t="s">
        <v>95</v>
      </c>
      <c r="W488">
        <f t="shared" si="37"/>
        <v>10531</v>
      </c>
      <c r="X488">
        <f t="shared" si="38"/>
        <v>10531</v>
      </c>
      <c r="Y488">
        <f t="shared" si="39"/>
        <v>0</v>
      </c>
      <c r="Z488" s="8" t="str">
        <f t="shared" si="36"/>
        <v>No Discount</v>
      </c>
      <c r="AA488" s="12">
        <f>DATE(YEAR(Table1[[#This Row],[OrderDate]]),MONTH(Table1[[#This Row],[OrderDate]]),1)</f>
        <v>45108</v>
      </c>
    </row>
    <row r="489" spans="1:27" x14ac:dyDescent="0.3">
      <c r="A489" s="3">
        <v>45564</v>
      </c>
      <c r="B489" t="s">
        <v>16</v>
      </c>
      <c r="C489" t="s">
        <v>33</v>
      </c>
      <c r="D489" t="str">
        <f>TRIM(Table1[[#This Row],[Product]])</f>
        <v>Phone</v>
      </c>
      <c r="E489" t="str">
        <f>PROPER(Table1[[#This Row],[Column1]])</f>
        <v>Phone</v>
      </c>
      <c r="F489" s="8" t="str">
        <f t="shared" si="35"/>
        <v>Technology</v>
      </c>
      <c r="G489" s="5">
        <v>11</v>
      </c>
      <c r="H489">
        <v>339.78</v>
      </c>
      <c r="I489" t="s">
        <v>64</v>
      </c>
      <c r="J489" t="s">
        <v>65</v>
      </c>
      <c r="K489" s="7">
        <v>0.05</v>
      </c>
      <c r="L489" t="s">
        <v>23</v>
      </c>
      <c r="M489" s="5">
        <v>3550.701</v>
      </c>
      <c r="N489" t="s">
        <v>85</v>
      </c>
      <c r="O489" t="s">
        <v>71</v>
      </c>
      <c r="P489" s="5">
        <v>1</v>
      </c>
      <c r="Q489" t="s">
        <v>1035</v>
      </c>
      <c r="R489" t="s">
        <v>1036</v>
      </c>
      <c r="S489" s="5">
        <v>11.56</v>
      </c>
      <c r="T489" s="3">
        <v>45564</v>
      </c>
      <c r="U489" s="3">
        <v>45571</v>
      </c>
      <c r="V489" t="s">
        <v>95</v>
      </c>
      <c r="W489">
        <f t="shared" si="37"/>
        <v>3373.1659500000001</v>
      </c>
      <c r="X489">
        <f t="shared" si="38"/>
        <v>3737.58</v>
      </c>
      <c r="Y489">
        <f t="shared" si="39"/>
        <v>364.41404999999986</v>
      </c>
      <c r="Z489" s="8" t="str">
        <f t="shared" si="36"/>
        <v>Medium</v>
      </c>
      <c r="AA489" s="12">
        <f>DATE(YEAR(Table1[[#This Row],[OrderDate]]),MONTH(Table1[[#This Row],[OrderDate]]),1)</f>
        <v>45536</v>
      </c>
    </row>
    <row r="490" spans="1:27" x14ac:dyDescent="0.3">
      <c r="A490" s="3">
        <v>45582</v>
      </c>
      <c r="B490" t="s">
        <v>9</v>
      </c>
      <c r="C490" t="s">
        <v>31</v>
      </c>
      <c r="D490" t="str">
        <f>TRIM(Table1[[#This Row],[Product]])</f>
        <v>Laptop</v>
      </c>
      <c r="E490" t="str">
        <f>PROPER(Table1[[#This Row],[Column1]])</f>
        <v>Laptop</v>
      </c>
      <c r="F490" s="8" t="str">
        <f t="shared" si="35"/>
        <v>Technology</v>
      </c>
      <c r="G490" s="5">
        <v>10</v>
      </c>
      <c r="H490">
        <v>91.75</v>
      </c>
      <c r="I490" t="s">
        <v>81</v>
      </c>
      <c r="J490" t="s">
        <v>58</v>
      </c>
      <c r="K490" s="7">
        <v>0.15</v>
      </c>
      <c r="L490" t="s">
        <v>27</v>
      </c>
      <c r="M490" s="5">
        <v>779.875</v>
      </c>
      <c r="N490" t="s">
        <v>88</v>
      </c>
      <c r="O490" t="s">
        <v>71</v>
      </c>
      <c r="P490" s="5">
        <v>0</v>
      </c>
      <c r="Q490" t="s">
        <v>1037</v>
      </c>
      <c r="R490" t="s">
        <v>1038</v>
      </c>
      <c r="S490" s="5">
        <v>37.270000000000003</v>
      </c>
      <c r="T490" s="3">
        <v>45582</v>
      </c>
      <c r="U490" s="3">
        <v>45586</v>
      </c>
      <c r="V490" t="s">
        <v>63</v>
      </c>
      <c r="W490">
        <f t="shared" si="37"/>
        <v>662.89374999999995</v>
      </c>
      <c r="X490">
        <f t="shared" si="38"/>
        <v>917.5</v>
      </c>
      <c r="Y490">
        <f t="shared" si="39"/>
        <v>254.60625000000005</v>
      </c>
      <c r="Z490" s="8" t="str">
        <f t="shared" si="36"/>
        <v>High</v>
      </c>
      <c r="AA490" s="12">
        <f>DATE(YEAR(Table1[[#This Row],[OrderDate]]),MONTH(Table1[[#This Row],[OrderDate]]),1)</f>
        <v>45566</v>
      </c>
    </row>
    <row r="491" spans="1:27" x14ac:dyDescent="0.3">
      <c r="A491" s="3">
        <v>45819</v>
      </c>
      <c r="B491" t="s">
        <v>9</v>
      </c>
      <c r="C491" t="s">
        <v>33</v>
      </c>
      <c r="D491" t="str">
        <f>TRIM(Table1[[#This Row],[Product]])</f>
        <v>Phone</v>
      </c>
      <c r="E491" t="str">
        <f>PROPER(Table1[[#This Row],[Column1]])</f>
        <v>Phone</v>
      </c>
      <c r="F491" s="8" t="str">
        <f t="shared" si="35"/>
        <v>Technology</v>
      </c>
      <c r="G491" s="5">
        <v>15</v>
      </c>
      <c r="H491">
        <v>13.66</v>
      </c>
      <c r="I491" t="s">
        <v>57</v>
      </c>
      <c r="J491" t="s">
        <v>65</v>
      </c>
      <c r="K491" s="7">
        <v>0.1</v>
      </c>
      <c r="L491" t="s">
        <v>18</v>
      </c>
      <c r="M491" s="5">
        <v>184.41</v>
      </c>
      <c r="N491" t="s">
        <v>85</v>
      </c>
      <c r="O491" t="s">
        <v>60</v>
      </c>
      <c r="P491" s="5">
        <v>0</v>
      </c>
      <c r="Q491" t="s">
        <v>1039</v>
      </c>
      <c r="R491" t="s">
        <v>1040</v>
      </c>
      <c r="S491" s="5">
        <v>38.04</v>
      </c>
      <c r="T491" s="3">
        <v>45819</v>
      </c>
      <c r="U491" s="3">
        <v>45825</v>
      </c>
      <c r="V491" t="s">
        <v>63</v>
      </c>
      <c r="W491">
        <f t="shared" si="37"/>
        <v>165.96899999999999</v>
      </c>
      <c r="X491">
        <f t="shared" si="38"/>
        <v>204.9</v>
      </c>
      <c r="Y491">
        <f t="shared" si="39"/>
        <v>38.931000000000012</v>
      </c>
      <c r="Z491" s="8" t="str">
        <f t="shared" si="36"/>
        <v>Medium</v>
      </c>
      <c r="AA491" s="12">
        <f>DATE(YEAR(Table1[[#This Row],[OrderDate]]),MONTH(Table1[[#This Row],[OrderDate]]),1)</f>
        <v>45809</v>
      </c>
    </row>
    <row r="492" spans="1:27" x14ac:dyDescent="0.3">
      <c r="A492" s="3">
        <v>45310</v>
      </c>
      <c r="B492" t="s">
        <v>16</v>
      </c>
      <c r="C492" t="s">
        <v>30</v>
      </c>
      <c r="D492" t="str">
        <f>TRIM(Table1[[#This Row],[Product]])</f>
        <v>Desk</v>
      </c>
      <c r="E492" t="str">
        <f>PROPER(Table1[[#This Row],[Column1]])</f>
        <v>Desk</v>
      </c>
      <c r="F492" s="8" t="str">
        <f t="shared" si="35"/>
        <v>Furniture</v>
      </c>
      <c r="G492" s="5">
        <v>6</v>
      </c>
      <c r="H492">
        <v>148.22999999999999</v>
      </c>
      <c r="I492" t="s">
        <v>57</v>
      </c>
      <c r="J492" t="s">
        <v>65</v>
      </c>
      <c r="K492" s="7">
        <v>0.1</v>
      </c>
      <c r="L492" t="s">
        <v>25</v>
      </c>
      <c r="M492" s="5">
        <v>800.44199999999989</v>
      </c>
      <c r="N492" t="s">
        <v>82</v>
      </c>
      <c r="O492" t="s">
        <v>60</v>
      </c>
      <c r="P492" s="5">
        <v>0</v>
      </c>
      <c r="Q492" t="s">
        <v>1041</v>
      </c>
      <c r="R492" t="s">
        <v>1042</v>
      </c>
      <c r="S492" s="5">
        <v>19.579999999999998</v>
      </c>
      <c r="T492" s="3">
        <v>45310</v>
      </c>
      <c r="U492" s="3">
        <v>45320</v>
      </c>
      <c r="V492" t="s">
        <v>95</v>
      </c>
      <c r="W492">
        <f t="shared" si="37"/>
        <v>720.39779999999996</v>
      </c>
      <c r="X492">
        <f t="shared" si="38"/>
        <v>889.37999999999988</v>
      </c>
      <c r="Y492">
        <f t="shared" si="39"/>
        <v>168.98219999999992</v>
      </c>
      <c r="Z492" s="8" t="str">
        <f t="shared" si="36"/>
        <v>Medium</v>
      </c>
      <c r="AA492" s="12">
        <f>DATE(YEAR(Table1[[#This Row],[OrderDate]]),MONTH(Table1[[#This Row],[OrderDate]]),1)</f>
        <v>45292</v>
      </c>
    </row>
    <row r="493" spans="1:27" x14ac:dyDescent="0.3">
      <c r="A493" s="3">
        <v>45263</v>
      </c>
      <c r="B493" t="s">
        <v>9</v>
      </c>
      <c r="C493" t="s">
        <v>29</v>
      </c>
      <c r="D493" t="str">
        <f>TRIM(Table1[[#This Row],[Product]])</f>
        <v>Chair</v>
      </c>
      <c r="E493" t="str">
        <f>PROPER(Table1[[#This Row],[Column1]])</f>
        <v>Chair</v>
      </c>
      <c r="F493" s="8" t="str">
        <f t="shared" si="35"/>
        <v>Furniture</v>
      </c>
      <c r="G493" s="5">
        <v>11</v>
      </c>
      <c r="H493">
        <v>495.03</v>
      </c>
      <c r="I493" t="s">
        <v>81</v>
      </c>
      <c r="J493" t="s">
        <v>58</v>
      </c>
      <c r="K493" s="7">
        <v>0.15</v>
      </c>
      <c r="L493" t="s">
        <v>27</v>
      </c>
      <c r="M493" s="5">
        <v>4628.5304999999998</v>
      </c>
      <c r="N493" t="s">
        <v>88</v>
      </c>
      <c r="O493" t="s">
        <v>71</v>
      </c>
      <c r="P493" s="5">
        <v>0</v>
      </c>
      <c r="Q493" t="s">
        <v>1043</v>
      </c>
      <c r="R493" t="s">
        <v>1044</v>
      </c>
      <c r="S493" s="5">
        <v>27.37</v>
      </c>
      <c r="T493" s="3">
        <v>45263</v>
      </c>
      <c r="U493" s="3">
        <v>45265</v>
      </c>
      <c r="V493" t="s">
        <v>63</v>
      </c>
      <c r="W493">
        <f t="shared" si="37"/>
        <v>3934.2509249999998</v>
      </c>
      <c r="X493">
        <f t="shared" si="38"/>
        <v>5445.33</v>
      </c>
      <c r="Y493">
        <f t="shared" si="39"/>
        <v>1511.0790750000001</v>
      </c>
      <c r="Z493" s="8" t="str">
        <f t="shared" si="36"/>
        <v>High</v>
      </c>
      <c r="AA493" s="12">
        <f>DATE(YEAR(Table1[[#This Row],[OrderDate]]),MONTH(Table1[[#This Row],[OrderDate]]),1)</f>
        <v>45261</v>
      </c>
    </row>
    <row r="494" spans="1:27" x14ac:dyDescent="0.3">
      <c r="A494" s="3">
        <v>45462</v>
      </c>
      <c r="B494" t="s">
        <v>7</v>
      </c>
      <c r="C494" t="s">
        <v>29</v>
      </c>
      <c r="D494" t="str">
        <f>TRIM(Table1[[#This Row],[Product]])</f>
        <v>Chair</v>
      </c>
      <c r="E494" t="str">
        <f>PROPER(Table1[[#This Row],[Column1]])</f>
        <v>Chair</v>
      </c>
      <c r="F494" s="8" t="str">
        <f t="shared" si="35"/>
        <v>Furniture</v>
      </c>
      <c r="G494" s="5">
        <v>6</v>
      </c>
      <c r="H494">
        <v>247.2</v>
      </c>
      <c r="I494" t="s">
        <v>64</v>
      </c>
      <c r="J494" t="s">
        <v>58</v>
      </c>
      <c r="K494" s="7">
        <v>0.05</v>
      </c>
      <c r="L494" t="s">
        <v>23</v>
      </c>
      <c r="M494" s="5">
        <v>1409.04</v>
      </c>
      <c r="N494" t="s">
        <v>82</v>
      </c>
      <c r="O494" t="s">
        <v>60</v>
      </c>
      <c r="P494" s="5">
        <v>0</v>
      </c>
      <c r="Q494" t="s">
        <v>1045</v>
      </c>
      <c r="R494" t="s">
        <v>982</v>
      </c>
      <c r="S494" s="5">
        <v>18.75</v>
      </c>
      <c r="T494" s="3">
        <v>45462</v>
      </c>
      <c r="U494" s="3">
        <v>45470</v>
      </c>
      <c r="V494" t="s">
        <v>77</v>
      </c>
      <c r="W494">
        <f t="shared" si="37"/>
        <v>1338.588</v>
      </c>
      <c r="X494">
        <f t="shared" si="38"/>
        <v>1483.1999999999998</v>
      </c>
      <c r="Y494">
        <f t="shared" si="39"/>
        <v>144.61199999999985</v>
      </c>
      <c r="Z494" s="8" t="str">
        <f t="shared" si="36"/>
        <v>Medium</v>
      </c>
      <c r="AA494" s="12">
        <f>DATE(YEAR(Table1[[#This Row],[OrderDate]]),MONTH(Table1[[#This Row],[OrderDate]]),1)</f>
        <v>45444</v>
      </c>
    </row>
    <row r="495" spans="1:27" x14ac:dyDescent="0.3">
      <c r="A495" s="3">
        <v>45581</v>
      </c>
      <c r="B495" t="s">
        <v>16</v>
      </c>
      <c r="C495" t="s">
        <v>35</v>
      </c>
      <c r="D495" t="str">
        <f>TRIM(Table1[[#This Row],[Product]])</f>
        <v>Tablet</v>
      </c>
      <c r="E495" t="str">
        <f>PROPER(Table1[[#This Row],[Column1]])</f>
        <v>Tablet</v>
      </c>
      <c r="F495" s="8" t="str">
        <f t="shared" si="35"/>
        <v>Technology</v>
      </c>
      <c r="G495" s="5">
        <v>19</v>
      </c>
      <c r="H495">
        <v>207.45</v>
      </c>
      <c r="I495" t="s">
        <v>78</v>
      </c>
      <c r="J495" t="s">
        <v>65</v>
      </c>
      <c r="K495" s="7">
        <v>0.05</v>
      </c>
      <c r="L495" t="s">
        <v>19</v>
      </c>
      <c r="M495" s="5">
        <v>3744.4724999999989</v>
      </c>
      <c r="N495" t="s">
        <v>85</v>
      </c>
      <c r="O495" t="s">
        <v>67</v>
      </c>
      <c r="P495" s="5">
        <v>0</v>
      </c>
      <c r="Q495" t="s">
        <v>1046</v>
      </c>
      <c r="R495" t="s">
        <v>1047</v>
      </c>
      <c r="S495" s="5">
        <v>11.5</v>
      </c>
      <c r="T495" s="3">
        <v>45581</v>
      </c>
      <c r="U495" s="3">
        <v>45586</v>
      </c>
      <c r="V495" t="s">
        <v>95</v>
      </c>
      <c r="W495">
        <f t="shared" si="37"/>
        <v>3557.2488749999989</v>
      </c>
      <c r="X495">
        <f t="shared" si="38"/>
        <v>3941.5499999999997</v>
      </c>
      <c r="Y495">
        <f t="shared" si="39"/>
        <v>384.30112500000087</v>
      </c>
      <c r="Z495" s="8" t="str">
        <f t="shared" si="36"/>
        <v>Medium</v>
      </c>
      <c r="AA495" s="12">
        <f>DATE(YEAR(Table1[[#This Row],[OrderDate]]),MONTH(Table1[[#This Row],[OrderDate]]),1)</f>
        <v>45566</v>
      </c>
    </row>
    <row r="496" spans="1:27" x14ac:dyDescent="0.3">
      <c r="A496" s="3">
        <v>45680</v>
      </c>
      <c r="B496" t="s">
        <v>9</v>
      </c>
      <c r="C496" t="s">
        <v>31</v>
      </c>
      <c r="D496" t="str">
        <f>TRIM(Table1[[#This Row],[Product]])</f>
        <v>Laptop</v>
      </c>
      <c r="E496" t="str">
        <f>PROPER(Table1[[#This Row],[Column1]])</f>
        <v>Laptop</v>
      </c>
      <c r="F496" s="8" t="str">
        <f t="shared" si="35"/>
        <v>Technology</v>
      </c>
      <c r="G496" s="5">
        <v>2</v>
      </c>
      <c r="H496">
        <v>370.78</v>
      </c>
      <c r="I496" t="s">
        <v>81</v>
      </c>
      <c r="J496" t="s">
        <v>58</v>
      </c>
      <c r="K496" s="7">
        <v>0.15</v>
      </c>
      <c r="L496" t="s">
        <v>23</v>
      </c>
      <c r="M496" s="5">
        <v>630.32599999999991</v>
      </c>
      <c r="N496" t="s">
        <v>59</v>
      </c>
      <c r="O496" t="s">
        <v>60</v>
      </c>
      <c r="P496" s="5">
        <v>0</v>
      </c>
      <c r="Q496" t="s">
        <v>1048</v>
      </c>
      <c r="R496" t="s">
        <v>1049</v>
      </c>
      <c r="S496" s="5">
        <v>20.45</v>
      </c>
      <c r="T496" s="3">
        <v>45680</v>
      </c>
      <c r="U496" s="3">
        <v>45684</v>
      </c>
      <c r="V496" t="s">
        <v>63</v>
      </c>
      <c r="W496">
        <f t="shared" si="37"/>
        <v>535.7770999999999</v>
      </c>
      <c r="X496">
        <f t="shared" si="38"/>
        <v>741.56</v>
      </c>
      <c r="Y496">
        <f t="shared" si="39"/>
        <v>205.78290000000004</v>
      </c>
      <c r="Z496" s="8" t="str">
        <f t="shared" si="36"/>
        <v>High</v>
      </c>
      <c r="AA496" s="12">
        <f>DATE(YEAR(Table1[[#This Row],[OrderDate]]),MONTH(Table1[[#This Row],[OrderDate]]),1)</f>
        <v>45658</v>
      </c>
    </row>
    <row r="497" spans="1:27" x14ac:dyDescent="0.3">
      <c r="A497" s="3">
        <v>45201</v>
      </c>
      <c r="B497" t="s">
        <v>7</v>
      </c>
      <c r="C497" t="s">
        <v>31</v>
      </c>
      <c r="D497" t="str">
        <f>TRIM(Table1[[#This Row],[Product]])</f>
        <v>Laptop</v>
      </c>
      <c r="E497" t="str">
        <f>PROPER(Table1[[#This Row],[Column1]])</f>
        <v>Laptop</v>
      </c>
      <c r="F497" s="8" t="str">
        <f t="shared" si="35"/>
        <v>Technology</v>
      </c>
      <c r="G497" s="5">
        <v>9</v>
      </c>
      <c r="H497">
        <v>146.72</v>
      </c>
      <c r="I497" t="s">
        <v>64</v>
      </c>
      <c r="J497" t="s">
        <v>58</v>
      </c>
      <c r="K497" s="7">
        <v>0.1</v>
      </c>
      <c r="L497" t="s">
        <v>23</v>
      </c>
      <c r="M497" s="5">
        <v>1188.432</v>
      </c>
      <c r="N497" t="s">
        <v>82</v>
      </c>
      <c r="P497" s="5">
        <v>0</v>
      </c>
      <c r="Q497" t="s">
        <v>1050</v>
      </c>
      <c r="R497" t="s">
        <v>1051</v>
      </c>
      <c r="S497" s="5">
        <v>10.45</v>
      </c>
      <c r="T497" s="3">
        <v>45201</v>
      </c>
      <c r="U497" s="3">
        <v>45209</v>
      </c>
      <c r="V497" t="s">
        <v>77</v>
      </c>
      <c r="W497">
        <f t="shared" si="37"/>
        <v>1069.5888</v>
      </c>
      <c r="X497">
        <f t="shared" si="38"/>
        <v>1320.48</v>
      </c>
      <c r="Y497">
        <f t="shared" si="39"/>
        <v>250.89120000000003</v>
      </c>
      <c r="Z497" s="8" t="str">
        <f t="shared" si="36"/>
        <v>Medium</v>
      </c>
      <c r="AA497" s="12">
        <f>DATE(YEAR(Table1[[#This Row],[OrderDate]]),MONTH(Table1[[#This Row],[OrderDate]]),1)</f>
        <v>45200</v>
      </c>
    </row>
    <row r="498" spans="1:27" x14ac:dyDescent="0.3">
      <c r="A498" s="3">
        <v>45235</v>
      </c>
      <c r="B498" t="s">
        <v>9</v>
      </c>
      <c r="C498" t="s">
        <v>30</v>
      </c>
      <c r="D498" t="str">
        <f>TRIM(Table1[[#This Row],[Product]])</f>
        <v>Desk</v>
      </c>
      <c r="E498" t="str">
        <f>PROPER(Table1[[#This Row],[Column1]])</f>
        <v>Desk</v>
      </c>
      <c r="F498" s="8" t="str">
        <f t="shared" si="35"/>
        <v>Furniture</v>
      </c>
      <c r="G498" s="5">
        <v>12</v>
      </c>
      <c r="H498">
        <v>159.85</v>
      </c>
      <c r="I498" t="s">
        <v>81</v>
      </c>
      <c r="J498" t="s">
        <v>65</v>
      </c>
      <c r="K498" s="7">
        <v>0.1</v>
      </c>
      <c r="L498" t="s">
        <v>18</v>
      </c>
      <c r="M498" s="5">
        <v>1726.38</v>
      </c>
      <c r="N498" t="s">
        <v>88</v>
      </c>
      <c r="O498" t="s">
        <v>71</v>
      </c>
      <c r="P498" s="5">
        <v>0</v>
      </c>
      <c r="Q498" t="s">
        <v>1052</v>
      </c>
      <c r="R498" t="s">
        <v>1053</v>
      </c>
      <c r="S498" s="5">
        <v>32.61</v>
      </c>
      <c r="T498" s="3">
        <v>45235</v>
      </c>
      <c r="U498" s="3">
        <v>45237</v>
      </c>
      <c r="V498" t="s">
        <v>63</v>
      </c>
      <c r="W498">
        <f t="shared" si="37"/>
        <v>1553.7420000000002</v>
      </c>
      <c r="X498">
        <f t="shared" si="38"/>
        <v>1918.1999999999998</v>
      </c>
      <c r="Y498">
        <f t="shared" si="39"/>
        <v>364.45799999999963</v>
      </c>
      <c r="Z498" s="8" t="str">
        <f t="shared" si="36"/>
        <v>Medium</v>
      </c>
      <c r="AA498" s="12">
        <f>DATE(YEAR(Table1[[#This Row],[OrderDate]]),MONTH(Table1[[#This Row],[OrderDate]]),1)</f>
        <v>45231</v>
      </c>
    </row>
    <row r="499" spans="1:27" x14ac:dyDescent="0.3">
      <c r="A499" s="3">
        <v>45095</v>
      </c>
      <c r="B499" t="s">
        <v>13</v>
      </c>
      <c r="C499" t="s">
        <v>34</v>
      </c>
      <c r="D499" t="str">
        <f>TRIM(Table1[[#This Row],[Product]])</f>
        <v>Printer</v>
      </c>
      <c r="E499" t="str">
        <f>PROPER(Table1[[#This Row],[Column1]])</f>
        <v>Printer</v>
      </c>
      <c r="F499" s="8" t="str">
        <f t="shared" si="35"/>
        <v>Office Supplies</v>
      </c>
      <c r="G499" s="5">
        <v>13</v>
      </c>
      <c r="H499">
        <v>181.68</v>
      </c>
      <c r="I499" t="s">
        <v>78</v>
      </c>
      <c r="J499" t="s">
        <v>58</v>
      </c>
      <c r="K499" s="7">
        <v>0.05</v>
      </c>
      <c r="L499" t="s">
        <v>23</v>
      </c>
      <c r="M499" s="5">
        <v>2243.748</v>
      </c>
      <c r="N499" t="s">
        <v>66</v>
      </c>
      <c r="O499" t="s">
        <v>67</v>
      </c>
      <c r="P499" s="5">
        <v>0</v>
      </c>
      <c r="Q499" t="s">
        <v>1054</v>
      </c>
      <c r="R499" t="s">
        <v>1055</v>
      </c>
      <c r="S499" s="5">
        <v>14.69</v>
      </c>
      <c r="T499" s="3">
        <v>45095</v>
      </c>
      <c r="U499" s="3">
        <v>45100</v>
      </c>
      <c r="V499" t="s">
        <v>70</v>
      </c>
      <c r="W499">
        <f t="shared" si="37"/>
        <v>2131.5605999999998</v>
      </c>
      <c r="X499">
        <f t="shared" si="38"/>
        <v>2361.84</v>
      </c>
      <c r="Y499">
        <f t="shared" si="39"/>
        <v>230.27940000000035</v>
      </c>
      <c r="Z499" s="8" t="str">
        <f t="shared" si="36"/>
        <v>Medium</v>
      </c>
      <c r="AA499" s="12">
        <f>DATE(YEAR(Table1[[#This Row],[OrderDate]]),MONTH(Table1[[#This Row],[OrderDate]]),1)</f>
        <v>45078</v>
      </c>
    </row>
    <row r="500" spans="1:27" x14ac:dyDescent="0.3">
      <c r="A500" s="3">
        <v>45488</v>
      </c>
      <c r="B500" t="s">
        <v>7</v>
      </c>
      <c r="C500" t="s">
        <v>33</v>
      </c>
      <c r="D500" t="str">
        <f>TRIM(Table1[[#This Row],[Product]])</f>
        <v>Phone</v>
      </c>
      <c r="E500" t="str">
        <f>PROPER(Table1[[#This Row],[Column1]])</f>
        <v>Phone</v>
      </c>
      <c r="F500" s="8" t="str">
        <f t="shared" si="35"/>
        <v>Technology</v>
      </c>
      <c r="G500" s="5">
        <v>16</v>
      </c>
      <c r="H500">
        <v>34.159999999999997</v>
      </c>
      <c r="I500" t="s">
        <v>64</v>
      </c>
      <c r="J500" t="s">
        <v>65</v>
      </c>
      <c r="K500" s="7">
        <v>0.15</v>
      </c>
      <c r="L500" t="s">
        <v>19</v>
      </c>
      <c r="M500" s="5">
        <v>464.57600000000002</v>
      </c>
      <c r="N500" t="s">
        <v>88</v>
      </c>
      <c r="O500" t="s">
        <v>67</v>
      </c>
      <c r="P500" s="5">
        <v>0</v>
      </c>
      <c r="Q500" t="s">
        <v>1056</v>
      </c>
      <c r="R500" t="s">
        <v>1057</v>
      </c>
      <c r="S500" s="5">
        <v>36.33</v>
      </c>
      <c r="T500" s="3">
        <v>45488</v>
      </c>
      <c r="U500" s="3">
        <v>45494</v>
      </c>
      <c r="V500" t="s">
        <v>77</v>
      </c>
      <c r="W500">
        <f t="shared" si="37"/>
        <v>394.88960000000003</v>
      </c>
      <c r="X500">
        <f t="shared" si="38"/>
        <v>546.55999999999995</v>
      </c>
      <c r="Y500">
        <f t="shared" si="39"/>
        <v>151.67039999999992</v>
      </c>
      <c r="Z500" s="8" t="str">
        <f t="shared" si="36"/>
        <v>High</v>
      </c>
      <c r="AA500" s="12">
        <f>DATE(YEAR(Table1[[#This Row],[OrderDate]]),MONTH(Table1[[#This Row],[OrderDate]]),1)</f>
        <v>45474</v>
      </c>
    </row>
    <row r="501" spans="1:27" x14ac:dyDescent="0.3">
      <c r="A501" s="3">
        <v>45457</v>
      </c>
      <c r="B501" t="s">
        <v>7</v>
      </c>
      <c r="C501" t="s">
        <v>31</v>
      </c>
      <c r="D501" t="str">
        <f>TRIM(Table1[[#This Row],[Product]])</f>
        <v>Laptop</v>
      </c>
      <c r="E501" t="str">
        <f>PROPER(Table1[[#This Row],[Column1]])</f>
        <v>Laptop</v>
      </c>
      <c r="F501" s="8" t="str">
        <f t="shared" si="35"/>
        <v>Technology</v>
      </c>
      <c r="G501" s="5">
        <v>2</v>
      </c>
      <c r="H501">
        <v>287.43</v>
      </c>
      <c r="I501" t="s">
        <v>78</v>
      </c>
      <c r="J501" t="s">
        <v>58</v>
      </c>
      <c r="K501" s="7">
        <v>0.1</v>
      </c>
      <c r="L501" t="s">
        <v>23</v>
      </c>
      <c r="M501" s="5">
        <v>517.37400000000002</v>
      </c>
      <c r="N501" t="s">
        <v>88</v>
      </c>
      <c r="O501" t="s">
        <v>71</v>
      </c>
      <c r="P501" s="5">
        <v>0</v>
      </c>
      <c r="Q501" t="s">
        <v>1058</v>
      </c>
      <c r="R501" t="s">
        <v>525</v>
      </c>
      <c r="S501" s="5">
        <v>25.34</v>
      </c>
      <c r="T501" s="3">
        <v>45457</v>
      </c>
      <c r="U501" s="3">
        <v>45466</v>
      </c>
      <c r="V501" t="s">
        <v>77</v>
      </c>
      <c r="W501">
        <f t="shared" si="37"/>
        <v>465.63660000000004</v>
      </c>
      <c r="X501">
        <f t="shared" si="38"/>
        <v>574.86</v>
      </c>
      <c r="Y501">
        <f t="shared" si="39"/>
        <v>109.22339999999997</v>
      </c>
      <c r="Z501" s="8" t="str">
        <f t="shared" si="36"/>
        <v>Medium</v>
      </c>
      <c r="AA501" s="12">
        <f>DATE(YEAR(Table1[[#This Row],[OrderDate]]),MONTH(Table1[[#This Row],[OrderDate]]),1)</f>
        <v>45444</v>
      </c>
    </row>
    <row r="502" spans="1:27" x14ac:dyDescent="0.3">
      <c r="A502" s="3">
        <v>45387</v>
      </c>
      <c r="B502" t="s">
        <v>9</v>
      </c>
      <c r="C502" t="s">
        <v>32</v>
      </c>
      <c r="D502" t="str">
        <f>TRIM(Table1[[#This Row],[Product]])</f>
        <v>Monitor</v>
      </c>
      <c r="E502" t="str">
        <f>PROPER(Table1[[#This Row],[Column1]])</f>
        <v>Monitor</v>
      </c>
      <c r="F502" s="8" t="str">
        <f t="shared" si="35"/>
        <v>Technology</v>
      </c>
      <c r="G502" s="5">
        <v>15</v>
      </c>
      <c r="H502">
        <v>405.95</v>
      </c>
      <c r="I502" t="s">
        <v>81</v>
      </c>
      <c r="J502" t="s">
        <v>58</v>
      </c>
      <c r="K502" s="7">
        <v>0.15</v>
      </c>
      <c r="L502" t="s">
        <v>25</v>
      </c>
      <c r="M502" s="5">
        <v>5175.8625000000002</v>
      </c>
      <c r="N502" t="s">
        <v>66</v>
      </c>
      <c r="P502" s="5">
        <v>0</v>
      </c>
      <c r="Q502" t="s">
        <v>1059</v>
      </c>
      <c r="R502" t="s">
        <v>1060</v>
      </c>
      <c r="S502" s="5">
        <v>32.04</v>
      </c>
      <c r="T502" s="3">
        <v>45387</v>
      </c>
      <c r="U502" s="3">
        <v>45392</v>
      </c>
      <c r="V502" t="s">
        <v>63</v>
      </c>
      <c r="W502">
        <f t="shared" si="37"/>
        <v>4399.4831249999997</v>
      </c>
      <c r="X502">
        <f t="shared" si="38"/>
        <v>6089.25</v>
      </c>
      <c r="Y502">
        <f t="shared" si="39"/>
        <v>1689.7668750000003</v>
      </c>
      <c r="Z502" s="8" t="str">
        <f t="shared" si="36"/>
        <v>High</v>
      </c>
      <c r="AA502" s="12">
        <f>DATE(YEAR(Table1[[#This Row],[OrderDate]]),MONTH(Table1[[#This Row],[OrderDate]]),1)</f>
        <v>45383</v>
      </c>
    </row>
    <row r="503" spans="1:27" x14ac:dyDescent="0.3">
      <c r="A503" s="3">
        <v>44984</v>
      </c>
      <c r="B503" t="s">
        <v>11</v>
      </c>
      <c r="C503" t="s">
        <v>31</v>
      </c>
      <c r="D503" t="str">
        <f>TRIM(Table1[[#This Row],[Product]])</f>
        <v>Laptop</v>
      </c>
      <c r="E503" t="str">
        <f>PROPER(Table1[[#This Row],[Column1]])</f>
        <v>Laptop</v>
      </c>
      <c r="F503" s="8" t="str">
        <f t="shared" si="35"/>
        <v>Technology</v>
      </c>
      <c r="G503" s="5">
        <v>1</v>
      </c>
      <c r="H503">
        <v>430.61</v>
      </c>
      <c r="I503" t="s">
        <v>57</v>
      </c>
      <c r="J503" t="s">
        <v>65</v>
      </c>
      <c r="K503" s="7">
        <v>0</v>
      </c>
      <c r="L503" t="s">
        <v>18</v>
      </c>
      <c r="M503" s="5">
        <v>430.61</v>
      </c>
      <c r="N503" t="s">
        <v>66</v>
      </c>
      <c r="O503" t="s">
        <v>71</v>
      </c>
      <c r="P503" s="5">
        <v>0</v>
      </c>
      <c r="Q503" t="s">
        <v>1061</v>
      </c>
      <c r="R503" t="s">
        <v>1062</v>
      </c>
      <c r="S503" s="5">
        <v>14.53</v>
      </c>
      <c r="T503" s="3">
        <v>44984</v>
      </c>
      <c r="U503" s="3">
        <v>44992</v>
      </c>
      <c r="V503" t="s">
        <v>74</v>
      </c>
      <c r="W503">
        <f t="shared" si="37"/>
        <v>430.61</v>
      </c>
      <c r="X503">
        <f t="shared" si="38"/>
        <v>430.61</v>
      </c>
      <c r="Y503">
        <f t="shared" si="39"/>
        <v>0</v>
      </c>
      <c r="Z503" s="8" t="str">
        <f t="shared" si="36"/>
        <v>No Discount</v>
      </c>
      <c r="AA503" s="12">
        <f>DATE(YEAR(Table1[[#This Row],[OrderDate]]),MONTH(Table1[[#This Row],[OrderDate]]),1)</f>
        <v>44958</v>
      </c>
    </row>
    <row r="504" spans="1:27" x14ac:dyDescent="0.3">
      <c r="A504" s="3">
        <v>45138</v>
      </c>
      <c r="B504" t="s">
        <v>16</v>
      </c>
      <c r="C504" t="s">
        <v>31</v>
      </c>
      <c r="D504" t="str">
        <f>TRIM(Table1[[#This Row],[Product]])</f>
        <v>Laptop</v>
      </c>
      <c r="E504" t="str">
        <f>PROPER(Table1[[#This Row],[Column1]])</f>
        <v>Laptop</v>
      </c>
      <c r="F504" s="8" t="str">
        <f t="shared" si="35"/>
        <v>Technology</v>
      </c>
      <c r="G504" s="5">
        <v>5</v>
      </c>
      <c r="H504">
        <v>508.05</v>
      </c>
      <c r="I504" t="s">
        <v>81</v>
      </c>
      <c r="J504" t="s">
        <v>65</v>
      </c>
      <c r="K504" s="7">
        <v>0</v>
      </c>
      <c r="L504" t="s">
        <v>27</v>
      </c>
      <c r="M504" s="5">
        <v>2540.25</v>
      </c>
      <c r="N504" t="s">
        <v>82</v>
      </c>
      <c r="O504" t="s">
        <v>71</v>
      </c>
      <c r="P504" s="5">
        <v>1</v>
      </c>
      <c r="Q504" t="s">
        <v>1063</v>
      </c>
      <c r="R504" t="s">
        <v>1064</v>
      </c>
      <c r="S504" s="5">
        <v>35.630000000000003</v>
      </c>
      <c r="T504" s="3">
        <v>45138</v>
      </c>
      <c r="U504" s="3">
        <v>45147</v>
      </c>
      <c r="V504" t="s">
        <v>95</v>
      </c>
      <c r="W504">
        <f t="shared" si="37"/>
        <v>2540.25</v>
      </c>
      <c r="X504">
        <f t="shared" si="38"/>
        <v>2540.25</v>
      </c>
      <c r="Y504">
        <f t="shared" si="39"/>
        <v>0</v>
      </c>
      <c r="Z504" s="8" t="str">
        <f t="shared" si="36"/>
        <v>No Discount</v>
      </c>
      <c r="AA504" s="12">
        <f>DATE(YEAR(Table1[[#This Row],[OrderDate]]),MONTH(Table1[[#This Row],[OrderDate]]),1)</f>
        <v>45108</v>
      </c>
    </row>
    <row r="505" spans="1:27" x14ac:dyDescent="0.3">
      <c r="A505" s="3">
        <v>44988</v>
      </c>
      <c r="B505" t="s">
        <v>16</v>
      </c>
      <c r="C505" t="s">
        <v>31</v>
      </c>
      <c r="D505" t="str">
        <f>TRIM(Table1[[#This Row],[Product]])</f>
        <v>Laptop</v>
      </c>
      <c r="E505" t="str">
        <f>PROPER(Table1[[#This Row],[Column1]])</f>
        <v>Laptop</v>
      </c>
      <c r="F505" s="8" t="str">
        <f t="shared" si="35"/>
        <v>Technology</v>
      </c>
      <c r="G505" s="5">
        <v>13</v>
      </c>
      <c r="H505">
        <v>522.97</v>
      </c>
      <c r="I505" t="s">
        <v>78</v>
      </c>
      <c r="J505" t="s">
        <v>65</v>
      </c>
      <c r="K505" s="7">
        <v>0.15</v>
      </c>
      <c r="L505" t="s">
        <v>21</v>
      </c>
      <c r="M505" s="5">
        <v>5778.8185000000003</v>
      </c>
      <c r="N505" t="s">
        <v>85</v>
      </c>
      <c r="O505" t="s">
        <v>60</v>
      </c>
      <c r="P505" s="5">
        <v>0</v>
      </c>
      <c r="Q505" t="s">
        <v>1065</v>
      </c>
      <c r="R505" t="s">
        <v>1066</v>
      </c>
      <c r="S505" s="5">
        <v>33.9</v>
      </c>
      <c r="T505" s="3">
        <v>44988</v>
      </c>
      <c r="U505" s="3">
        <v>44995</v>
      </c>
      <c r="V505" t="s">
        <v>95</v>
      </c>
      <c r="W505">
        <f t="shared" si="37"/>
        <v>4911.9957249999998</v>
      </c>
      <c r="X505">
        <f t="shared" si="38"/>
        <v>6798.6100000000006</v>
      </c>
      <c r="Y505">
        <f t="shared" si="39"/>
        <v>1886.6142750000008</v>
      </c>
      <c r="Z505" s="8" t="str">
        <f t="shared" si="36"/>
        <v>High</v>
      </c>
      <c r="AA505" s="12">
        <f>DATE(YEAR(Table1[[#This Row],[OrderDate]]),MONTH(Table1[[#This Row],[OrderDate]]),1)</f>
        <v>44986</v>
      </c>
    </row>
    <row r="506" spans="1:27" x14ac:dyDescent="0.3">
      <c r="A506" s="3">
        <v>45042</v>
      </c>
      <c r="B506" t="s">
        <v>13</v>
      </c>
      <c r="C506" t="s">
        <v>31</v>
      </c>
      <c r="D506" t="str">
        <f>TRIM(Table1[[#This Row],[Product]])</f>
        <v>Laptop</v>
      </c>
      <c r="E506" t="str">
        <f>PROPER(Table1[[#This Row],[Column1]])</f>
        <v>Laptop</v>
      </c>
      <c r="F506" s="8" t="str">
        <f t="shared" si="35"/>
        <v>Technology</v>
      </c>
      <c r="G506" s="5">
        <v>17</v>
      </c>
      <c r="H506">
        <v>260.25</v>
      </c>
      <c r="I506" t="s">
        <v>81</v>
      </c>
      <c r="J506" t="s">
        <v>58</v>
      </c>
      <c r="K506" s="7">
        <v>0.1</v>
      </c>
      <c r="L506" t="s">
        <v>27</v>
      </c>
      <c r="M506" s="5">
        <v>3981.8249999999998</v>
      </c>
      <c r="N506" t="s">
        <v>82</v>
      </c>
      <c r="O506" t="s">
        <v>67</v>
      </c>
      <c r="P506" s="5">
        <v>0</v>
      </c>
      <c r="Q506" t="s">
        <v>1067</v>
      </c>
      <c r="R506" t="s">
        <v>1068</v>
      </c>
      <c r="S506" s="5">
        <v>23.26</v>
      </c>
      <c r="T506" s="3">
        <v>45042</v>
      </c>
      <c r="U506" s="3">
        <v>45044</v>
      </c>
      <c r="V506" t="s">
        <v>70</v>
      </c>
      <c r="W506">
        <f t="shared" si="37"/>
        <v>3583.6424999999999</v>
      </c>
      <c r="X506">
        <f t="shared" si="38"/>
        <v>4424.25</v>
      </c>
      <c r="Y506">
        <f t="shared" si="39"/>
        <v>840.60750000000007</v>
      </c>
      <c r="Z506" s="8" t="str">
        <f t="shared" si="36"/>
        <v>Medium</v>
      </c>
      <c r="AA506" s="12">
        <f>DATE(YEAR(Table1[[#This Row],[OrderDate]]),MONTH(Table1[[#This Row],[OrderDate]]),1)</f>
        <v>45017</v>
      </c>
    </row>
    <row r="507" spans="1:27" x14ac:dyDescent="0.3">
      <c r="A507" s="3">
        <v>45584</v>
      </c>
      <c r="B507" t="s">
        <v>9</v>
      </c>
      <c r="C507" t="s">
        <v>33</v>
      </c>
      <c r="D507" t="str">
        <f>TRIM(Table1[[#This Row],[Product]])</f>
        <v>Phone</v>
      </c>
      <c r="E507" t="str">
        <f>PROPER(Table1[[#This Row],[Column1]])</f>
        <v>Phone</v>
      </c>
      <c r="F507" s="8" t="str">
        <f t="shared" si="35"/>
        <v>Technology</v>
      </c>
      <c r="G507" s="5">
        <v>6</v>
      </c>
      <c r="H507">
        <v>549.21</v>
      </c>
      <c r="I507" t="s">
        <v>57</v>
      </c>
      <c r="J507" t="s">
        <v>65</v>
      </c>
      <c r="K507" s="7">
        <v>0.1</v>
      </c>
      <c r="L507" t="s">
        <v>25</v>
      </c>
      <c r="M507" s="5">
        <v>2965.7339999999999</v>
      </c>
      <c r="N507" t="s">
        <v>82</v>
      </c>
      <c r="O507" t="s">
        <v>71</v>
      </c>
      <c r="P507" s="5">
        <v>1</v>
      </c>
      <c r="Q507" t="s">
        <v>1069</v>
      </c>
      <c r="R507" t="s">
        <v>1070</v>
      </c>
      <c r="S507" s="5">
        <v>12.29</v>
      </c>
      <c r="T507" s="3">
        <v>45584</v>
      </c>
      <c r="U507" s="3">
        <v>45592</v>
      </c>
      <c r="V507" t="s">
        <v>63</v>
      </c>
      <c r="W507">
        <f t="shared" si="37"/>
        <v>2669.1606000000002</v>
      </c>
      <c r="X507">
        <f t="shared" si="38"/>
        <v>3295.26</v>
      </c>
      <c r="Y507">
        <f t="shared" si="39"/>
        <v>626.09940000000006</v>
      </c>
      <c r="Z507" s="8" t="str">
        <f t="shared" si="36"/>
        <v>Medium</v>
      </c>
      <c r="AA507" s="12">
        <f>DATE(YEAR(Table1[[#This Row],[OrderDate]]),MONTH(Table1[[#This Row],[OrderDate]]),1)</f>
        <v>45566</v>
      </c>
    </row>
    <row r="508" spans="1:27" x14ac:dyDescent="0.3">
      <c r="A508" s="3">
        <v>45473</v>
      </c>
      <c r="B508" t="s">
        <v>7</v>
      </c>
      <c r="C508" t="s">
        <v>34</v>
      </c>
      <c r="D508" t="str">
        <f>TRIM(Table1[[#This Row],[Product]])</f>
        <v>Printer</v>
      </c>
      <c r="E508" t="str">
        <f>PROPER(Table1[[#This Row],[Column1]])</f>
        <v>Printer</v>
      </c>
      <c r="F508" s="8" t="str">
        <f t="shared" si="35"/>
        <v>Office Supplies</v>
      </c>
      <c r="G508" s="5">
        <v>17</v>
      </c>
      <c r="H508">
        <v>472.33</v>
      </c>
      <c r="I508" t="s">
        <v>78</v>
      </c>
      <c r="J508" t="s">
        <v>65</v>
      </c>
      <c r="K508" s="7">
        <v>0.15</v>
      </c>
      <c r="L508" t="s">
        <v>21</v>
      </c>
      <c r="M508" s="5">
        <v>6825.1684999999998</v>
      </c>
      <c r="N508" t="s">
        <v>85</v>
      </c>
      <c r="O508" t="s">
        <v>71</v>
      </c>
      <c r="P508" s="5">
        <v>0</v>
      </c>
      <c r="Q508" t="s">
        <v>1071</v>
      </c>
      <c r="R508" t="s">
        <v>1072</v>
      </c>
      <c r="S508" s="5">
        <v>22.63</v>
      </c>
      <c r="T508" s="3">
        <v>45473</v>
      </c>
      <c r="U508" s="3">
        <v>45477</v>
      </c>
      <c r="V508" t="s">
        <v>77</v>
      </c>
      <c r="W508">
        <f t="shared" si="37"/>
        <v>5801.3932249999998</v>
      </c>
      <c r="X508">
        <f t="shared" si="38"/>
        <v>8029.61</v>
      </c>
      <c r="Y508">
        <f t="shared" si="39"/>
        <v>2228.2167749999999</v>
      </c>
      <c r="Z508" s="8" t="str">
        <f t="shared" si="36"/>
        <v>High</v>
      </c>
      <c r="AA508" s="12">
        <f>DATE(YEAR(Table1[[#This Row],[OrderDate]]),MONTH(Table1[[#This Row],[OrderDate]]),1)</f>
        <v>45444</v>
      </c>
    </row>
    <row r="509" spans="1:27" x14ac:dyDescent="0.3">
      <c r="A509" s="3">
        <v>45576</v>
      </c>
      <c r="B509" t="s">
        <v>16</v>
      </c>
      <c r="C509" t="s">
        <v>31</v>
      </c>
      <c r="D509" t="str">
        <f>TRIM(Table1[[#This Row],[Product]])</f>
        <v>Laptop</v>
      </c>
      <c r="E509" t="str">
        <f>PROPER(Table1[[#This Row],[Column1]])</f>
        <v>Laptop</v>
      </c>
      <c r="F509" s="8" t="str">
        <f t="shared" si="35"/>
        <v>Technology</v>
      </c>
      <c r="G509" s="5">
        <v>9</v>
      </c>
      <c r="H509">
        <v>596.83000000000004</v>
      </c>
      <c r="I509" t="s">
        <v>64</v>
      </c>
      <c r="J509" t="s">
        <v>65</v>
      </c>
      <c r="K509" s="7">
        <v>0</v>
      </c>
      <c r="L509" t="s">
        <v>25</v>
      </c>
      <c r="M509" s="5">
        <v>5371.47</v>
      </c>
      <c r="N509" t="s">
        <v>88</v>
      </c>
      <c r="O509" t="s">
        <v>71</v>
      </c>
      <c r="P509" s="5">
        <v>0</v>
      </c>
      <c r="Q509" t="s">
        <v>1073</v>
      </c>
      <c r="R509" t="s">
        <v>229</v>
      </c>
      <c r="S509" s="5">
        <v>6.43</v>
      </c>
      <c r="T509" s="3">
        <v>45576</v>
      </c>
      <c r="U509" s="3">
        <v>45584</v>
      </c>
      <c r="V509" t="s">
        <v>95</v>
      </c>
      <c r="W509">
        <f t="shared" si="37"/>
        <v>5371.47</v>
      </c>
      <c r="X509">
        <f t="shared" si="38"/>
        <v>5371.47</v>
      </c>
      <c r="Y509">
        <f t="shared" si="39"/>
        <v>0</v>
      </c>
      <c r="Z509" s="8" t="str">
        <f t="shared" si="36"/>
        <v>No Discount</v>
      </c>
      <c r="AA509" s="12">
        <f>DATE(YEAR(Table1[[#This Row],[OrderDate]]),MONTH(Table1[[#This Row],[OrderDate]]),1)</f>
        <v>45566</v>
      </c>
    </row>
    <row r="510" spans="1:27" x14ac:dyDescent="0.3">
      <c r="A510" s="3">
        <v>45822</v>
      </c>
      <c r="B510" t="s">
        <v>7</v>
      </c>
      <c r="C510" t="s">
        <v>32</v>
      </c>
      <c r="D510" t="str">
        <f>TRIM(Table1[[#This Row],[Product]])</f>
        <v>Monitor</v>
      </c>
      <c r="E510" t="str">
        <f>PROPER(Table1[[#This Row],[Column1]])</f>
        <v>Monitor</v>
      </c>
      <c r="F510" s="8" t="str">
        <f t="shared" si="35"/>
        <v>Technology</v>
      </c>
      <c r="G510" s="5">
        <v>15</v>
      </c>
      <c r="H510">
        <v>154.04</v>
      </c>
      <c r="I510" t="s">
        <v>81</v>
      </c>
      <c r="J510" t="s">
        <v>65</v>
      </c>
      <c r="K510" s="7">
        <v>0.1</v>
      </c>
      <c r="L510" t="s">
        <v>18</v>
      </c>
      <c r="M510" s="5">
        <v>2079.54</v>
      </c>
      <c r="N510" t="s">
        <v>88</v>
      </c>
      <c r="O510" t="s">
        <v>60</v>
      </c>
      <c r="P510" s="5">
        <v>1</v>
      </c>
      <c r="Q510" t="s">
        <v>1074</v>
      </c>
      <c r="R510" t="s">
        <v>1075</v>
      </c>
      <c r="S510" s="5">
        <v>24.53</v>
      </c>
      <c r="T510" s="3">
        <v>45822</v>
      </c>
      <c r="U510" s="3">
        <v>45831</v>
      </c>
      <c r="V510" t="s">
        <v>77</v>
      </c>
      <c r="W510">
        <f t="shared" si="37"/>
        <v>1871.586</v>
      </c>
      <c r="X510">
        <f t="shared" si="38"/>
        <v>2310.6</v>
      </c>
      <c r="Y510">
        <f t="shared" si="39"/>
        <v>439.0139999999999</v>
      </c>
      <c r="Z510" s="8" t="str">
        <f t="shared" si="36"/>
        <v>Medium</v>
      </c>
      <c r="AA510" s="12">
        <f>DATE(YEAR(Table1[[#This Row],[OrderDate]]),MONTH(Table1[[#This Row],[OrderDate]]),1)</f>
        <v>45809</v>
      </c>
    </row>
    <row r="511" spans="1:27" x14ac:dyDescent="0.3">
      <c r="A511" s="3">
        <v>45648</v>
      </c>
      <c r="B511" t="s">
        <v>9</v>
      </c>
      <c r="C511" t="s">
        <v>31</v>
      </c>
      <c r="D511" t="str">
        <f>TRIM(Table1[[#This Row],[Product]])</f>
        <v>Laptop</v>
      </c>
      <c r="E511" t="str">
        <f>PROPER(Table1[[#This Row],[Column1]])</f>
        <v>Laptop</v>
      </c>
      <c r="F511" s="8" t="str">
        <f t="shared" si="35"/>
        <v>Technology</v>
      </c>
      <c r="G511" s="5">
        <v>18</v>
      </c>
      <c r="H511">
        <v>500.44</v>
      </c>
      <c r="I511" t="s">
        <v>81</v>
      </c>
      <c r="J511" t="s">
        <v>58</v>
      </c>
      <c r="K511" s="7">
        <v>0.1</v>
      </c>
      <c r="L511" t="s">
        <v>19</v>
      </c>
      <c r="M511" s="5">
        <v>8107.1280000000006</v>
      </c>
      <c r="N511" t="s">
        <v>82</v>
      </c>
      <c r="P511" s="5">
        <v>0</v>
      </c>
      <c r="Q511" t="s">
        <v>1076</v>
      </c>
      <c r="R511" t="s">
        <v>1077</v>
      </c>
      <c r="S511" s="5">
        <v>8.8699999999999992</v>
      </c>
      <c r="T511" s="3">
        <v>45648</v>
      </c>
      <c r="U511" s="3">
        <v>45656</v>
      </c>
      <c r="V511" t="s">
        <v>63</v>
      </c>
      <c r="W511">
        <f t="shared" si="37"/>
        <v>7296.4152000000004</v>
      </c>
      <c r="X511">
        <f t="shared" si="38"/>
        <v>9007.92</v>
      </c>
      <c r="Y511">
        <f t="shared" si="39"/>
        <v>1711.5047999999997</v>
      </c>
      <c r="Z511" s="8" t="str">
        <f t="shared" si="36"/>
        <v>Medium</v>
      </c>
      <c r="AA511" s="12">
        <f>DATE(YEAR(Table1[[#This Row],[OrderDate]]),MONTH(Table1[[#This Row],[OrderDate]]),1)</f>
        <v>45627</v>
      </c>
    </row>
    <row r="512" spans="1:27" x14ac:dyDescent="0.3">
      <c r="A512" s="3">
        <v>45404</v>
      </c>
      <c r="B512" t="s">
        <v>16</v>
      </c>
      <c r="C512" t="s">
        <v>35</v>
      </c>
      <c r="D512" t="str">
        <f>TRIM(Table1[[#This Row],[Product]])</f>
        <v>Tablet</v>
      </c>
      <c r="E512" t="str">
        <f>PROPER(Table1[[#This Row],[Column1]])</f>
        <v>Tablet</v>
      </c>
      <c r="F512" s="8" t="str">
        <f t="shared" si="35"/>
        <v>Technology</v>
      </c>
      <c r="G512" s="5">
        <v>5</v>
      </c>
      <c r="H512">
        <v>382.17</v>
      </c>
      <c r="I512" t="s">
        <v>78</v>
      </c>
      <c r="J512" t="s">
        <v>58</v>
      </c>
      <c r="K512" s="7">
        <v>0</v>
      </c>
      <c r="L512" t="s">
        <v>23</v>
      </c>
      <c r="M512" s="5">
        <v>1910.85</v>
      </c>
      <c r="N512" t="s">
        <v>82</v>
      </c>
      <c r="O512" t="s">
        <v>60</v>
      </c>
      <c r="P512" s="5">
        <v>0</v>
      </c>
      <c r="Q512" t="s">
        <v>1078</v>
      </c>
      <c r="R512" t="s">
        <v>1079</v>
      </c>
      <c r="S512" s="5">
        <v>17.72</v>
      </c>
      <c r="T512" s="3">
        <v>45404</v>
      </c>
      <c r="U512" s="3">
        <v>45407</v>
      </c>
      <c r="V512" t="s">
        <v>95</v>
      </c>
      <c r="W512">
        <f t="shared" si="37"/>
        <v>1910.85</v>
      </c>
      <c r="X512">
        <f t="shared" si="38"/>
        <v>1910.8500000000001</v>
      </c>
      <c r="Y512">
        <f t="shared" si="39"/>
        <v>0</v>
      </c>
      <c r="Z512" s="8" t="str">
        <f t="shared" si="36"/>
        <v>No Discount</v>
      </c>
      <c r="AA512" s="12">
        <f>DATE(YEAR(Table1[[#This Row],[OrderDate]]),MONTH(Table1[[#This Row],[OrderDate]]),1)</f>
        <v>45383</v>
      </c>
    </row>
    <row r="513" spans="1:27" x14ac:dyDescent="0.3">
      <c r="A513" s="3">
        <v>45682</v>
      </c>
      <c r="B513" t="s">
        <v>11</v>
      </c>
      <c r="C513" t="s">
        <v>29</v>
      </c>
      <c r="D513" t="str">
        <f>TRIM(Table1[[#This Row],[Product]])</f>
        <v>Chair</v>
      </c>
      <c r="E513" t="str">
        <f>PROPER(Table1[[#This Row],[Column1]])</f>
        <v>Chair</v>
      </c>
      <c r="F513" s="8" t="str">
        <f t="shared" si="35"/>
        <v>Furniture</v>
      </c>
      <c r="G513" s="5">
        <v>3</v>
      </c>
      <c r="H513">
        <v>365.54</v>
      </c>
      <c r="I513" t="s">
        <v>57</v>
      </c>
      <c r="J513" t="s">
        <v>65</v>
      </c>
      <c r="K513" s="7">
        <v>0.15</v>
      </c>
      <c r="L513" t="s">
        <v>27</v>
      </c>
      <c r="M513" s="5">
        <v>932.12700000000007</v>
      </c>
      <c r="N513" t="s">
        <v>59</v>
      </c>
      <c r="P513" s="5">
        <v>0</v>
      </c>
      <c r="Q513" t="s">
        <v>1080</v>
      </c>
      <c r="R513" t="s">
        <v>1081</v>
      </c>
      <c r="S513" s="5">
        <v>45.89</v>
      </c>
      <c r="T513" s="3">
        <v>45682</v>
      </c>
      <c r="U513" s="3">
        <v>45686</v>
      </c>
      <c r="V513" t="s">
        <v>74</v>
      </c>
      <c r="W513">
        <f t="shared" si="37"/>
        <v>792.30795000000001</v>
      </c>
      <c r="X513">
        <f t="shared" si="38"/>
        <v>1096.6200000000001</v>
      </c>
      <c r="Y513">
        <f t="shared" si="39"/>
        <v>304.31205000000011</v>
      </c>
      <c r="Z513" s="8" t="str">
        <f t="shared" si="36"/>
        <v>High</v>
      </c>
      <c r="AA513" s="12">
        <f>DATE(YEAR(Table1[[#This Row],[OrderDate]]),MONTH(Table1[[#This Row],[OrderDate]]),1)</f>
        <v>45658</v>
      </c>
    </row>
    <row r="514" spans="1:27" x14ac:dyDescent="0.3">
      <c r="A514" s="3">
        <v>45609</v>
      </c>
      <c r="B514" t="s">
        <v>11</v>
      </c>
      <c r="C514" t="s">
        <v>31</v>
      </c>
      <c r="D514" t="str">
        <f>TRIM(Table1[[#This Row],[Product]])</f>
        <v>Laptop</v>
      </c>
      <c r="E514" t="str">
        <f>PROPER(Table1[[#This Row],[Column1]])</f>
        <v>Laptop</v>
      </c>
      <c r="F514" s="8" t="str">
        <f t="shared" ref="F514:F577" si="40">IF(OR(E514="Chair",E514="Desk"),"Furniture",IF(OR(E514="Laptop",E514="Monitor",E514="Phone",E514="Tablet"),"Technology",IF(E514="Printer","Office Supplies","Other")))</f>
        <v>Technology</v>
      </c>
      <c r="G514" s="5">
        <v>5</v>
      </c>
      <c r="H514">
        <v>270.13</v>
      </c>
      <c r="I514" t="s">
        <v>78</v>
      </c>
      <c r="J514" t="s">
        <v>65</v>
      </c>
      <c r="K514" s="7">
        <v>0.15</v>
      </c>
      <c r="L514" t="s">
        <v>25</v>
      </c>
      <c r="M514" s="5">
        <v>1148.0525</v>
      </c>
      <c r="N514" t="s">
        <v>82</v>
      </c>
      <c r="P514" s="5">
        <v>0</v>
      </c>
      <c r="Q514" t="s">
        <v>1082</v>
      </c>
      <c r="R514" t="s">
        <v>1083</v>
      </c>
      <c r="S514" s="5">
        <v>15.74</v>
      </c>
      <c r="T514" s="3">
        <v>45609</v>
      </c>
      <c r="U514" s="3">
        <v>45615</v>
      </c>
      <c r="V514" t="s">
        <v>74</v>
      </c>
      <c r="W514">
        <f t="shared" si="37"/>
        <v>975.84462499999995</v>
      </c>
      <c r="X514">
        <f t="shared" si="38"/>
        <v>1350.65</v>
      </c>
      <c r="Y514">
        <f t="shared" si="39"/>
        <v>374.80537500000014</v>
      </c>
      <c r="Z514" s="8" t="str">
        <f t="shared" ref="Z514:Z577" si="41">IF(K514=0,"No Discount",IF(K514&lt;5%,"Low",IF(K514&lt;15%,"Medium","High")))</f>
        <v>High</v>
      </c>
      <c r="AA514" s="12">
        <f>DATE(YEAR(Table1[[#This Row],[OrderDate]]),MONTH(Table1[[#This Row],[OrderDate]]),1)</f>
        <v>45597</v>
      </c>
    </row>
    <row r="515" spans="1:27" x14ac:dyDescent="0.3">
      <c r="A515" s="3">
        <v>45001</v>
      </c>
      <c r="B515" t="s">
        <v>9</v>
      </c>
      <c r="C515" t="s">
        <v>35</v>
      </c>
      <c r="D515" t="str">
        <f>TRIM(Table1[[#This Row],[Product]])</f>
        <v>Tablet</v>
      </c>
      <c r="E515" t="str">
        <f>PROPER(Table1[[#This Row],[Column1]])</f>
        <v>Tablet</v>
      </c>
      <c r="F515" s="8" t="str">
        <f t="shared" si="40"/>
        <v>Technology</v>
      </c>
      <c r="G515" s="5">
        <v>2</v>
      </c>
      <c r="H515">
        <v>480.15</v>
      </c>
      <c r="I515" t="s">
        <v>81</v>
      </c>
      <c r="J515" t="s">
        <v>65</v>
      </c>
      <c r="K515" s="7">
        <v>0.15</v>
      </c>
      <c r="L515" t="s">
        <v>23</v>
      </c>
      <c r="M515" s="5">
        <v>816.255</v>
      </c>
      <c r="N515" t="s">
        <v>59</v>
      </c>
      <c r="P515" s="5">
        <v>0</v>
      </c>
      <c r="Q515" t="s">
        <v>1084</v>
      </c>
      <c r="R515" t="s">
        <v>1085</v>
      </c>
      <c r="S515" s="5">
        <v>42.07</v>
      </c>
      <c r="T515" s="3">
        <v>45001</v>
      </c>
      <c r="U515" s="3">
        <v>45006</v>
      </c>
      <c r="V515" t="s">
        <v>63</v>
      </c>
      <c r="W515">
        <f t="shared" ref="W515:W578" si="42">M515*(1-K515)</f>
        <v>693.81674999999996</v>
      </c>
      <c r="X515">
        <f t="shared" ref="X515:X578" si="43">G515*H515</f>
        <v>960.3</v>
      </c>
      <c r="Y515">
        <f t="shared" ref="Y515:Y578" si="44">X515-W515</f>
        <v>266.48325</v>
      </c>
      <c r="Z515" s="8" t="str">
        <f t="shared" si="41"/>
        <v>High</v>
      </c>
      <c r="AA515" s="12">
        <f>DATE(YEAR(Table1[[#This Row],[OrderDate]]),MONTH(Table1[[#This Row],[OrderDate]]),1)</f>
        <v>44986</v>
      </c>
    </row>
    <row r="516" spans="1:27" x14ac:dyDescent="0.3">
      <c r="A516" s="3">
        <v>45052</v>
      </c>
      <c r="B516" t="s">
        <v>11</v>
      </c>
      <c r="C516" t="s">
        <v>31</v>
      </c>
      <c r="D516" t="str">
        <f>TRIM(Table1[[#This Row],[Product]])</f>
        <v>Laptop</v>
      </c>
      <c r="E516" t="str">
        <f>PROPER(Table1[[#This Row],[Column1]])</f>
        <v>Laptop</v>
      </c>
      <c r="F516" s="8" t="str">
        <f t="shared" si="40"/>
        <v>Technology</v>
      </c>
      <c r="G516" s="5">
        <v>18</v>
      </c>
      <c r="H516">
        <v>414.77</v>
      </c>
      <c r="I516" t="s">
        <v>78</v>
      </c>
      <c r="J516" t="s">
        <v>58</v>
      </c>
      <c r="K516" s="7">
        <v>0.1</v>
      </c>
      <c r="L516" t="s">
        <v>25</v>
      </c>
      <c r="M516" s="5">
        <v>6719.2739999999994</v>
      </c>
      <c r="N516" t="s">
        <v>82</v>
      </c>
      <c r="P516" s="5">
        <v>1</v>
      </c>
      <c r="Q516" t="s">
        <v>1086</v>
      </c>
      <c r="R516" t="s">
        <v>1087</v>
      </c>
      <c r="S516" s="5">
        <v>28.55</v>
      </c>
      <c r="T516" s="3">
        <v>45052</v>
      </c>
      <c r="U516" s="3">
        <v>45061</v>
      </c>
      <c r="V516" t="s">
        <v>74</v>
      </c>
      <c r="W516">
        <f t="shared" si="42"/>
        <v>6047.3465999999999</v>
      </c>
      <c r="X516">
        <f t="shared" si="43"/>
        <v>7465.86</v>
      </c>
      <c r="Y516">
        <f t="shared" si="44"/>
        <v>1418.5133999999998</v>
      </c>
      <c r="Z516" s="8" t="str">
        <f t="shared" si="41"/>
        <v>Medium</v>
      </c>
      <c r="AA516" s="12">
        <f>DATE(YEAR(Table1[[#This Row],[OrderDate]]),MONTH(Table1[[#This Row],[OrderDate]]),1)</f>
        <v>45047</v>
      </c>
    </row>
    <row r="517" spans="1:27" x14ac:dyDescent="0.3">
      <c r="A517" s="3">
        <v>45611</v>
      </c>
      <c r="B517" t="s">
        <v>9</v>
      </c>
      <c r="C517" t="s">
        <v>32</v>
      </c>
      <c r="D517" t="str">
        <f>TRIM(Table1[[#This Row],[Product]])</f>
        <v>Monitor</v>
      </c>
      <c r="E517" t="str">
        <f>PROPER(Table1[[#This Row],[Column1]])</f>
        <v>Monitor</v>
      </c>
      <c r="F517" s="8" t="str">
        <f t="shared" si="40"/>
        <v>Technology</v>
      </c>
      <c r="G517" s="5">
        <v>10</v>
      </c>
      <c r="H517">
        <v>98.24</v>
      </c>
      <c r="I517" t="s">
        <v>78</v>
      </c>
      <c r="J517" t="s">
        <v>58</v>
      </c>
      <c r="K517" s="7">
        <v>0</v>
      </c>
      <c r="L517" t="s">
        <v>27</v>
      </c>
      <c r="M517" s="5">
        <v>982.4</v>
      </c>
      <c r="N517" t="s">
        <v>82</v>
      </c>
      <c r="O517" t="s">
        <v>60</v>
      </c>
      <c r="P517" s="5">
        <v>1</v>
      </c>
      <c r="Q517" t="s">
        <v>1088</v>
      </c>
      <c r="R517" t="s">
        <v>651</v>
      </c>
      <c r="S517" s="5">
        <v>21.01</v>
      </c>
      <c r="T517" s="3">
        <v>45611</v>
      </c>
      <c r="U517" s="3">
        <v>45613</v>
      </c>
      <c r="V517" t="s">
        <v>63</v>
      </c>
      <c r="W517">
        <f t="shared" si="42"/>
        <v>982.4</v>
      </c>
      <c r="X517">
        <f t="shared" si="43"/>
        <v>982.4</v>
      </c>
      <c r="Y517">
        <f t="shared" si="44"/>
        <v>0</v>
      </c>
      <c r="Z517" s="8" t="str">
        <f t="shared" si="41"/>
        <v>No Discount</v>
      </c>
      <c r="AA517" s="12">
        <f>DATE(YEAR(Table1[[#This Row],[OrderDate]]),MONTH(Table1[[#This Row],[OrderDate]]),1)</f>
        <v>45597</v>
      </c>
    </row>
    <row r="518" spans="1:27" x14ac:dyDescent="0.3">
      <c r="A518" s="3">
        <v>45471</v>
      </c>
      <c r="B518" t="s">
        <v>7</v>
      </c>
      <c r="C518" t="s">
        <v>31</v>
      </c>
      <c r="D518" t="str">
        <f>TRIM(Table1[[#This Row],[Product]])</f>
        <v>Laptop</v>
      </c>
      <c r="E518" t="str">
        <f>PROPER(Table1[[#This Row],[Column1]])</f>
        <v>Laptop</v>
      </c>
      <c r="F518" s="8" t="str">
        <f t="shared" si="40"/>
        <v>Technology</v>
      </c>
      <c r="G518" s="5">
        <v>6</v>
      </c>
      <c r="H518">
        <v>227.6</v>
      </c>
      <c r="I518" t="s">
        <v>81</v>
      </c>
      <c r="J518" t="s">
        <v>65</v>
      </c>
      <c r="K518" s="7">
        <v>0.05</v>
      </c>
      <c r="L518" t="s">
        <v>21</v>
      </c>
      <c r="M518" s="5">
        <v>1297.32</v>
      </c>
      <c r="N518" t="s">
        <v>85</v>
      </c>
      <c r="O518" t="s">
        <v>60</v>
      </c>
      <c r="P518" s="5">
        <v>0</v>
      </c>
      <c r="Q518" t="s">
        <v>1089</v>
      </c>
      <c r="R518" t="s">
        <v>1090</v>
      </c>
      <c r="S518" s="5">
        <v>38.22</v>
      </c>
      <c r="T518" s="3">
        <v>45471</v>
      </c>
      <c r="U518" s="3">
        <v>45478</v>
      </c>
      <c r="V518" t="s">
        <v>77</v>
      </c>
      <c r="W518">
        <f t="shared" si="42"/>
        <v>1232.454</v>
      </c>
      <c r="X518">
        <f t="shared" si="43"/>
        <v>1365.6</v>
      </c>
      <c r="Y518">
        <f t="shared" si="44"/>
        <v>133.14599999999996</v>
      </c>
      <c r="Z518" s="8" t="str">
        <f t="shared" si="41"/>
        <v>Medium</v>
      </c>
      <c r="AA518" s="12">
        <f>DATE(YEAR(Table1[[#This Row],[OrderDate]]),MONTH(Table1[[#This Row],[OrderDate]]),1)</f>
        <v>45444</v>
      </c>
    </row>
    <row r="519" spans="1:27" x14ac:dyDescent="0.3">
      <c r="A519" s="3">
        <v>45788</v>
      </c>
      <c r="B519" t="s">
        <v>7</v>
      </c>
      <c r="C519" t="s">
        <v>32</v>
      </c>
      <c r="D519" t="str">
        <f>TRIM(Table1[[#This Row],[Product]])</f>
        <v>Monitor</v>
      </c>
      <c r="E519" t="str">
        <f>PROPER(Table1[[#This Row],[Column1]])</f>
        <v>Monitor</v>
      </c>
      <c r="F519" s="8" t="str">
        <f t="shared" si="40"/>
        <v>Technology</v>
      </c>
      <c r="G519" s="5">
        <v>5</v>
      </c>
      <c r="H519">
        <v>136.13</v>
      </c>
      <c r="I519" t="s">
        <v>78</v>
      </c>
      <c r="J519" t="s">
        <v>65</v>
      </c>
      <c r="K519" s="7">
        <v>0.15</v>
      </c>
      <c r="L519" t="s">
        <v>21</v>
      </c>
      <c r="M519" s="5">
        <v>578.55250000000001</v>
      </c>
      <c r="N519" t="s">
        <v>59</v>
      </c>
      <c r="P519" s="5">
        <v>0</v>
      </c>
      <c r="Q519" t="s">
        <v>1091</v>
      </c>
      <c r="R519" t="s">
        <v>1092</v>
      </c>
      <c r="S519" s="5">
        <v>10.02</v>
      </c>
      <c r="T519" s="3">
        <v>45788</v>
      </c>
      <c r="U519" s="3">
        <v>45797</v>
      </c>
      <c r="V519" t="s">
        <v>77</v>
      </c>
      <c r="W519">
        <f t="shared" si="42"/>
        <v>491.76962500000002</v>
      </c>
      <c r="X519">
        <f t="shared" si="43"/>
        <v>680.65</v>
      </c>
      <c r="Y519">
        <f t="shared" si="44"/>
        <v>188.88037499999996</v>
      </c>
      <c r="Z519" s="8" t="str">
        <f t="shared" si="41"/>
        <v>High</v>
      </c>
      <c r="AA519" s="12">
        <f>DATE(YEAR(Table1[[#This Row],[OrderDate]]),MONTH(Table1[[#This Row],[OrderDate]]),1)</f>
        <v>45778</v>
      </c>
    </row>
    <row r="520" spans="1:27" x14ac:dyDescent="0.3">
      <c r="A520" s="3">
        <v>44983</v>
      </c>
      <c r="B520" t="s">
        <v>7</v>
      </c>
      <c r="C520" t="s">
        <v>35</v>
      </c>
      <c r="D520" t="str">
        <f>TRIM(Table1[[#This Row],[Product]])</f>
        <v>Tablet</v>
      </c>
      <c r="E520" t="str">
        <f>PROPER(Table1[[#This Row],[Column1]])</f>
        <v>Tablet</v>
      </c>
      <c r="F520" s="8" t="str">
        <f t="shared" si="40"/>
        <v>Technology</v>
      </c>
      <c r="G520" s="5">
        <v>5</v>
      </c>
      <c r="H520">
        <v>489.13</v>
      </c>
      <c r="I520" t="s">
        <v>78</v>
      </c>
      <c r="J520" t="s">
        <v>65</v>
      </c>
      <c r="K520" s="7">
        <v>0.1</v>
      </c>
      <c r="L520" t="s">
        <v>23</v>
      </c>
      <c r="M520" s="5">
        <v>2201.085</v>
      </c>
      <c r="N520" t="s">
        <v>66</v>
      </c>
      <c r="O520" t="s">
        <v>60</v>
      </c>
      <c r="P520" s="5">
        <v>0</v>
      </c>
      <c r="Q520" t="s">
        <v>1093</v>
      </c>
      <c r="R520" t="s">
        <v>1094</v>
      </c>
      <c r="S520" s="5">
        <v>44.73</v>
      </c>
      <c r="T520" s="3">
        <v>44983</v>
      </c>
      <c r="U520" s="3">
        <v>44989</v>
      </c>
      <c r="V520" t="s">
        <v>77</v>
      </c>
      <c r="W520">
        <f t="shared" si="42"/>
        <v>1980.9765</v>
      </c>
      <c r="X520">
        <f t="shared" si="43"/>
        <v>2445.65</v>
      </c>
      <c r="Y520">
        <f t="shared" si="44"/>
        <v>464.6735000000001</v>
      </c>
      <c r="Z520" s="8" t="str">
        <f t="shared" si="41"/>
        <v>Medium</v>
      </c>
      <c r="AA520" s="12">
        <f>DATE(YEAR(Table1[[#This Row],[OrderDate]]),MONTH(Table1[[#This Row],[OrderDate]]),1)</f>
        <v>44958</v>
      </c>
    </row>
    <row r="521" spans="1:27" x14ac:dyDescent="0.3">
      <c r="A521" s="3">
        <v>45412</v>
      </c>
      <c r="B521" t="s">
        <v>13</v>
      </c>
      <c r="C521" t="s">
        <v>31</v>
      </c>
      <c r="D521" t="str">
        <f>TRIM(Table1[[#This Row],[Product]])</f>
        <v>Laptop</v>
      </c>
      <c r="E521" t="str">
        <f>PROPER(Table1[[#This Row],[Column1]])</f>
        <v>Laptop</v>
      </c>
      <c r="F521" s="8" t="str">
        <f t="shared" si="40"/>
        <v>Technology</v>
      </c>
      <c r="G521" s="5">
        <v>4</v>
      </c>
      <c r="H521">
        <v>414.36</v>
      </c>
      <c r="I521" t="s">
        <v>64</v>
      </c>
      <c r="J521" t="s">
        <v>65</v>
      </c>
      <c r="K521" s="7">
        <v>0</v>
      </c>
      <c r="L521" t="s">
        <v>19</v>
      </c>
      <c r="M521" s="5">
        <v>1657.44</v>
      </c>
      <c r="N521" t="s">
        <v>85</v>
      </c>
      <c r="O521" t="s">
        <v>60</v>
      </c>
      <c r="P521" s="5">
        <v>0</v>
      </c>
      <c r="Q521" t="s">
        <v>1095</v>
      </c>
      <c r="R521" t="s">
        <v>1096</v>
      </c>
      <c r="S521" s="5">
        <v>8.02</v>
      </c>
      <c r="T521" s="3">
        <v>45412</v>
      </c>
      <c r="U521" s="3">
        <v>45419</v>
      </c>
      <c r="V521" t="s">
        <v>70</v>
      </c>
      <c r="W521">
        <f t="shared" si="42"/>
        <v>1657.44</v>
      </c>
      <c r="X521">
        <f t="shared" si="43"/>
        <v>1657.44</v>
      </c>
      <c r="Y521">
        <f t="shared" si="44"/>
        <v>0</v>
      </c>
      <c r="Z521" s="8" t="str">
        <f t="shared" si="41"/>
        <v>No Discount</v>
      </c>
      <c r="AA521" s="12">
        <f>DATE(YEAR(Table1[[#This Row],[OrderDate]]),MONTH(Table1[[#This Row],[OrderDate]]),1)</f>
        <v>45383</v>
      </c>
    </row>
    <row r="522" spans="1:27" x14ac:dyDescent="0.3">
      <c r="A522" s="3">
        <v>45727</v>
      </c>
      <c r="B522" t="s">
        <v>9</v>
      </c>
      <c r="C522" t="s">
        <v>31</v>
      </c>
      <c r="D522" t="str">
        <f>TRIM(Table1[[#This Row],[Product]])</f>
        <v>Laptop</v>
      </c>
      <c r="E522" t="str">
        <f>PROPER(Table1[[#This Row],[Column1]])</f>
        <v>Laptop</v>
      </c>
      <c r="F522" s="8" t="str">
        <f t="shared" si="40"/>
        <v>Technology</v>
      </c>
      <c r="G522" s="5">
        <v>6</v>
      </c>
      <c r="H522">
        <v>138.26</v>
      </c>
      <c r="I522" t="s">
        <v>57</v>
      </c>
      <c r="J522" t="s">
        <v>65</v>
      </c>
      <c r="K522" s="7">
        <v>0.15</v>
      </c>
      <c r="L522" t="s">
        <v>25</v>
      </c>
      <c r="M522" s="5">
        <v>705.12599999999998</v>
      </c>
      <c r="N522" t="s">
        <v>59</v>
      </c>
      <c r="P522" s="5">
        <v>1</v>
      </c>
      <c r="Q522" t="s">
        <v>1097</v>
      </c>
      <c r="R522" t="s">
        <v>1098</v>
      </c>
      <c r="S522" s="5">
        <v>31.4</v>
      </c>
      <c r="T522" s="3">
        <v>45727</v>
      </c>
      <c r="U522" s="3">
        <v>45729</v>
      </c>
      <c r="V522" t="s">
        <v>63</v>
      </c>
      <c r="W522">
        <f t="shared" si="42"/>
        <v>599.35709999999995</v>
      </c>
      <c r="X522">
        <f t="shared" si="43"/>
        <v>829.56</v>
      </c>
      <c r="Y522">
        <f t="shared" si="44"/>
        <v>230.2029</v>
      </c>
      <c r="Z522" s="8" t="str">
        <f t="shared" si="41"/>
        <v>High</v>
      </c>
      <c r="AA522" s="12">
        <f>DATE(YEAR(Table1[[#This Row],[OrderDate]]),MONTH(Table1[[#This Row],[OrderDate]]),1)</f>
        <v>45717</v>
      </c>
    </row>
    <row r="523" spans="1:27" x14ac:dyDescent="0.3">
      <c r="A523" s="3">
        <v>45838</v>
      </c>
      <c r="B523" t="s">
        <v>9</v>
      </c>
      <c r="C523" t="s">
        <v>33</v>
      </c>
      <c r="D523" t="str">
        <f>TRIM(Table1[[#This Row],[Product]])</f>
        <v>Phone</v>
      </c>
      <c r="E523" t="str">
        <f>PROPER(Table1[[#This Row],[Column1]])</f>
        <v>Phone</v>
      </c>
      <c r="F523" s="8" t="str">
        <f t="shared" si="40"/>
        <v>Technology</v>
      </c>
      <c r="G523" s="5">
        <v>12</v>
      </c>
      <c r="H523">
        <v>487.57</v>
      </c>
      <c r="I523" t="s">
        <v>64</v>
      </c>
      <c r="J523" t="s">
        <v>58</v>
      </c>
      <c r="K523" s="7">
        <v>0.05</v>
      </c>
      <c r="L523" t="s">
        <v>25</v>
      </c>
      <c r="M523" s="5">
        <v>5558.2979999999998</v>
      </c>
      <c r="N523" t="s">
        <v>88</v>
      </c>
      <c r="P523" s="5">
        <v>0</v>
      </c>
      <c r="Q523" t="s">
        <v>1099</v>
      </c>
      <c r="R523" t="s">
        <v>1100</v>
      </c>
      <c r="S523" s="5">
        <v>37.33</v>
      </c>
      <c r="T523" s="3">
        <v>45838</v>
      </c>
      <c r="U523" s="3">
        <v>45848</v>
      </c>
      <c r="V523" t="s">
        <v>63</v>
      </c>
      <c r="W523">
        <f t="shared" si="42"/>
        <v>5280.3830999999991</v>
      </c>
      <c r="X523">
        <f t="shared" si="43"/>
        <v>5850.84</v>
      </c>
      <c r="Y523">
        <f t="shared" si="44"/>
        <v>570.45690000000104</v>
      </c>
      <c r="Z523" s="8" t="str">
        <f t="shared" si="41"/>
        <v>Medium</v>
      </c>
      <c r="AA523" s="12">
        <f>DATE(YEAR(Table1[[#This Row],[OrderDate]]),MONTH(Table1[[#This Row],[OrderDate]]),1)</f>
        <v>45809</v>
      </c>
    </row>
    <row r="524" spans="1:27" x14ac:dyDescent="0.3">
      <c r="A524" s="3">
        <v>45445</v>
      </c>
      <c r="B524" t="s">
        <v>11</v>
      </c>
      <c r="C524" t="s">
        <v>29</v>
      </c>
      <c r="D524" t="str">
        <f>TRIM(Table1[[#This Row],[Product]])</f>
        <v>Chair</v>
      </c>
      <c r="E524" t="str">
        <f>PROPER(Table1[[#This Row],[Column1]])</f>
        <v>Chair</v>
      </c>
      <c r="F524" s="8" t="str">
        <f t="shared" si="40"/>
        <v>Furniture</v>
      </c>
      <c r="G524" s="5">
        <v>20</v>
      </c>
      <c r="H524">
        <v>427.3</v>
      </c>
      <c r="I524" t="s">
        <v>78</v>
      </c>
      <c r="J524" t="s">
        <v>58</v>
      </c>
      <c r="K524" s="7">
        <v>0.05</v>
      </c>
      <c r="L524" t="s">
        <v>27</v>
      </c>
      <c r="M524" s="5">
        <v>8118.7</v>
      </c>
      <c r="N524" t="s">
        <v>66</v>
      </c>
      <c r="O524" t="s">
        <v>60</v>
      </c>
      <c r="P524" s="5">
        <v>1</v>
      </c>
      <c r="Q524" t="s">
        <v>1101</v>
      </c>
      <c r="R524" t="s">
        <v>1102</v>
      </c>
      <c r="S524" s="5">
        <v>25.19</v>
      </c>
      <c r="T524" s="3">
        <v>45445</v>
      </c>
      <c r="U524" s="3">
        <v>45451</v>
      </c>
      <c r="V524" t="s">
        <v>74</v>
      </c>
      <c r="W524">
        <f t="shared" si="42"/>
        <v>7712.7649999999994</v>
      </c>
      <c r="X524">
        <f t="shared" si="43"/>
        <v>8546</v>
      </c>
      <c r="Y524">
        <f t="shared" si="44"/>
        <v>833.23500000000058</v>
      </c>
      <c r="Z524" s="8" t="str">
        <f t="shared" si="41"/>
        <v>Medium</v>
      </c>
      <c r="AA524" s="12">
        <f>DATE(YEAR(Table1[[#This Row],[OrderDate]]),MONTH(Table1[[#This Row],[OrderDate]]),1)</f>
        <v>45444</v>
      </c>
    </row>
    <row r="525" spans="1:27" x14ac:dyDescent="0.3">
      <c r="A525" s="3">
        <v>45536</v>
      </c>
      <c r="B525" t="s">
        <v>13</v>
      </c>
      <c r="C525" t="s">
        <v>31</v>
      </c>
      <c r="D525" t="str">
        <f>TRIM(Table1[[#This Row],[Product]])</f>
        <v>Laptop</v>
      </c>
      <c r="E525" t="str">
        <f>PROPER(Table1[[#This Row],[Column1]])</f>
        <v>Laptop</v>
      </c>
      <c r="F525" s="8" t="str">
        <f t="shared" si="40"/>
        <v>Technology</v>
      </c>
      <c r="G525" s="5">
        <v>16</v>
      </c>
      <c r="H525">
        <v>588.91999999999996</v>
      </c>
      <c r="I525" t="s">
        <v>81</v>
      </c>
      <c r="J525" t="s">
        <v>58</v>
      </c>
      <c r="K525" s="7">
        <v>0.15</v>
      </c>
      <c r="L525" t="s">
        <v>18</v>
      </c>
      <c r="M525" s="5">
        <v>8009.311999999999</v>
      </c>
      <c r="N525" t="s">
        <v>88</v>
      </c>
      <c r="O525" t="s">
        <v>60</v>
      </c>
      <c r="P525" s="5">
        <v>0</v>
      </c>
      <c r="Q525" t="s">
        <v>1103</v>
      </c>
      <c r="R525" t="s">
        <v>1104</v>
      </c>
      <c r="S525" s="5">
        <v>7.89</v>
      </c>
      <c r="T525" s="3">
        <v>45536</v>
      </c>
      <c r="U525" s="3">
        <v>45540</v>
      </c>
      <c r="V525" t="s">
        <v>70</v>
      </c>
      <c r="W525">
        <f t="shared" si="42"/>
        <v>6807.9151999999985</v>
      </c>
      <c r="X525">
        <f t="shared" si="43"/>
        <v>9422.7199999999993</v>
      </c>
      <c r="Y525">
        <f t="shared" si="44"/>
        <v>2614.8048000000008</v>
      </c>
      <c r="Z525" s="8" t="str">
        <f t="shared" si="41"/>
        <v>High</v>
      </c>
      <c r="AA525" s="12">
        <f>DATE(YEAR(Table1[[#This Row],[OrderDate]]),MONTH(Table1[[#This Row],[OrderDate]]),1)</f>
        <v>45536</v>
      </c>
    </row>
    <row r="526" spans="1:27" x14ac:dyDescent="0.3">
      <c r="A526" s="3">
        <v>45668</v>
      </c>
      <c r="B526" t="s">
        <v>13</v>
      </c>
      <c r="C526" t="s">
        <v>31</v>
      </c>
      <c r="D526" t="str">
        <f>TRIM(Table1[[#This Row],[Product]])</f>
        <v>Laptop</v>
      </c>
      <c r="E526" t="str">
        <f>PROPER(Table1[[#This Row],[Column1]])</f>
        <v>Laptop</v>
      </c>
      <c r="F526" s="8" t="str">
        <f t="shared" si="40"/>
        <v>Technology</v>
      </c>
      <c r="G526" s="5">
        <v>6</v>
      </c>
      <c r="H526">
        <v>429.45</v>
      </c>
      <c r="I526" t="s">
        <v>57</v>
      </c>
      <c r="J526" t="s">
        <v>65</v>
      </c>
      <c r="K526" s="7">
        <v>0.1</v>
      </c>
      <c r="L526" t="s">
        <v>18</v>
      </c>
      <c r="M526" s="5">
        <v>2319.0300000000002</v>
      </c>
      <c r="N526" t="s">
        <v>88</v>
      </c>
      <c r="P526" s="5">
        <v>0</v>
      </c>
      <c r="Q526" t="s">
        <v>1105</v>
      </c>
      <c r="R526" t="s">
        <v>1106</v>
      </c>
      <c r="S526" s="5">
        <v>47.18</v>
      </c>
      <c r="T526" s="3">
        <v>45668</v>
      </c>
      <c r="U526" s="3">
        <v>45675</v>
      </c>
      <c r="V526" t="s">
        <v>70</v>
      </c>
      <c r="W526">
        <f t="shared" si="42"/>
        <v>2087.1270000000004</v>
      </c>
      <c r="X526">
        <f t="shared" si="43"/>
        <v>2576.6999999999998</v>
      </c>
      <c r="Y526">
        <f t="shared" si="44"/>
        <v>489.57299999999941</v>
      </c>
      <c r="Z526" s="8" t="str">
        <f t="shared" si="41"/>
        <v>Medium</v>
      </c>
      <c r="AA526" s="12">
        <f>DATE(YEAR(Table1[[#This Row],[OrderDate]]),MONTH(Table1[[#This Row],[OrderDate]]),1)</f>
        <v>45658</v>
      </c>
    </row>
    <row r="527" spans="1:27" x14ac:dyDescent="0.3">
      <c r="A527" s="3">
        <v>45747</v>
      </c>
      <c r="B527" t="s">
        <v>13</v>
      </c>
      <c r="C527" t="s">
        <v>33</v>
      </c>
      <c r="D527" t="str">
        <f>TRIM(Table1[[#This Row],[Product]])</f>
        <v>Phone</v>
      </c>
      <c r="E527" t="str">
        <f>PROPER(Table1[[#This Row],[Column1]])</f>
        <v>Phone</v>
      </c>
      <c r="F527" s="8" t="str">
        <f t="shared" si="40"/>
        <v>Technology</v>
      </c>
      <c r="G527" s="5">
        <v>1</v>
      </c>
      <c r="H527">
        <v>476</v>
      </c>
      <c r="I527" t="s">
        <v>64</v>
      </c>
      <c r="J527" t="s">
        <v>58</v>
      </c>
      <c r="K527" s="7">
        <v>0.15</v>
      </c>
      <c r="L527" t="s">
        <v>21</v>
      </c>
      <c r="M527" s="5">
        <v>404.6</v>
      </c>
      <c r="N527" t="s">
        <v>88</v>
      </c>
      <c r="O527" t="s">
        <v>60</v>
      </c>
      <c r="P527" s="5">
        <v>0</v>
      </c>
      <c r="Q527" t="s">
        <v>1107</v>
      </c>
      <c r="R527" t="s">
        <v>1108</v>
      </c>
      <c r="S527" s="5">
        <v>18.95</v>
      </c>
      <c r="T527" s="3">
        <v>45747</v>
      </c>
      <c r="U527" s="3">
        <v>45750</v>
      </c>
      <c r="V527" t="s">
        <v>70</v>
      </c>
      <c r="W527">
        <f t="shared" si="42"/>
        <v>343.91</v>
      </c>
      <c r="X527">
        <f t="shared" si="43"/>
        <v>476</v>
      </c>
      <c r="Y527">
        <f t="shared" si="44"/>
        <v>132.08999999999997</v>
      </c>
      <c r="Z527" s="8" t="str">
        <f t="shared" si="41"/>
        <v>High</v>
      </c>
      <c r="AA527" s="12">
        <f>DATE(YEAR(Table1[[#This Row],[OrderDate]]),MONTH(Table1[[#This Row],[OrderDate]]),1)</f>
        <v>45717</v>
      </c>
    </row>
    <row r="528" spans="1:27" x14ac:dyDescent="0.3">
      <c r="A528" s="3">
        <v>45624</v>
      </c>
      <c r="B528" t="s">
        <v>13</v>
      </c>
      <c r="C528" t="s">
        <v>33</v>
      </c>
      <c r="D528" t="str">
        <f>TRIM(Table1[[#This Row],[Product]])</f>
        <v>Phone</v>
      </c>
      <c r="E528" t="str">
        <f>PROPER(Table1[[#This Row],[Column1]])</f>
        <v>Phone</v>
      </c>
      <c r="F528" s="8" t="str">
        <f t="shared" si="40"/>
        <v>Technology</v>
      </c>
      <c r="G528" s="5">
        <v>13</v>
      </c>
      <c r="H528">
        <v>141.26</v>
      </c>
      <c r="I528" t="s">
        <v>57</v>
      </c>
      <c r="J528" t="s">
        <v>65</v>
      </c>
      <c r="K528" s="7">
        <v>0</v>
      </c>
      <c r="L528" t="s">
        <v>27</v>
      </c>
      <c r="M528" s="5">
        <v>1836.38</v>
      </c>
      <c r="N528" t="s">
        <v>59</v>
      </c>
      <c r="P528" s="5">
        <v>0</v>
      </c>
      <c r="Q528" t="s">
        <v>1109</v>
      </c>
      <c r="R528" t="s">
        <v>723</v>
      </c>
      <c r="S528" s="5">
        <v>23.68</v>
      </c>
      <c r="T528" s="3">
        <v>45624</v>
      </c>
      <c r="U528" s="3">
        <v>45631</v>
      </c>
      <c r="V528" t="s">
        <v>70</v>
      </c>
      <c r="W528">
        <f t="shared" si="42"/>
        <v>1836.38</v>
      </c>
      <c r="X528">
        <f t="shared" si="43"/>
        <v>1836.3799999999999</v>
      </c>
      <c r="Y528">
        <f t="shared" si="44"/>
        <v>0</v>
      </c>
      <c r="Z528" s="8" t="str">
        <f t="shared" si="41"/>
        <v>No Discount</v>
      </c>
      <c r="AA528" s="12">
        <f>DATE(YEAR(Table1[[#This Row],[OrderDate]]),MONTH(Table1[[#This Row],[OrderDate]]),1)</f>
        <v>45597</v>
      </c>
    </row>
    <row r="529" spans="1:27" x14ac:dyDescent="0.3">
      <c r="A529" s="3">
        <v>45112</v>
      </c>
      <c r="B529" t="s">
        <v>11</v>
      </c>
      <c r="C529" t="s">
        <v>29</v>
      </c>
      <c r="D529" t="str">
        <f>TRIM(Table1[[#This Row],[Product]])</f>
        <v>Chair</v>
      </c>
      <c r="E529" t="str">
        <f>PROPER(Table1[[#This Row],[Column1]])</f>
        <v>Chair</v>
      </c>
      <c r="F529" s="8" t="str">
        <f t="shared" si="40"/>
        <v>Furniture</v>
      </c>
      <c r="G529" s="5">
        <v>3</v>
      </c>
      <c r="H529">
        <v>250.65</v>
      </c>
      <c r="I529" t="s">
        <v>81</v>
      </c>
      <c r="J529" t="s">
        <v>65</v>
      </c>
      <c r="K529" s="7">
        <v>0.15</v>
      </c>
      <c r="L529" t="s">
        <v>25</v>
      </c>
      <c r="M529" s="5">
        <v>639.15750000000003</v>
      </c>
      <c r="N529" t="s">
        <v>82</v>
      </c>
      <c r="O529" t="s">
        <v>67</v>
      </c>
      <c r="P529" s="5">
        <v>0</v>
      </c>
      <c r="Q529" t="s">
        <v>1110</v>
      </c>
      <c r="R529" t="s">
        <v>1111</v>
      </c>
      <c r="S529" s="5">
        <v>44.46</v>
      </c>
      <c r="T529" s="3">
        <v>45112</v>
      </c>
      <c r="U529" s="3">
        <v>45114</v>
      </c>
      <c r="V529" t="s">
        <v>74</v>
      </c>
      <c r="W529">
        <f t="shared" si="42"/>
        <v>543.28387499999997</v>
      </c>
      <c r="X529">
        <f t="shared" si="43"/>
        <v>751.95</v>
      </c>
      <c r="Y529">
        <f t="shared" si="44"/>
        <v>208.66612500000008</v>
      </c>
      <c r="Z529" s="8" t="str">
        <f t="shared" si="41"/>
        <v>High</v>
      </c>
      <c r="AA529" s="12">
        <f>DATE(YEAR(Table1[[#This Row],[OrderDate]]),MONTH(Table1[[#This Row],[OrderDate]]),1)</f>
        <v>45108</v>
      </c>
    </row>
    <row r="530" spans="1:27" x14ac:dyDescent="0.3">
      <c r="A530" s="3">
        <v>45589</v>
      </c>
      <c r="B530" t="s">
        <v>16</v>
      </c>
      <c r="C530" t="s">
        <v>32</v>
      </c>
      <c r="D530" t="str">
        <f>TRIM(Table1[[#This Row],[Product]])</f>
        <v>Monitor</v>
      </c>
      <c r="E530" t="str">
        <f>PROPER(Table1[[#This Row],[Column1]])</f>
        <v>Monitor</v>
      </c>
      <c r="F530" s="8" t="str">
        <f t="shared" si="40"/>
        <v>Technology</v>
      </c>
      <c r="G530" s="5">
        <v>19</v>
      </c>
      <c r="H530">
        <v>301.17</v>
      </c>
      <c r="I530" t="s">
        <v>81</v>
      </c>
      <c r="J530" t="s">
        <v>65</v>
      </c>
      <c r="K530" s="7">
        <v>0.05</v>
      </c>
      <c r="L530" t="s">
        <v>18</v>
      </c>
      <c r="M530" s="5">
        <v>5436.1184999999996</v>
      </c>
      <c r="N530" t="s">
        <v>85</v>
      </c>
      <c r="O530" t="s">
        <v>71</v>
      </c>
      <c r="P530" s="5">
        <v>0</v>
      </c>
      <c r="Q530" t="s">
        <v>1112</v>
      </c>
      <c r="R530" t="s">
        <v>1113</v>
      </c>
      <c r="S530" s="5">
        <v>5.71</v>
      </c>
      <c r="T530" s="3">
        <v>45589</v>
      </c>
      <c r="U530" s="3">
        <v>45599</v>
      </c>
      <c r="V530" t="s">
        <v>95</v>
      </c>
      <c r="W530">
        <f t="shared" si="42"/>
        <v>5164.312574999999</v>
      </c>
      <c r="X530">
        <f t="shared" si="43"/>
        <v>5722.2300000000005</v>
      </c>
      <c r="Y530">
        <f t="shared" si="44"/>
        <v>557.91742500000146</v>
      </c>
      <c r="Z530" s="8" t="str">
        <f t="shared" si="41"/>
        <v>Medium</v>
      </c>
      <c r="AA530" s="12">
        <f>DATE(YEAR(Table1[[#This Row],[OrderDate]]),MONTH(Table1[[#This Row],[OrderDate]]),1)</f>
        <v>45566</v>
      </c>
    </row>
    <row r="531" spans="1:27" x14ac:dyDescent="0.3">
      <c r="A531" s="3">
        <v>45755</v>
      </c>
      <c r="B531" t="s">
        <v>11</v>
      </c>
      <c r="C531" t="s">
        <v>29</v>
      </c>
      <c r="D531" t="str">
        <f>TRIM(Table1[[#This Row],[Product]])</f>
        <v>Chair</v>
      </c>
      <c r="E531" t="str">
        <f>PROPER(Table1[[#This Row],[Column1]])</f>
        <v>Chair</v>
      </c>
      <c r="F531" s="8" t="str">
        <f t="shared" si="40"/>
        <v>Furniture</v>
      </c>
      <c r="G531" s="5">
        <v>7</v>
      </c>
      <c r="H531">
        <v>30.79</v>
      </c>
      <c r="I531" t="s">
        <v>78</v>
      </c>
      <c r="J531" t="s">
        <v>65</v>
      </c>
      <c r="K531" s="7">
        <v>0.1</v>
      </c>
      <c r="L531" t="s">
        <v>19</v>
      </c>
      <c r="M531" s="5">
        <v>193.977</v>
      </c>
      <c r="N531" t="s">
        <v>88</v>
      </c>
      <c r="O531" t="s">
        <v>71</v>
      </c>
      <c r="P531" s="5">
        <v>1</v>
      </c>
      <c r="Q531" t="s">
        <v>1114</v>
      </c>
      <c r="R531" t="s">
        <v>1115</v>
      </c>
      <c r="S531" s="5">
        <v>11.39</v>
      </c>
      <c r="T531" s="3">
        <v>45755</v>
      </c>
      <c r="U531" s="3">
        <v>45763</v>
      </c>
      <c r="V531" t="s">
        <v>74</v>
      </c>
      <c r="W531">
        <f t="shared" si="42"/>
        <v>174.57930000000002</v>
      </c>
      <c r="X531">
        <f t="shared" si="43"/>
        <v>215.53</v>
      </c>
      <c r="Y531">
        <f t="shared" si="44"/>
        <v>40.950699999999983</v>
      </c>
      <c r="Z531" s="8" t="str">
        <f t="shared" si="41"/>
        <v>Medium</v>
      </c>
      <c r="AA531" s="12">
        <f>DATE(YEAR(Table1[[#This Row],[OrderDate]]),MONTH(Table1[[#This Row],[OrderDate]]),1)</f>
        <v>45748</v>
      </c>
    </row>
    <row r="532" spans="1:27" x14ac:dyDescent="0.3">
      <c r="A532" s="3">
        <v>45448</v>
      </c>
      <c r="B532" t="s">
        <v>9</v>
      </c>
      <c r="C532" t="s">
        <v>31</v>
      </c>
      <c r="D532" t="str">
        <f>TRIM(Table1[[#This Row],[Product]])</f>
        <v>Laptop</v>
      </c>
      <c r="E532" t="str">
        <f>PROPER(Table1[[#This Row],[Column1]])</f>
        <v>Laptop</v>
      </c>
      <c r="F532" s="8" t="str">
        <f t="shared" si="40"/>
        <v>Technology</v>
      </c>
      <c r="G532" s="5">
        <v>1</v>
      </c>
      <c r="H532">
        <v>561.6</v>
      </c>
      <c r="I532" t="s">
        <v>64</v>
      </c>
      <c r="J532" t="s">
        <v>58</v>
      </c>
      <c r="K532" s="7">
        <v>0.15</v>
      </c>
      <c r="L532" t="s">
        <v>18</v>
      </c>
      <c r="M532" s="5">
        <v>477.36</v>
      </c>
      <c r="N532" t="s">
        <v>85</v>
      </c>
      <c r="O532" t="s">
        <v>67</v>
      </c>
      <c r="P532" s="5">
        <v>0</v>
      </c>
      <c r="Q532" t="s">
        <v>1116</v>
      </c>
      <c r="R532" t="s">
        <v>339</v>
      </c>
      <c r="S532" s="5">
        <v>38.020000000000003</v>
      </c>
      <c r="T532" s="3">
        <v>45448</v>
      </c>
      <c r="U532" s="3">
        <v>45453</v>
      </c>
      <c r="V532" t="s">
        <v>63</v>
      </c>
      <c r="W532">
        <f t="shared" si="42"/>
        <v>405.75600000000003</v>
      </c>
      <c r="X532">
        <f t="shared" si="43"/>
        <v>561.6</v>
      </c>
      <c r="Y532">
        <f t="shared" si="44"/>
        <v>155.84399999999999</v>
      </c>
      <c r="Z532" s="8" t="str">
        <f t="shared" si="41"/>
        <v>High</v>
      </c>
      <c r="AA532" s="12">
        <f>DATE(YEAR(Table1[[#This Row],[OrderDate]]),MONTH(Table1[[#This Row],[OrderDate]]),1)</f>
        <v>45444</v>
      </c>
    </row>
    <row r="533" spans="1:27" x14ac:dyDescent="0.3">
      <c r="A533" s="3">
        <v>45680</v>
      </c>
      <c r="B533" t="s">
        <v>16</v>
      </c>
      <c r="C533" t="s">
        <v>33</v>
      </c>
      <c r="D533" t="str">
        <f>TRIM(Table1[[#This Row],[Product]])</f>
        <v>Phone</v>
      </c>
      <c r="E533" t="str">
        <f>PROPER(Table1[[#This Row],[Column1]])</f>
        <v>Phone</v>
      </c>
      <c r="F533" s="8" t="str">
        <f t="shared" si="40"/>
        <v>Technology</v>
      </c>
      <c r="G533" s="5">
        <v>16</v>
      </c>
      <c r="H533">
        <v>193.7</v>
      </c>
      <c r="I533" t="s">
        <v>64</v>
      </c>
      <c r="J533" t="s">
        <v>65</v>
      </c>
      <c r="K533" s="7">
        <v>0.15</v>
      </c>
      <c r="L533" t="s">
        <v>19</v>
      </c>
      <c r="M533" s="5">
        <v>2634.32</v>
      </c>
      <c r="N533" t="s">
        <v>82</v>
      </c>
      <c r="O533" t="s">
        <v>67</v>
      </c>
      <c r="P533" s="5">
        <v>0</v>
      </c>
      <c r="Q533" t="s">
        <v>1117</v>
      </c>
      <c r="R533" t="s">
        <v>1118</v>
      </c>
      <c r="S533" s="5">
        <v>6.83</v>
      </c>
      <c r="T533" s="3">
        <v>45680</v>
      </c>
      <c r="U533" s="3">
        <v>45686</v>
      </c>
      <c r="V533" t="s">
        <v>95</v>
      </c>
      <c r="W533">
        <f t="shared" si="42"/>
        <v>2239.172</v>
      </c>
      <c r="X533">
        <f t="shared" si="43"/>
        <v>3099.2</v>
      </c>
      <c r="Y533">
        <f t="shared" si="44"/>
        <v>860.02799999999979</v>
      </c>
      <c r="Z533" s="8" t="str">
        <f t="shared" si="41"/>
        <v>High</v>
      </c>
      <c r="AA533" s="12">
        <f>DATE(YEAR(Table1[[#This Row],[OrderDate]]),MONTH(Table1[[#This Row],[OrderDate]]),1)</f>
        <v>45658</v>
      </c>
    </row>
    <row r="534" spans="1:27" x14ac:dyDescent="0.3">
      <c r="A534" s="3">
        <v>45600</v>
      </c>
      <c r="B534" t="s">
        <v>7</v>
      </c>
      <c r="C534" t="s">
        <v>35</v>
      </c>
      <c r="D534" t="str">
        <f>TRIM(Table1[[#This Row],[Product]])</f>
        <v>Tablet</v>
      </c>
      <c r="E534" t="str">
        <f>PROPER(Table1[[#This Row],[Column1]])</f>
        <v>Tablet</v>
      </c>
      <c r="F534" s="8" t="str">
        <f t="shared" si="40"/>
        <v>Technology</v>
      </c>
      <c r="G534" s="5">
        <v>17</v>
      </c>
      <c r="H534">
        <v>310.02999999999997</v>
      </c>
      <c r="I534" t="s">
        <v>81</v>
      </c>
      <c r="J534" t="s">
        <v>65</v>
      </c>
      <c r="K534" s="7">
        <v>0.05</v>
      </c>
      <c r="L534" t="s">
        <v>21</v>
      </c>
      <c r="M534" s="5">
        <v>5006.9844999999987</v>
      </c>
      <c r="N534" t="s">
        <v>59</v>
      </c>
      <c r="O534" t="s">
        <v>60</v>
      </c>
      <c r="P534" s="5">
        <v>0</v>
      </c>
      <c r="Q534" t="s">
        <v>1119</v>
      </c>
      <c r="R534" t="s">
        <v>1120</v>
      </c>
      <c r="S534" s="5">
        <v>8.06</v>
      </c>
      <c r="T534" s="3">
        <v>45600</v>
      </c>
      <c r="U534" s="3">
        <v>45608</v>
      </c>
      <c r="V534" t="s">
        <v>77</v>
      </c>
      <c r="W534">
        <f t="shared" si="42"/>
        <v>4756.6352749999987</v>
      </c>
      <c r="X534">
        <f t="shared" si="43"/>
        <v>5270.5099999999993</v>
      </c>
      <c r="Y534">
        <f t="shared" si="44"/>
        <v>513.87472500000058</v>
      </c>
      <c r="Z534" s="8" t="str">
        <f t="shared" si="41"/>
        <v>Medium</v>
      </c>
      <c r="AA534" s="12">
        <f>DATE(YEAR(Table1[[#This Row],[OrderDate]]),MONTH(Table1[[#This Row],[OrderDate]]),1)</f>
        <v>45597</v>
      </c>
    </row>
    <row r="535" spans="1:27" x14ac:dyDescent="0.3">
      <c r="A535" s="3">
        <v>45292</v>
      </c>
      <c r="B535" t="s">
        <v>16</v>
      </c>
      <c r="C535" t="s">
        <v>34</v>
      </c>
      <c r="D535" t="str">
        <f>TRIM(Table1[[#This Row],[Product]])</f>
        <v>Printer</v>
      </c>
      <c r="E535" t="str">
        <f>PROPER(Table1[[#This Row],[Column1]])</f>
        <v>Printer</v>
      </c>
      <c r="F535" s="8" t="str">
        <f t="shared" si="40"/>
        <v>Office Supplies</v>
      </c>
      <c r="G535" s="5">
        <v>13</v>
      </c>
      <c r="H535">
        <v>204.67</v>
      </c>
      <c r="I535" t="s">
        <v>64</v>
      </c>
      <c r="J535" t="s">
        <v>65</v>
      </c>
      <c r="K535" s="7">
        <v>0.15</v>
      </c>
      <c r="L535" t="s">
        <v>18</v>
      </c>
      <c r="M535" s="5">
        <v>2261.6035000000002</v>
      </c>
      <c r="N535" t="s">
        <v>59</v>
      </c>
      <c r="P535" s="5">
        <v>0</v>
      </c>
      <c r="Q535" t="s">
        <v>1121</v>
      </c>
      <c r="R535" t="s">
        <v>1122</v>
      </c>
      <c r="S535" s="5">
        <v>6.76</v>
      </c>
      <c r="T535" s="3">
        <v>45292</v>
      </c>
      <c r="U535" s="3">
        <v>45296</v>
      </c>
      <c r="V535" t="s">
        <v>95</v>
      </c>
      <c r="W535">
        <f t="shared" si="42"/>
        <v>1922.362975</v>
      </c>
      <c r="X535">
        <f t="shared" si="43"/>
        <v>2660.71</v>
      </c>
      <c r="Y535">
        <f t="shared" si="44"/>
        <v>738.34702500000003</v>
      </c>
      <c r="Z535" s="8" t="str">
        <f t="shared" si="41"/>
        <v>High</v>
      </c>
      <c r="AA535" s="12">
        <f>DATE(YEAR(Table1[[#This Row],[OrderDate]]),MONTH(Table1[[#This Row],[OrderDate]]),1)</f>
        <v>45292</v>
      </c>
    </row>
    <row r="536" spans="1:27" x14ac:dyDescent="0.3">
      <c r="A536" s="3">
        <v>45391</v>
      </c>
      <c r="B536" t="s">
        <v>7</v>
      </c>
      <c r="C536" t="s">
        <v>34</v>
      </c>
      <c r="D536" t="str">
        <f>TRIM(Table1[[#This Row],[Product]])</f>
        <v>Printer</v>
      </c>
      <c r="E536" t="str">
        <f>PROPER(Table1[[#This Row],[Column1]])</f>
        <v>Printer</v>
      </c>
      <c r="F536" s="8" t="str">
        <f t="shared" si="40"/>
        <v>Office Supplies</v>
      </c>
      <c r="G536" s="5">
        <v>3</v>
      </c>
      <c r="H536">
        <v>250.11</v>
      </c>
      <c r="I536" t="s">
        <v>81</v>
      </c>
      <c r="J536" t="s">
        <v>58</v>
      </c>
      <c r="K536" s="7">
        <v>0</v>
      </c>
      <c r="L536" t="s">
        <v>18</v>
      </c>
      <c r="M536" s="5">
        <v>750.33</v>
      </c>
      <c r="N536" t="s">
        <v>66</v>
      </c>
      <c r="O536" t="s">
        <v>60</v>
      </c>
      <c r="P536" s="5">
        <v>0</v>
      </c>
      <c r="Q536" t="s">
        <v>1123</v>
      </c>
      <c r="R536" t="s">
        <v>1124</v>
      </c>
      <c r="S536" s="5">
        <v>36.35</v>
      </c>
      <c r="T536" s="3">
        <v>45391</v>
      </c>
      <c r="U536" s="3">
        <v>45399</v>
      </c>
      <c r="V536" t="s">
        <v>77</v>
      </c>
      <c r="W536">
        <f t="shared" si="42"/>
        <v>750.33</v>
      </c>
      <c r="X536">
        <f t="shared" si="43"/>
        <v>750.33</v>
      </c>
      <c r="Y536">
        <f t="shared" si="44"/>
        <v>0</v>
      </c>
      <c r="Z536" s="8" t="str">
        <f t="shared" si="41"/>
        <v>No Discount</v>
      </c>
      <c r="AA536" s="12">
        <f>DATE(YEAR(Table1[[#This Row],[OrderDate]]),MONTH(Table1[[#This Row],[OrderDate]]),1)</f>
        <v>45383</v>
      </c>
    </row>
    <row r="537" spans="1:27" x14ac:dyDescent="0.3">
      <c r="A537" s="3">
        <v>45674</v>
      </c>
      <c r="B537" t="s">
        <v>11</v>
      </c>
      <c r="C537" t="s">
        <v>30</v>
      </c>
      <c r="D537" t="str">
        <f>TRIM(Table1[[#This Row],[Product]])</f>
        <v>Desk</v>
      </c>
      <c r="E537" t="str">
        <f>PROPER(Table1[[#This Row],[Column1]])</f>
        <v>Desk</v>
      </c>
      <c r="F537" s="8" t="str">
        <f t="shared" si="40"/>
        <v>Furniture</v>
      </c>
      <c r="G537" s="5">
        <v>12</v>
      </c>
      <c r="H537">
        <v>526.82000000000005</v>
      </c>
      <c r="I537" t="s">
        <v>64</v>
      </c>
      <c r="J537" t="s">
        <v>65</v>
      </c>
      <c r="K537" s="7">
        <v>0</v>
      </c>
      <c r="L537" t="s">
        <v>27</v>
      </c>
      <c r="M537" s="5">
        <v>6321.84</v>
      </c>
      <c r="N537" t="s">
        <v>82</v>
      </c>
      <c r="O537" t="s">
        <v>71</v>
      </c>
      <c r="P537" s="5">
        <v>0</v>
      </c>
      <c r="Q537" t="s">
        <v>1125</v>
      </c>
      <c r="R537" t="s">
        <v>1126</v>
      </c>
      <c r="S537" s="5">
        <v>29.75</v>
      </c>
      <c r="T537" s="3">
        <v>45674</v>
      </c>
      <c r="U537" s="3">
        <v>45682</v>
      </c>
      <c r="V537" t="s">
        <v>74</v>
      </c>
      <c r="W537">
        <f t="shared" si="42"/>
        <v>6321.84</v>
      </c>
      <c r="X537">
        <f t="shared" si="43"/>
        <v>6321.84</v>
      </c>
      <c r="Y537">
        <f t="shared" si="44"/>
        <v>0</v>
      </c>
      <c r="Z537" s="8" t="str">
        <f t="shared" si="41"/>
        <v>No Discount</v>
      </c>
      <c r="AA537" s="12">
        <f>DATE(YEAR(Table1[[#This Row],[OrderDate]]),MONTH(Table1[[#This Row],[OrderDate]]),1)</f>
        <v>45658</v>
      </c>
    </row>
    <row r="538" spans="1:27" x14ac:dyDescent="0.3">
      <c r="A538" s="3">
        <v>45557</v>
      </c>
      <c r="B538" t="s">
        <v>9</v>
      </c>
      <c r="C538" t="s">
        <v>29</v>
      </c>
      <c r="D538" t="str">
        <f>TRIM(Table1[[#This Row],[Product]])</f>
        <v>Chair</v>
      </c>
      <c r="E538" t="str">
        <f>PROPER(Table1[[#This Row],[Column1]])</f>
        <v>Chair</v>
      </c>
      <c r="F538" s="8" t="str">
        <f t="shared" si="40"/>
        <v>Furniture</v>
      </c>
      <c r="G538" s="5">
        <v>18</v>
      </c>
      <c r="H538">
        <v>575.1</v>
      </c>
      <c r="I538" t="s">
        <v>81</v>
      </c>
      <c r="J538" t="s">
        <v>58</v>
      </c>
      <c r="K538" s="7">
        <v>0</v>
      </c>
      <c r="L538" t="s">
        <v>19</v>
      </c>
      <c r="M538" s="5">
        <v>10351.799999999999</v>
      </c>
      <c r="N538" t="s">
        <v>59</v>
      </c>
      <c r="O538" t="s">
        <v>60</v>
      </c>
      <c r="P538" s="5">
        <v>0</v>
      </c>
      <c r="Q538" t="s">
        <v>1127</v>
      </c>
      <c r="R538" t="s">
        <v>1128</v>
      </c>
      <c r="S538" s="5">
        <v>35.32</v>
      </c>
      <c r="T538" s="3">
        <v>45557</v>
      </c>
      <c r="U538" s="3">
        <v>45564</v>
      </c>
      <c r="V538" t="s">
        <v>63</v>
      </c>
      <c r="W538">
        <f t="shared" si="42"/>
        <v>10351.799999999999</v>
      </c>
      <c r="X538">
        <f t="shared" si="43"/>
        <v>10351.800000000001</v>
      </c>
      <c r="Y538">
        <f t="shared" si="44"/>
        <v>0</v>
      </c>
      <c r="Z538" s="8" t="str">
        <f t="shared" si="41"/>
        <v>No Discount</v>
      </c>
      <c r="AA538" s="12">
        <f>DATE(YEAR(Table1[[#This Row],[OrderDate]]),MONTH(Table1[[#This Row],[OrderDate]]),1)</f>
        <v>45536</v>
      </c>
    </row>
    <row r="539" spans="1:27" x14ac:dyDescent="0.3">
      <c r="A539" s="3">
        <v>44946</v>
      </c>
      <c r="B539" t="s">
        <v>9</v>
      </c>
      <c r="C539" t="s">
        <v>32</v>
      </c>
      <c r="D539" t="str">
        <f>TRIM(Table1[[#This Row],[Product]])</f>
        <v>Monitor</v>
      </c>
      <c r="E539" t="str">
        <f>PROPER(Table1[[#This Row],[Column1]])</f>
        <v>Monitor</v>
      </c>
      <c r="F539" s="8" t="str">
        <f t="shared" si="40"/>
        <v>Technology</v>
      </c>
      <c r="G539" s="5">
        <v>8</v>
      </c>
      <c r="H539">
        <v>325.52</v>
      </c>
      <c r="I539" t="s">
        <v>78</v>
      </c>
      <c r="J539" t="s">
        <v>65</v>
      </c>
      <c r="K539" s="7">
        <v>0.1</v>
      </c>
      <c r="L539" t="s">
        <v>27</v>
      </c>
      <c r="M539" s="5">
        <v>2343.7440000000001</v>
      </c>
      <c r="N539" t="s">
        <v>85</v>
      </c>
      <c r="O539" t="s">
        <v>71</v>
      </c>
      <c r="P539" s="5">
        <v>0</v>
      </c>
      <c r="Q539" t="s">
        <v>1129</v>
      </c>
      <c r="R539" t="s">
        <v>1130</v>
      </c>
      <c r="S539" s="5">
        <v>45.59</v>
      </c>
      <c r="T539" s="3">
        <v>44946</v>
      </c>
      <c r="U539" s="3">
        <v>44951</v>
      </c>
      <c r="V539" t="s">
        <v>63</v>
      </c>
      <c r="W539">
        <f t="shared" si="42"/>
        <v>2109.3696</v>
      </c>
      <c r="X539">
        <f t="shared" si="43"/>
        <v>2604.16</v>
      </c>
      <c r="Y539">
        <f t="shared" si="44"/>
        <v>494.79039999999986</v>
      </c>
      <c r="Z539" s="8" t="str">
        <f t="shared" si="41"/>
        <v>Medium</v>
      </c>
      <c r="AA539" s="12">
        <f>DATE(YEAR(Table1[[#This Row],[OrderDate]]),MONTH(Table1[[#This Row],[OrderDate]]),1)</f>
        <v>44927</v>
      </c>
    </row>
    <row r="540" spans="1:27" x14ac:dyDescent="0.3">
      <c r="A540" s="3">
        <v>45303</v>
      </c>
      <c r="B540" t="s">
        <v>11</v>
      </c>
      <c r="C540" t="s">
        <v>32</v>
      </c>
      <c r="D540" t="str">
        <f>TRIM(Table1[[#This Row],[Product]])</f>
        <v>Monitor</v>
      </c>
      <c r="E540" t="str">
        <f>PROPER(Table1[[#This Row],[Column1]])</f>
        <v>Monitor</v>
      </c>
      <c r="F540" s="8" t="str">
        <f t="shared" si="40"/>
        <v>Technology</v>
      </c>
      <c r="G540" s="5">
        <v>14</v>
      </c>
      <c r="H540">
        <v>157.13999999999999</v>
      </c>
      <c r="I540" t="s">
        <v>64</v>
      </c>
      <c r="J540" t="s">
        <v>58</v>
      </c>
      <c r="K540" s="7">
        <v>0.15</v>
      </c>
      <c r="L540" t="s">
        <v>23</v>
      </c>
      <c r="M540" s="5">
        <v>1869.9659999999999</v>
      </c>
      <c r="N540" t="s">
        <v>66</v>
      </c>
      <c r="O540" t="s">
        <v>67</v>
      </c>
      <c r="P540" s="5">
        <v>0</v>
      </c>
      <c r="Q540" t="s">
        <v>1131</v>
      </c>
      <c r="R540" t="s">
        <v>1132</v>
      </c>
      <c r="S540" s="5">
        <v>36.04</v>
      </c>
      <c r="T540" s="3">
        <v>45303</v>
      </c>
      <c r="U540" s="3">
        <v>45313</v>
      </c>
      <c r="V540" t="s">
        <v>74</v>
      </c>
      <c r="W540">
        <f t="shared" si="42"/>
        <v>1589.4711</v>
      </c>
      <c r="X540">
        <f t="shared" si="43"/>
        <v>2199.96</v>
      </c>
      <c r="Y540">
        <f t="shared" si="44"/>
        <v>610.48890000000006</v>
      </c>
      <c r="Z540" s="8" t="str">
        <f t="shared" si="41"/>
        <v>High</v>
      </c>
      <c r="AA540" s="12">
        <f>DATE(YEAR(Table1[[#This Row],[OrderDate]]),MONTH(Table1[[#This Row],[OrderDate]]),1)</f>
        <v>45292</v>
      </c>
    </row>
    <row r="541" spans="1:27" x14ac:dyDescent="0.3">
      <c r="A541" s="3">
        <v>45390</v>
      </c>
      <c r="B541" t="s">
        <v>7</v>
      </c>
      <c r="C541" t="s">
        <v>31</v>
      </c>
      <c r="D541" t="str">
        <f>TRIM(Table1[[#This Row],[Product]])</f>
        <v>Laptop</v>
      </c>
      <c r="E541" t="str">
        <f>PROPER(Table1[[#This Row],[Column1]])</f>
        <v>Laptop</v>
      </c>
      <c r="F541" s="8" t="str">
        <f t="shared" si="40"/>
        <v>Technology</v>
      </c>
      <c r="G541" s="5">
        <v>10</v>
      </c>
      <c r="H541">
        <v>100.26</v>
      </c>
      <c r="I541" t="s">
        <v>81</v>
      </c>
      <c r="J541" t="s">
        <v>58</v>
      </c>
      <c r="K541" s="7">
        <v>0.05</v>
      </c>
      <c r="L541" t="s">
        <v>21</v>
      </c>
      <c r="M541" s="5">
        <v>952.47</v>
      </c>
      <c r="N541" t="s">
        <v>66</v>
      </c>
      <c r="O541" t="s">
        <v>67</v>
      </c>
      <c r="P541" s="5">
        <v>0</v>
      </c>
      <c r="Q541" t="s">
        <v>1133</v>
      </c>
      <c r="R541" t="s">
        <v>1134</v>
      </c>
      <c r="S541" s="5">
        <v>36.71</v>
      </c>
      <c r="T541" s="3">
        <v>45390</v>
      </c>
      <c r="U541" s="3">
        <v>45397</v>
      </c>
      <c r="V541" t="s">
        <v>77</v>
      </c>
      <c r="W541">
        <f t="shared" si="42"/>
        <v>904.84649999999999</v>
      </c>
      <c r="X541">
        <f t="shared" si="43"/>
        <v>1002.6</v>
      </c>
      <c r="Y541">
        <f t="shared" si="44"/>
        <v>97.753500000000031</v>
      </c>
      <c r="Z541" s="8" t="str">
        <f t="shared" si="41"/>
        <v>Medium</v>
      </c>
      <c r="AA541" s="12">
        <f>DATE(YEAR(Table1[[#This Row],[OrderDate]]),MONTH(Table1[[#This Row],[OrderDate]]),1)</f>
        <v>45383</v>
      </c>
    </row>
    <row r="542" spans="1:27" x14ac:dyDescent="0.3">
      <c r="A542" s="3">
        <v>45043</v>
      </c>
      <c r="B542" t="s">
        <v>7</v>
      </c>
      <c r="C542" t="s">
        <v>31</v>
      </c>
      <c r="D542" t="str">
        <f>TRIM(Table1[[#This Row],[Product]])</f>
        <v>Laptop</v>
      </c>
      <c r="E542" t="str">
        <f>PROPER(Table1[[#This Row],[Column1]])</f>
        <v>Laptop</v>
      </c>
      <c r="F542" s="8" t="str">
        <f t="shared" si="40"/>
        <v>Technology</v>
      </c>
      <c r="G542" s="5">
        <v>9</v>
      </c>
      <c r="H542">
        <v>554.48</v>
      </c>
      <c r="I542" t="s">
        <v>78</v>
      </c>
      <c r="J542" t="s">
        <v>58</v>
      </c>
      <c r="K542" s="7">
        <v>0</v>
      </c>
      <c r="L542" t="s">
        <v>21</v>
      </c>
      <c r="M542" s="5">
        <v>4990.32</v>
      </c>
      <c r="N542" t="s">
        <v>59</v>
      </c>
      <c r="P542" s="5">
        <v>0</v>
      </c>
      <c r="Q542" t="s">
        <v>1135</v>
      </c>
      <c r="R542" t="s">
        <v>1136</v>
      </c>
      <c r="S542" s="5">
        <v>48.26</v>
      </c>
      <c r="T542" s="3">
        <v>45043</v>
      </c>
      <c r="U542" s="3">
        <v>45047</v>
      </c>
      <c r="V542" t="s">
        <v>77</v>
      </c>
      <c r="W542">
        <f t="shared" si="42"/>
        <v>4990.32</v>
      </c>
      <c r="X542">
        <f t="shared" si="43"/>
        <v>4990.32</v>
      </c>
      <c r="Y542">
        <f t="shared" si="44"/>
        <v>0</v>
      </c>
      <c r="Z542" s="8" t="str">
        <f t="shared" si="41"/>
        <v>No Discount</v>
      </c>
      <c r="AA542" s="12">
        <f>DATE(YEAR(Table1[[#This Row],[OrderDate]]),MONTH(Table1[[#This Row],[OrderDate]]),1)</f>
        <v>45017</v>
      </c>
    </row>
    <row r="543" spans="1:27" x14ac:dyDescent="0.3">
      <c r="A543" s="3">
        <v>45490</v>
      </c>
      <c r="B543" t="s">
        <v>11</v>
      </c>
      <c r="C543" t="s">
        <v>33</v>
      </c>
      <c r="D543" t="str">
        <f>TRIM(Table1[[#This Row],[Product]])</f>
        <v>Phone</v>
      </c>
      <c r="E543" t="str">
        <f>PROPER(Table1[[#This Row],[Column1]])</f>
        <v>Phone</v>
      </c>
      <c r="F543" s="8" t="str">
        <f t="shared" si="40"/>
        <v>Technology</v>
      </c>
      <c r="G543" s="5">
        <v>4</v>
      </c>
      <c r="H543">
        <v>375.96</v>
      </c>
      <c r="I543" t="s">
        <v>78</v>
      </c>
      <c r="J543" t="s">
        <v>65</v>
      </c>
      <c r="K543" s="7">
        <v>0.15</v>
      </c>
      <c r="L543" t="s">
        <v>21</v>
      </c>
      <c r="M543" s="5">
        <v>1278.2639999999999</v>
      </c>
      <c r="N543" t="s">
        <v>85</v>
      </c>
      <c r="P543" s="5">
        <v>0</v>
      </c>
      <c r="Q543" t="s">
        <v>1137</v>
      </c>
      <c r="R543" t="s">
        <v>1138</v>
      </c>
      <c r="S543" s="5">
        <v>44.99</v>
      </c>
      <c r="T543" s="3">
        <v>45490</v>
      </c>
      <c r="U543" s="3">
        <v>45498</v>
      </c>
      <c r="V543" t="s">
        <v>74</v>
      </c>
      <c r="W543">
        <f t="shared" si="42"/>
        <v>1086.5243999999998</v>
      </c>
      <c r="X543">
        <f t="shared" si="43"/>
        <v>1503.84</v>
      </c>
      <c r="Y543">
        <f t="shared" si="44"/>
        <v>417.31560000000013</v>
      </c>
      <c r="Z543" s="8" t="str">
        <f t="shared" si="41"/>
        <v>High</v>
      </c>
      <c r="AA543" s="12">
        <f>DATE(YEAR(Table1[[#This Row],[OrderDate]]),MONTH(Table1[[#This Row],[OrderDate]]),1)</f>
        <v>45474</v>
      </c>
    </row>
    <row r="544" spans="1:27" x14ac:dyDescent="0.3">
      <c r="A544" s="3">
        <v>45339</v>
      </c>
      <c r="B544" t="s">
        <v>7</v>
      </c>
      <c r="C544" t="s">
        <v>32</v>
      </c>
      <c r="D544" t="str">
        <f>TRIM(Table1[[#This Row],[Product]])</f>
        <v>Monitor</v>
      </c>
      <c r="E544" t="str">
        <f>PROPER(Table1[[#This Row],[Column1]])</f>
        <v>Monitor</v>
      </c>
      <c r="F544" s="8" t="str">
        <f t="shared" si="40"/>
        <v>Technology</v>
      </c>
      <c r="G544" s="5">
        <v>14</v>
      </c>
      <c r="H544">
        <v>485.21</v>
      </c>
      <c r="I544" t="s">
        <v>64</v>
      </c>
      <c r="J544" t="s">
        <v>65</v>
      </c>
      <c r="K544" s="7">
        <v>0</v>
      </c>
      <c r="L544" t="s">
        <v>27</v>
      </c>
      <c r="M544" s="5">
        <v>6792.94</v>
      </c>
      <c r="N544" t="s">
        <v>59</v>
      </c>
      <c r="O544" t="s">
        <v>60</v>
      </c>
      <c r="P544" s="5">
        <v>0</v>
      </c>
      <c r="Q544" t="s">
        <v>1139</v>
      </c>
      <c r="R544" t="s">
        <v>1140</v>
      </c>
      <c r="S544" s="5">
        <v>41.72</v>
      </c>
      <c r="T544" s="3">
        <v>45339</v>
      </c>
      <c r="U544" s="3">
        <v>45345</v>
      </c>
      <c r="V544" t="s">
        <v>77</v>
      </c>
      <c r="W544">
        <f t="shared" si="42"/>
        <v>6792.94</v>
      </c>
      <c r="X544">
        <f t="shared" si="43"/>
        <v>6792.94</v>
      </c>
      <c r="Y544">
        <f t="shared" si="44"/>
        <v>0</v>
      </c>
      <c r="Z544" s="8" t="str">
        <f t="shared" si="41"/>
        <v>No Discount</v>
      </c>
      <c r="AA544" s="12">
        <f>DATE(YEAR(Table1[[#This Row],[OrderDate]]),MONTH(Table1[[#This Row],[OrderDate]]),1)</f>
        <v>45323</v>
      </c>
    </row>
    <row r="545" spans="1:27" x14ac:dyDescent="0.3">
      <c r="A545" s="3">
        <v>45316</v>
      </c>
      <c r="B545" t="s">
        <v>13</v>
      </c>
      <c r="C545" t="s">
        <v>32</v>
      </c>
      <c r="D545" t="str">
        <f>TRIM(Table1[[#This Row],[Product]])</f>
        <v>Monitor</v>
      </c>
      <c r="E545" t="str">
        <f>PROPER(Table1[[#This Row],[Column1]])</f>
        <v>Monitor</v>
      </c>
      <c r="F545" s="8" t="str">
        <f t="shared" si="40"/>
        <v>Technology</v>
      </c>
      <c r="G545" s="5">
        <v>9</v>
      </c>
      <c r="H545">
        <v>372.44</v>
      </c>
      <c r="I545" t="s">
        <v>64</v>
      </c>
      <c r="J545" t="s">
        <v>58</v>
      </c>
      <c r="K545" s="7">
        <v>0.05</v>
      </c>
      <c r="L545" t="s">
        <v>23</v>
      </c>
      <c r="M545" s="5">
        <v>3184.3620000000001</v>
      </c>
      <c r="N545" t="s">
        <v>66</v>
      </c>
      <c r="O545" t="s">
        <v>60</v>
      </c>
      <c r="P545" s="5">
        <v>0</v>
      </c>
      <c r="Q545" t="s">
        <v>1141</v>
      </c>
      <c r="R545" t="s">
        <v>1142</v>
      </c>
      <c r="S545" s="5">
        <v>41.87</v>
      </c>
      <c r="T545" s="3">
        <v>45316</v>
      </c>
      <c r="U545" s="3">
        <v>45324</v>
      </c>
      <c r="V545" t="s">
        <v>70</v>
      </c>
      <c r="W545">
        <f t="shared" si="42"/>
        <v>3025.1439</v>
      </c>
      <c r="X545">
        <f t="shared" si="43"/>
        <v>3351.96</v>
      </c>
      <c r="Y545">
        <f t="shared" si="44"/>
        <v>326.81610000000001</v>
      </c>
      <c r="Z545" s="8" t="str">
        <f t="shared" si="41"/>
        <v>Medium</v>
      </c>
      <c r="AA545" s="12">
        <f>DATE(YEAR(Table1[[#This Row],[OrderDate]]),MONTH(Table1[[#This Row],[OrderDate]]),1)</f>
        <v>45292</v>
      </c>
    </row>
    <row r="546" spans="1:27" x14ac:dyDescent="0.3">
      <c r="A546" s="3">
        <v>45375</v>
      </c>
      <c r="B546" t="s">
        <v>7</v>
      </c>
      <c r="C546" t="s">
        <v>31</v>
      </c>
      <c r="D546" t="str">
        <f>TRIM(Table1[[#This Row],[Product]])</f>
        <v>Laptop</v>
      </c>
      <c r="E546" t="str">
        <f>PROPER(Table1[[#This Row],[Column1]])</f>
        <v>Laptop</v>
      </c>
      <c r="F546" s="8" t="str">
        <f t="shared" si="40"/>
        <v>Technology</v>
      </c>
      <c r="G546" s="5">
        <v>7</v>
      </c>
      <c r="H546">
        <v>140.53</v>
      </c>
      <c r="I546" t="s">
        <v>81</v>
      </c>
      <c r="J546" t="s">
        <v>65</v>
      </c>
      <c r="K546" s="7">
        <v>0</v>
      </c>
      <c r="L546" t="s">
        <v>27</v>
      </c>
      <c r="M546" s="5">
        <v>983.71</v>
      </c>
      <c r="N546" t="s">
        <v>85</v>
      </c>
      <c r="P546" s="5">
        <v>1</v>
      </c>
      <c r="Q546" t="s">
        <v>1143</v>
      </c>
      <c r="R546" t="s">
        <v>1144</v>
      </c>
      <c r="S546" s="5">
        <v>24.53</v>
      </c>
      <c r="T546" s="3">
        <v>45375</v>
      </c>
      <c r="U546" s="3">
        <v>45384</v>
      </c>
      <c r="V546" t="s">
        <v>77</v>
      </c>
      <c r="W546">
        <f t="shared" si="42"/>
        <v>983.71</v>
      </c>
      <c r="X546">
        <f t="shared" si="43"/>
        <v>983.71</v>
      </c>
      <c r="Y546">
        <f t="shared" si="44"/>
        <v>0</v>
      </c>
      <c r="Z546" s="8" t="str">
        <f t="shared" si="41"/>
        <v>No Discount</v>
      </c>
      <c r="AA546" s="12">
        <f>DATE(YEAR(Table1[[#This Row],[OrderDate]]),MONTH(Table1[[#This Row],[OrderDate]]),1)</f>
        <v>45352</v>
      </c>
    </row>
    <row r="547" spans="1:27" x14ac:dyDescent="0.3">
      <c r="A547" s="3">
        <v>45102</v>
      </c>
      <c r="B547" t="s">
        <v>11</v>
      </c>
      <c r="C547" t="s">
        <v>30</v>
      </c>
      <c r="D547" t="str">
        <f>TRIM(Table1[[#This Row],[Product]])</f>
        <v>Desk</v>
      </c>
      <c r="E547" t="str">
        <f>PROPER(Table1[[#This Row],[Column1]])</f>
        <v>Desk</v>
      </c>
      <c r="F547" s="8" t="str">
        <f t="shared" si="40"/>
        <v>Furniture</v>
      </c>
      <c r="G547" s="5">
        <v>15</v>
      </c>
      <c r="H547">
        <v>365.61</v>
      </c>
      <c r="I547" t="s">
        <v>81</v>
      </c>
      <c r="J547" t="s">
        <v>65</v>
      </c>
      <c r="K547" s="7">
        <v>0.15</v>
      </c>
      <c r="L547" t="s">
        <v>19</v>
      </c>
      <c r="M547" s="5">
        <v>4661.5275000000001</v>
      </c>
      <c r="N547" t="s">
        <v>88</v>
      </c>
      <c r="O547" t="s">
        <v>60</v>
      </c>
      <c r="P547" s="5">
        <v>0</v>
      </c>
      <c r="Q547" t="s">
        <v>1145</v>
      </c>
      <c r="R547" t="s">
        <v>1146</v>
      </c>
      <c r="S547" s="5">
        <v>35.840000000000003</v>
      </c>
      <c r="T547" s="3">
        <v>45102</v>
      </c>
      <c r="U547" s="3">
        <v>45104</v>
      </c>
      <c r="V547" t="s">
        <v>74</v>
      </c>
      <c r="W547">
        <f t="shared" si="42"/>
        <v>3962.2983749999999</v>
      </c>
      <c r="X547">
        <f t="shared" si="43"/>
        <v>5484.1500000000005</v>
      </c>
      <c r="Y547">
        <f t="shared" si="44"/>
        <v>1521.8516250000007</v>
      </c>
      <c r="Z547" s="8" t="str">
        <f t="shared" si="41"/>
        <v>High</v>
      </c>
      <c r="AA547" s="12">
        <f>DATE(YEAR(Table1[[#This Row],[OrderDate]]),MONTH(Table1[[#This Row],[OrderDate]]),1)</f>
        <v>45078</v>
      </c>
    </row>
    <row r="548" spans="1:27" x14ac:dyDescent="0.3">
      <c r="A548" s="3">
        <v>45033</v>
      </c>
      <c r="B548" t="s">
        <v>13</v>
      </c>
      <c r="C548" t="s">
        <v>31</v>
      </c>
      <c r="D548" t="str">
        <f>TRIM(Table1[[#This Row],[Product]])</f>
        <v>Laptop</v>
      </c>
      <c r="E548" t="str">
        <f>PROPER(Table1[[#This Row],[Column1]])</f>
        <v>Laptop</v>
      </c>
      <c r="F548" s="8" t="str">
        <f t="shared" si="40"/>
        <v>Technology</v>
      </c>
      <c r="G548" s="5">
        <v>20</v>
      </c>
      <c r="H548">
        <v>353.97</v>
      </c>
      <c r="I548" t="s">
        <v>57</v>
      </c>
      <c r="J548" t="s">
        <v>58</v>
      </c>
      <c r="K548" s="7">
        <v>0.15</v>
      </c>
      <c r="L548" t="s">
        <v>27</v>
      </c>
      <c r="M548" s="5">
        <v>6017.4900000000007</v>
      </c>
      <c r="N548" t="s">
        <v>88</v>
      </c>
      <c r="O548" t="s">
        <v>71</v>
      </c>
      <c r="P548" s="5">
        <v>1</v>
      </c>
      <c r="Q548" t="s">
        <v>1147</v>
      </c>
      <c r="R548" t="s">
        <v>1148</v>
      </c>
      <c r="S548" s="5">
        <v>22.05</v>
      </c>
      <c r="T548" s="3">
        <v>45033</v>
      </c>
      <c r="U548" s="3">
        <v>45036</v>
      </c>
      <c r="V548" t="s">
        <v>70</v>
      </c>
      <c r="W548">
        <f t="shared" si="42"/>
        <v>5114.8665000000001</v>
      </c>
      <c r="X548">
        <f t="shared" si="43"/>
        <v>7079.4000000000005</v>
      </c>
      <c r="Y548">
        <f t="shared" si="44"/>
        <v>1964.5335000000005</v>
      </c>
      <c r="Z548" s="8" t="str">
        <f t="shared" si="41"/>
        <v>High</v>
      </c>
      <c r="AA548" s="12">
        <f>DATE(YEAR(Table1[[#This Row],[OrderDate]]),MONTH(Table1[[#This Row],[OrderDate]]),1)</f>
        <v>45017</v>
      </c>
    </row>
    <row r="549" spans="1:27" x14ac:dyDescent="0.3">
      <c r="A549" s="3">
        <v>45105</v>
      </c>
      <c r="B549" t="s">
        <v>9</v>
      </c>
      <c r="C549" t="s">
        <v>29</v>
      </c>
      <c r="D549" t="str">
        <f>TRIM(Table1[[#This Row],[Product]])</f>
        <v>Chair</v>
      </c>
      <c r="E549" t="str">
        <f>PROPER(Table1[[#This Row],[Column1]])</f>
        <v>Chair</v>
      </c>
      <c r="F549" s="8" t="str">
        <f t="shared" si="40"/>
        <v>Furniture</v>
      </c>
      <c r="G549" s="5">
        <v>14</v>
      </c>
      <c r="H549">
        <v>293.31</v>
      </c>
      <c r="I549" t="s">
        <v>81</v>
      </c>
      <c r="J549" t="s">
        <v>58</v>
      </c>
      <c r="K549" s="7">
        <v>0</v>
      </c>
      <c r="L549" t="s">
        <v>18</v>
      </c>
      <c r="M549" s="5">
        <v>4106.34</v>
      </c>
      <c r="N549" t="s">
        <v>66</v>
      </c>
      <c r="P549" s="5">
        <v>0</v>
      </c>
      <c r="Q549" t="s">
        <v>1149</v>
      </c>
      <c r="R549" t="s">
        <v>1150</v>
      </c>
      <c r="S549" s="5">
        <v>21.61</v>
      </c>
      <c r="T549" s="3">
        <v>45105</v>
      </c>
      <c r="U549" s="3">
        <v>45107</v>
      </c>
      <c r="V549" t="s">
        <v>63</v>
      </c>
      <c r="W549">
        <f t="shared" si="42"/>
        <v>4106.34</v>
      </c>
      <c r="X549">
        <f t="shared" si="43"/>
        <v>4106.34</v>
      </c>
      <c r="Y549">
        <f t="shared" si="44"/>
        <v>0</v>
      </c>
      <c r="Z549" s="8" t="str">
        <f t="shared" si="41"/>
        <v>No Discount</v>
      </c>
      <c r="AA549" s="12">
        <f>DATE(YEAR(Table1[[#This Row],[OrderDate]]),MONTH(Table1[[#This Row],[OrderDate]]),1)</f>
        <v>45078</v>
      </c>
    </row>
    <row r="550" spans="1:27" x14ac:dyDescent="0.3">
      <c r="A550" s="3">
        <v>45388</v>
      </c>
      <c r="B550" t="s">
        <v>7</v>
      </c>
      <c r="C550" t="s">
        <v>29</v>
      </c>
      <c r="D550" t="str">
        <f>TRIM(Table1[[#This Row],[Product]])</f>
        <v>Chair</v>
      </c>
      <c r="E550" t="str">
        <f>PROPER(Table1[[#This Row],[Column1]])</f>
        <v>Chair</v>
      </c>
      <c r="F550" s="8" t="str">
        <f t="shared" si="40"/>
        <v>Furniture</v>
      </c>
      <c r="G550" s="5">
        <v>10</v>
      </c>
      <c r="H550">
        <v>397.39</v>
      </c>
      <c r="I550" t="s">
        <v>81</v>
      </c>
      <c r="J550" t="s">
        <v>65</v>
      </c>
      <c r="K550" s="7">
        <v>0.15</v>
      </c>
      <c r="L550" t="s">
        <v>18</v>
      </c>
      <c r="M550" s="5">
        <v>3377.8150000000001</v>
      </c>
      <c r="N550" t="s">
        <v>66</v>
      </c>
      <c r="P550" s="5">
        <v>0</v>
      </c>
      <c r="Q550" t="s">
        <v>1151</v>
      </c>
      <c r="R550" t="s">
        <v>1152</v>
      </c>
      <c r="S550" s="5">
        <v>25.27</v>
      </c>
      <c r="T550" s="3">
        <v>45388</v>
      </c>
      <c r="U550" s="3">
        <v>45398</v>
      </c>
      <c r="V550" t="s">
        <v>77</v>
      </c>
      <c r="W550">
        <f t="shared" si="42"/>
        <v>2871.14275</v>
      </c>
      <c r="X550">
        <f t="shared" si="43"/>
        <v>3973.8999999999996</v>
      </c>
      <c r="Y550">
        <f t="shared" si="44"/>
        <v>1102.7572499999997</v>
      </c>
      <c r="Z550" s="8" t="str">
        <f t="shared" si="41"/>
        <v>High</v>
      </c>
      <c r="AA550" s="12">
        <f>DATE(YEAR(Table1[[#This Row],[OrderDate]]),MONTH(Table1[[#This Row],[OrderDate]]),1)</f>
        <v>45383</v>
      </c>
    </row>
    <row r="551" spans="1:27" x14ac:dyDescent="0.3">
      <c r="A551" s="3">
        <v>45705</v>
      </c>
      <c r="B551" t="s">
        <v>13</v>
      </c>
      <c r="C551" t="s">
        <v>29</v>
      </c>
      <c r="D551" t="str">
        <f>TRIM(Table1[[#This Row],[Product]])</f>
        <v>Chair</v>
      </c>
      <c r="E551" t="str">
        <f>PROPER(Table1[[#This Row],[Column1]])</f>
        <v>Chair</v>
      </c>
      <c r="F551" s="8" t="str">
        <f t="shared" si="40"/>
        <v>Furniture</v>
      </c>
      <c r="G551" s="5">
        <v>2</v>
      </c>
      <c r="H551">
        <v>98.35</v>
      </c>
      <c r="I551" t="s">
        <v>78</v>
      </c>
      <c r="J551" t="s">
        <v>65</v>
      </c>
      <c r="K551" s="7">
        <v>0</v>
      </c>
      <c r="L551" t="s">
        <v>25</v>
      </c>
      <c r="M551" s="5">
        <v>196.7</v>
      </c>
      <c r="N551" t="s">
        <v>85</v>
      </c>
      <c r="O551" t="s">
        <v>60</v>
      </c>
      <c r="P551" s="5">
        <v>0</v>
      </c>
      <c r="Q551" t="s">
        <v>1153</v>
      </c>
      <c r="R551" t="s">
        <v>1154</v>
      </c>
      <c r="S551" s="5">
        <v>28.65</v>
      </c>
      <c r="T551" s="3">
        <v>45705</v>
      </c>
      <c r="U551" s="3">
        <v>45707</v>
      </c>
      <c r="V551" t="s">
        <v>70</v>
      </c>
      <c r="W551">
        <f t="shared" si="42"/>
        <v>196.7</v>
      </c>
      <c r="X551">
        <f t="shared" si="43"/>
        <v>196.7</v>
      </c>
      <c r="Y551">
        <f t="shared" si="44"/>
        <v>0</v>
      </c>
      <c r="Z551" s="8" t="str">
        <f t="shared" si="41"/>
        <v>No Discount</v>
      </c>
      <c r="AA551" s="12">
        <f>DATE(YEAR(Table1[[#This Row],[OrderDate]]),MONTH(Table1[[#This Row],[OrderDate]]),1)</f>
        <v>45689</v>
      </c>
    </row>
    <row r="552" spans="1:27" x14ac:dyDescent="0.3">
      <c r="A552" s="3">
        <v>44934</v>
      </c>
      <c r="B552" t="s">
        <v>13</v>
      </c>
      <c r="C552" t="s">
        <v>30</v>
      </c>
      <c r="D552" t="str">
        <f>TRIM(Table1[[#This Row],[Product]])</f>
        <v>Desk</v>
      </c>
      <c r="E552" t="str">
        <f>PROPER(Table1[[#This Row],[Column1]])</f>
        <v>Desk</v>
      </c>
      <c r="F552" s="8" t="str">
        <f t="shared" si="40"/>
        <v>Furniture</v>
      </c>
      <c r="G552" s="5">
        <v>6</v>
      </c>
      <c r="H552">
        <v>581.66999999999996</v>
      </c>
      <c r="I552" t="s">
        <v>64</v>
      </c>
      <c r="J552" t="s">
        <v>58</v>
      </c>
      <c r="K552" s="7">
        <v>0</v>
      </c>
      <c r="L552" t="s">
        <v>27</v>
      </c>
      <c r="M552" s="5">
        <v>3490.02</v>
      </c>
      <c r="N552" t="s">
        <v>85</v>
      </c>
      <c r="P552" s="5">
        <v>0</v>
      </c>
      <c r="Q552" t="s">
        <v>1155</v>
      </c>
      <c r="R552" t="s">
        <v>1156</v>
      </c>
      <c r="S552" s="5">
        <v>39.4</v>
      </c>
      <c r="T552" s="3">
        <v>44934</v>
      </c>
      <c r="U552" s="3">
        <v>44937</v>
      </c>
      <c r="V552" t="s">
        <v>70</v>
      </c>
      <c r="W552">
        <f t="shared" si="42"/>
        <v>3490.02</v>
      </c>
      <c r="X552">
        <f t="shared" si="43"/>
        <v>3490.0199999999995</v>
      </c>
      <c r="Y552">
        <f t="shared" si="44"/>
        <v>0</v>
      </c>
      <c r="Z552" s="8" t="str">
        <f t="shared" si="41"/>
        <v>No Discount</v>
      </c>
      <c r="AA552" s="12">
        <f>DATE(YEAR(Table1[[#This Row],[OrderDate]]),MONTH(Table1[[#This Row],[OrderDate]]),1)</f>
        <v>44927</v>
      </c>
    </row>
    <row r="553" spans="1:27" x14ac:dyDescent="0.3">
      <c r="A553" s="3">
        <v>45281</v>
      </c>
      <c r="B553" t="s">
        <v>13</v>
      </c>
      <c r="C553" t="s">
        <v>33</v>
      </c>
      <c r="D553" t="str">
        <f>TRIM(Table1[[#This Row],[Product]])</f>
        <v>Phone</v>
      </c>
      <c r="E553" t="str">
        <f>PROPER(Table1[[#This Row],[Column1]])</f>
        <v>Phone</v>
      </c>
      <c r="F553" s="8" t="str">
        <f t="shared" si="40"/>
        <v>Technology</v>
      </c>
      <c r="G553" s="5">
        <v>19</v>
      </c>
      <c r="H553">
        <v>30.41</v>
      </c>
      <c r="I553" t="s">
        <v>81</v>
      </c>
      <c r="J553" t="s">
        <v>65</v>
      </c>
      <c r="K553" s="7">
        <v>0.05</v>
      </c>
      <c r="L553" t="s">
        <v>27</v>
      </c>
      <c r="M553" s="5">
        <v>548.90049999999997</v>
      </c>
      <c r="N553" t="s">
        <v>85</v>
      </c>
      <c r="O553" t="s">
        <v>60</v>
      </c>
      <c r="P553" s="5">
        <v>0</v>
      </c>
      <c r="Q553" t="s">
        <v>1157</v>
      </c>
      <c r="R553" t="s">
        <v>1158</v>
      </c>
      <c r="S553" s="5">
        <v>48.33</v>
      </c>
      <c r="T553" s="3">
        <v>45281</v>
      </c>
      <c r="U553" s="3">
        <v>45291</v>
      </c>
      <c r="V553" t="s">
        <v>70</v>
      </c>
      <c r="W553">
        <f t="shared" si="42"/>
        <v>521.45547499999998</v>
      </c>
      <c r="X553">
        <f t="shared" si="43"/>
        <v>577.79</v>
      </c>
      <c r="Y553">
        <f t="shared" si="44"/>
        <v>56.334524999999985</v>
      </c>
      <c r="Z553" s="8" t="str">
        <f t="shared" si="41"/>
        <v>Medium</v>
      </c>
      <c r="AA553" s="12">
        <f>DATE(YEAR(Table1[[#This Row],[OrderDate]]),MONTH(Table1[[#This Row],[OrderDate]]),1)</f>
        <v>45261</v>
      </c>
    </row>
    <row r="554" spans="1:27" x14ac:dyDescent="0.3">
      <c r="A554" s="3">
        <v>45486</v>
      </c>
      <c r="B554" t="s">
        <v>11</v>
      </c>
      <c r="C554" t="s">
        <v>32</v>
      </c>
      <c r="D554" t="str">
        <f>TRIM(Table1[[#This Row],[Product]])</f>
        <v>Monitor</v>
      </c>
      <c r="E554" t="str">
        <f>PROPER(Table1[[#This Row],[Column1]])</f>
        <v>Monitor</v>
      </c>
      <c r="F554" s="8" t="str">
        <f t="shared" si="40"/>
        <v>Technology</v>
      </c>
      <c r="G554" s="5">
        <v>15</v>
      </c>
      <c r="H554">
        <v>368.79</v>
      </c>
      <c r="I554" t="s">
        <v>78</v>
      </c>
      <c r="J554" t="s">
        <v>58</v>
      </c>
      <c r="K554" s="7">
        <v>0.1</v>
      </c>
      <c r="L554" t="s">
        <v>19</v>
      </c>
      <c r="M554" s="5">
        <v>4978.6650000000009</v>
      </c>
      <c r="N554" t="s">
        <v>66</v>
      </c>
      <c r="O554" t="s">
        <v>71</v>
      </c>
      <c r="P554" s="5">
        <v>0</v>
      </c>
      <c r="Q554" t="s">
        <v>1159</v>
      </c>
      <c r="R554" t="s">
        <v>1160</v>
      </c>
      <c r="S554" s="5">
        <v>16.899999999999999</v>
      </c>
      <c r="T554" s="3">
        <v>45486</v>
      </c>
      <c r="U554" s="3">
        <v>45488</v>
      </c>
      <c r="V554" t="s">
        <v>74</v>
      </c>
      <c r="W554">
        <f t="shared" si="42"/>
        <v>4480.7985000000008</v>
      </c>
      <c r="X554">
        <f t="shared" si="43"/>
        <v>5531.85</v>
      </c>
      <c r="Y554">
        <f t="shared" si="44"/>
        <v>1051.0514999999996</v>
      </c>
      <c r="Z554" s="8" t="str">
        <f t="shared" si="41"/>
        <v>Medium</v>
      </c>
      <c r="AA554" s="12">
        <f>DATE(YEAR(Table1[[#This Row],[OrderDate]]),MONTH(Table1[[#This Row],[OrderDate]]),1)</f>
        <v>45474</v>
      </c>
    </row>
    <row r="555" spans="1:27" x14ac:dyDescent="0.3">
      <c r="A555" s="3">
        <v>45374</v>
      </c>
      <c r="B555" t="s">
        <v>16</v>
      </c>
      <c r="C555" t="s">
        <v>32</v>
      </c>
      <c r="D555" t="str">
        <f>TRIM(Table1[[#This Row],[Product]])</f>
        <v>Monitor</v>
      </c>
      <c r="E555" t="str">
        <f>PROPER(Table1[[#This Row],[Column1]])</f>
        <v>Monitor</v>
      </c>
      <c r="F555" s="8" t="str">
        <f t="shared" si="40"/>
        <v>Technology</v>
      </c>
      <c r="G555" s="5">
        <v>4</v>
      </c>
      <c r="H555">
        <v>56.06</v>
      </c>
      <c r="I555" t="s">
        <v>81</v>
      </c>
      <c r="J555" t="s">
        <v>65</v>
      </c>
      <c r="K555" s="7">
        <v>0.15</v>
      </c>
      <c r="L555" t="s">
        <v>21</v>
      </c>
      <c r="M555" s="5">
        <v>190.60400000000001</v>
      </c>
      <c r="N555" t="s">
        <v>88</v>
      </c>
      <c r="O555" t="s">
        <v>67</v>
      </c>
      <c r="P555" s="5">
        <v>0</v>
      </c>
      <c r="Q555" t="s">
        <v>1161</v>
      </c>
      <c r="R555" t="s">
        <v>1162</v>
      </c>
      <c r="S555" s="5">
        <v>10.77</v>
      </c>
      <c r="T555" s="3">
        <v>45374</v>
      </c>
      <c r="U555" s="3">
        <v>45383</v>
      </c>
      <c r="V555" t="s">
        <v>95</v>
      </c>
      <c r="W555">
        <f t="shared" si="42"/>
        <v>162.01340000000002</v>
      </c>
      <c r="X555">
        <f t="shared" si="43"/>
        <v>224.24</v>
      </c>
      <c r="Y555">
        <f t="shared" si="44"/>
        <v>62.226599999999991</v>
      </c>
      <c r="Z555" s="8" t="str">
        <f t="shared" si="41"/>
        <v>High</v>
      </c>
      <c r="AA555" s="12">
        <f>DATE(YEAR(Table1[[#This Row],[OrderDate]]),MONTH(Table1[[#This Row],[OrderDate]]),1)</f>
        <v>45352</v>
      </c>
    </row>
    <row r="556" spans="1:27" x14ac:dyDescent="0.3">
      <c r="A556" s="3">
        <v>45370</v>
      </c>
      <c r="B556" t="s">
        <v>16</v>
      </c>
      <c r="C556" t="s">
        <v>29</v>
      </c>
      <c r="D556" t="str">
        <f>TRIM(Table1[[#This Row],[Product]])</f>
        <v>Chair</v>
      </c>
      <c r="E556" t="str">
        <f>PROPER(Table1[[#This Row],[Column1]])</f>
        <v>Chair</v>
      </c>
      <c r="F556" s="8" t="str">
        <f t="shared" si="40"/>
        <v>Furniture</v>
      </c>
      <c r="G556" s="5">
        <v>7</v>
      </c>
      <c r="H556">
        <v>15.65</v>
      </c>
      <c r="I556" t="s">
        <v>81</v>
      </c>
      <c r="J556" t="s">
        <v>58</v>
      </c>
      <c r="K556" s="7">
        <v>0</v>
      </c>
      <c r="L556" t="s">
        <v>21</v>
      </c>
      <c r="M556" s="5">
        <v>109.55</v>
      </c>
      <c r="N556" t="s">
        <v>85</v>
      </c>
      <c r="P556" s="5">
        <v>0</v>
      </c>
      <c r="Q556" t="s">
        <v>1163</v>
      </c>
      <c r="R556" t="s">
        <v>1164</v>
      </c>
      <c r="S556" s="5">
        <v>13.28</v>
      </c>
      <c r="T556" s="3">
        <v>45370</v>
      </c>
      <c r="U556" s="3">
        <v>45376</v>
      </c>
      <c r="V556" t="s">
        <v>95</v>
      </c>
      <c r="W556">
        <f t="shared" si="42"/>
        <v>109.55</v>
      </c>
      <c r="X556">
        <f t="shared" si="43"/>
        <v>109.55</v>
      </c>
      <c r="Y556">
        <f t="shared" si="44"/>
        <v>0</v>
      </c>
      <c r="Z556" s="8" t="str">
        <f t="shared" si="41"/>
        <v>No Discount</v>
      </c>
      <c r="AA556" s="12">
        <f>DATE(YEAR(Table1[[#This Row],[OrderDate]]),MONTH(Table1[[#This Row],[OrderDate]]),1)</f>
        <v>45352</v>
      </c>
    </row>
    <row r="557" spans="1:27" x14ac:dyDescent="0.3">
      <c r="A557" s="3">
        <v>45797</v>
      </c>
      <c r="B557" t="s">
        <v>7</v>
      </c>
      <c r="C557" t="s">
        <v>35</v>
      </c>
      <c r="D557" t="str">
        <f>TRIM(Table1[[#This Row],[Product]])</f>
        <v>Tablet</v>
      </c>
      <c r="E557" t="str">
        <f>PROPER(Table1[[#This Row],[Column1]])</f>
        <v>Tablet</v>
      </c>
      <c r="F557" s="8" t="str">
        <f t="shared" si="40"/>
        <v>Technology</v>
      </c>
      <c r="G557" s="5">
        <v>9</v>
      </c>
      <c r="H557">
        <v>380.85</v>
      </c>
      <c r="I557" t="s">
        <v>57</v>
      </c>
      <c r="J557" t="s">
        <v>58</v>
      </c>
      <c r="K557" s="7">
        <v>0</v>
      </c>
      <c r="L557" t="s">
        <v>21</v>
      </c>
      <c r="M557" s="5">
        <v>3427.65</v>
      </c>
      <c r="N557" t="s">
        <v>88</v>
      </c>
      <c r="O557" t="s">
        <v>60</v>
      </c>
      <c r="P557" s="5">
        <v>0</v>
      </c>
      <c r="Q557" t="s">
        <v>1165</v>
      </c>
      <c r="R557" t="s">
        <v>846</v>
      </c>
      <c r="S557" s="5">
        <v>33.4</v>
      </c>
      <c r="T557" s="3">
        <v>45797</v>
      </c>
      <c r="U557" s="3">
        <v>45806</v>
      </c>
      <c r="V557" t="s">
        <v>77</v>
      </c>
      <c r="W557">
        <f t="shared" si="42"/>
        <v>3427.65</v>
      </c>
      <c r="X557">
        <f t="shared" si="43"/>
        <v>3427.65</v>
      </c>
      <c r="Y557">
        <f t="shared" si="44"/>
        <v>0</v>
      </c>
      <c r="Z557" s="8" t="str">
        <f t="shared" si="41"/>
        <v>No Discount</v>
      </c>
      <c r="AA557" s="12">
        <f>DATE(YEAR(Table1[[#This Row],[OrderDate]]),MONTH(Table1[[#This Row],[OrderDate]]),1)</f>
        <v>45778</v>
      </c>
    </row>
    <row r="558" spans="1:27" x14ac:dyDescent="0.3">
      <c r="A558" s="3">
        <v>45676</v>
      </c>
      <c r="B558" t="s">
        <v>13</v>
      </c>
      <c r="C558" t="s">
        <v>29</v>
      </c>
      <c r="D558" t="str">
        <f>TRIM(Table1[[#This Row],[Product]])</f>
        <v>Chair</v>
      </c>
      <c r="E558" t="str">
        <f>PROPER(Table1[[#This Row],[Column1]])</f>
        <v>Chair</v>
      </c>
      <c r="F558" s="8" t="str">
        <f t="shared" si="40"/>
        <v>Furniture</v>
      </c>
      <c r="G558" s="5">
        <v>11</v>
      </c>
      <c r="H558">
        <v>587.21</v>
      </c>
      <c r="I558" t="s">
        <v>78</v>
      </c>
      <c r="J558" t="s">
        <v>58</v>
      </c>
      <c r="K558" s="7">
        <v>0</v>
      </c>
      <c r="L558" t="s">
        <v>21</v>
      </c>
      <c r="M558" s="5">
        <v>6459.31</v>
      </c>
      <c r="N558" t="s">
        <v>85</v>
      </c>
      <c r="O558" t="s">
        <v>71</v>
      </c>
      <c r="P558" s="5">
        <v>0</v>
      </c>
      <c r="Q558" t="s">
        <v>1166</v>
      </c>
      <c r="R558" t="s">
        <v>1167</v>
      </c>
      <c r="S558" s="5">
        <v>34.32</v>
      </c>
      <c r="T558" s="3">
        <v>45676</v>
      </c>
      <c r="U558" s="3">
        <v>45683</v>
      </c>
      <c r="V558" t="s">
        <v>70</v>
      </c>
      <c r="W558">
        <f t="shared" si="42"/>
        <v>6459.31</v>
      </c>
      <c r="X558">
        <f t="shared" si="43"/>
        <v>6459.31</v>
      </c>
      <c r="Y558">
        <f t="shared" si="44"/>
        <v>0</v>
      </c>
      <c r="Z558" s="8" t="str">
        <f t="shared" si="41"/>
        <v>No Discount</v>
      </c>
      <c r="AA558" s="12">
        <f>DATE(YEAR(Table1[[#This Row],[OrderDate]]),MONTH(Table1[[#This Row],[OrderDate]]),1)</f>
        <v>45658</v>
      </c>
    </row>
    <row r="559" spans="1:27" x14ac:dyDescent="0.3">
      <c r="A559" s="3">
        <v>45074</v>
      </c>
      <c r="B559" t="s">
        <v>13</v>
      </c>
      <c r="C559" t="s">
        <v>34</v>
      </c>
      <c r="D559" t="str">
        <f>TRIM(Table1[[#This Row],[Product]])</f>
        <v>Printer</v>
      </c>
      <c r="E559" t="str">
        <f>PROPER(Table1[[#This Row],[Column1]])</f>
        <v>Printer</v>
      </c>
      <c r="F559" s="8" t="str">
        <f t="shared" si="40"/>
        <v>Office Supplies</v>
      </c>
      <c r="G559" s="5">
        <v>17</v>
      </c>
      <c r="H559">
        <v>554.25</v>
      </c>
      <c r="I559" t="s">
        <v>64</v>
      </c>
      <c r="J559" t="s">
        <v>58</v>
      </c>
      <c r="K559" s="7">
        <v>0.1</v>
      </c>
      <c r="L559" t="s">
        <v>23</v>
      </c>
      <c r="M559" s="5">
        <v>8480.0249999999996</v>
      </c>
      <c r="N559" t="s">
        <v>85</v>
      </c>
      <c r="P559" s="5">
        <v>0</v>
      </c>
      <c r="Q559" t="s">
        <v>1168</v>
      </c>
      <c r="R559" t="s">
        <v>1169</v>
      </c>
      <c r="S559" s="5">
        <v>8.66</v>
      </c>
      <c r="T559" s="3">
        <v>45074</v>
      </c>
      <c r="U559" s="3">
        <v>45078</v>
      </c>
      <c r="V559" t="s">
        <v>70</v>
      </c>
      <c r="W559">
        <f t="shared" si="42"/>
        <v>7632.0225</v>
      </c>
      <c r="X559">
        <f t="shared" si="43"/>
        <v>9422.25</v>
      </c>
      <c r="Y559">
        <f t="shared" si="44"/>
        <v>1790.2275</v>
      </c>
      <c r="Z559" s="8" t="str">
        <f t="shared" si="41"/>
        <v>Medium</v>
      </c>
      <c r="AA559" s="12">
        <f>DATE(YEAR(Table1[[#This Row],[OrderDate]]),MONTH(Table1[[#This Row],[OrderDate]]),1)</f>
        <v>45047</v>
      </c>
    </row>
    <row r="560" spans="1:27" x14ac:dyDescent="0.3">
      <c r="A560" s="3">
        <v>45227</v>
      </c>
      <c r="B560" t="s">
        <v>9</v>
      </c>
      <c r="C560" t="s">
        <v>34</v>
      </c>
      <c r="D560" t="str">
        <f>TRIM(Table1[[#This Row],[Product]])</f>
        <v>Printer</v>
      </c>
      <c r="E560" t="str">
        <f>PROPER(Table1[[#This Row],[Column1]])</f>
        <v>Printer</v>
      </c>
      <c r="F560" s="8" t="str">
        <f t="shared" si="40"/>
        <v>Office Supplies</v>
      </c>
      <c r="G560" s="5">
        <v>3</v>
      </c>
      <c r="H560">
        <v>410.23</v>
      </c>
      <c r="I560" t="s">
        <v>64</v>
      </c>
      <c r="J560" t="s">
        <v>58</v>
      </c>
      <c r="K560" s="7">
        <v>0.15</v>
      </c>
      <c r="L560" t="s">
        <v>23</v>
      </c>
      <c r="M560" s="5">
        <v>1046.0864999999999</v>
      </c>
      <c r="N560" t="s">
        <v>82</v>
      </c>
      <c r="O560" t="s">
        <v>60</v>
      </c>
      <c r="P560" s="5">
        <v>0</v>
      </c>
      <c r="Q560" t="s">
        <v>1170</v>
      </c>
      <c r="R560" t="s">
        <v>1171</v>
      </c>
      <c r="S560" s="5">
        <v>6.04</v>
      </c>
      <c r="T560" s="3">
        <v>45227</v>
      </c>
      <c r="U560" s="3">
        <v>45233</v>
      </c>
      <c r="V560" t="s">
        <v>63</v>
      </c>
      <c r="W560">
        <f t="shared" si="42"/>
        <v>889.17352499999993</v>
      </c>
      <c r="X560">
        <f t="shared" si="43"/>
        <v>1230.69</v>
      </c>
      <c r="Y560">
        <f t="shared" si="44"/>
        <v>341.51647500000013</v>
      </c>
      <c r="Z560" s="8" t="str">
        <f t="shared" si="41"/>
        <v>High</v>
      </c>
      <c r="AA560" s="12">
        <f>DATE(YEAR(Table1[[#This Row],[OrderDate]]),MONTH(Table1[[#This Row],[OrderDate]]),1)</f>
        <v>45200</v>
      </c>
    </row>
    <row r="561" spans="1:27" x14ac:dyDescent="0.3">
      <c r="A561" s="3">
        <v>45255</v>
      </c>
      <c r="B561" t="s">
        <v>16</v>
      </c>
      <c r="C561" t="s">
        <v>32</v>
      </c>
      <c r="D561" t="str">
        <f>TRIM(Table1[[#This Row],[Product]])</f>
        <v>Monitor</v>
      </c>
      <c r="E561" t="str">
        <f>PROPER(Table1[[#This Row],[Column1]])</f>
        <v>Monitor</v>
      </c>
      <c r="F561" s="8" t="str">
        <f t="shared" si="40"/>
        <v>Technology</v>
      </c>
      <c r="G561" s="5">
        <v>5</v>
      </c>
      <c r="H561">
        <v>99.23</v>
      </c>
      <c r="I561" t="s">
        <v>57</v>
      </c>
      <c r="J561" t="s">
        <v>65</v>
      </c>
      <c r="K561" s="7">
        <v>0</v>
      </c>
      <c r="L561" t="s">
        <v>25</v>
      </c>
      <c r="M561" s="5">
        <v>496.15</v>
      </c>
      <c r="N561" t="s">
        <v>85</v>
      </c>
      <c r="P561" s="5">
        <v>0</v>
      </c>
      <c r="Q561" t="s">
        <v>1172</v>
      </c>
      <c r="R561" t="s">
        <v>1173</v>
      </c>
      <c r="S561" s="5">
        <v>37.659999999999997</v>
      </c>
      <c r="T561" s="3">
        <v>45255</v>
      </c>
      <c r="U561" s="3">
        <v>45262</v>
      </c>
      <c r="V561" t="s">
        <v>95</v>
      </c>
      <c r="W561">
        <f t="shared" si="42"/>
        <v>496.15</v>
      </c>
      <c r="X561">
        <f t="shared" si="43"/>
        <v>496.15000000000003</v>
      </c>
      <c r="Y561">
        <f t="shared" si="44"/>
        <v>0</v>
      </c>
      <c r="Z561" s="8" t="str">
        <f t="shared" si="41"/>
        <v>No Discount</v>
      </c>
      <c r="AA561" s="12">
        <f>DATE(YEAR(Table1[[#This Row],[OrderDate]]),MONTH(Table1[[#This Row],[OrderDate]]),1)</f>
        <v>45231</v>
      </c>
    </row>
    <row r="562" spans="1:27" x14ac:dyDescent="0.3">
      <c r="A562" s="3">
        <v>45613</v>
      </c>
      <c r="B562" t="s">
        <v>13</v>
      </c>
      <c r="C562" t="s">
        <v>32</v>
      </c>
      <c r="D562" t="str">
        <f>TRIM(Table1[[#This Row],[Product]])</f>
        <v>Monitor</v>
      </c>
      <c r="E562" t="str">
        <f>PROPER(Table1[[#This Row],[Column1]])</f>
        <v>Monitor</v>
      </c>
      <c r="F562" s="8" t="str">
        <f t="shared" si="40"/>
        <v>Technology</v>
      </c>
      <c r="G562" s="5">
        <v>9</v>
      </c>
      <c r="H562">
        <v>503.18</v>
      </c>
      <c r="I562" t="s">
        <v>57</v>
      </c>
      <c r="J562" t="s">
        <v>58</v>
      </c>
      <c r="K562" s="7">
        <v>0</v>
      </c>
      <c r="L562" t="s">
        <v>23</v>
      </c>
      <c r="M562" s="5">
        <v>4528.62</v>
      </c>
      <c r="N562" t="s">
        <v>66</v>
      </c>
      <c r="O562" t="s">
        <v>67</v>
      </c>
      <c r="P562" s="5">
        <v>1</v>
      </c>
      <c r="Q562" t="s">
        <v>1174</v>
      </c>
      <c r="R562" t="s">
        <v>1175</v>
      </c>
      <c r="S562" s="5">
        <v>46.02</v>
      </c>
      <c r="T562" s="3">
        <v>45613</v>
      </c>
      <c r="U562" s="3">
        <v>45620</v>
      </c>
      <c r="V562" t="s">
        <v>70</v>
      </c>
      <c r="W562">
        <f t="shared" si="42"/>
        <v>4528.62</v>
      </c>
      <c r="X562">
        <f t="shared" si="43"/>
        <v>4528.62</v>
      </c>
      <c r="Y562">
        <f t="shared" si="44"/>
        <v>0</v>
      </c>
      <c r="Z562" s="8" t="str">
        <f t="shared" si="41"/>
        <v>No Discount</v>
      </c>
      <c r="AA562" s="12">
        <f>DATE(YEAR(Table1[[#This Row],[OrderDate]]),MONTH(Table1[[#This Row],[OrderDate]]),1)</f>
        <v>45597</v>
      </c>
    </row>
    <row r="563" spans="1:27" x14ac:dyDescent="0.3">
      <c r="A563" s="3">
        <v>45315</v>
      </c>
      <c r="B563" t="s">
        <v>7</v>
      </c>
      <c r="C563" t="s">
        <v>32</v>
      </c>
      <c r="D563" t="str">
        <f>TRIM(Table1[[#This Row],[Product]])</f>
        <v>Monitor</v>
      </c>
      <c r="E563" t="str">
        <f>PROPER(Table1[[#This Row],[Column1]])</f>
        <v>Monitor</v>
      </c>
      <c r="F563" s="8" t="str">
        <f t="shared" si="40"/>
        <v>Technology</v>
      </c>
      <c r="G563" s="5">
        <v>17</v>
      </c>
      <c r="H563">
        <v>155.31</v>
      </c>
      <c r="I563" t="s">
        <v>78</v>
      </c>
      <c r="J563" t="s">
        <v>65</v>
      </c>
      <c r="K563" s="7">
        <v>0.15</v>
      </c>
      <c r="L563" t="s">
        <v>19</v>
      </c>
      <c r="M563" s="5">
        <v>2244.2294999999999</v>
      </c>
      <c r="N563" t="s">
        <v>82</v>
      </c>
      <c r="O563" t="s">
        <v>71</v>
      </c>
      <c r="P563" s="5">
        <v>0</v>
      </c>
      <c r="Q563" t="s">
        <v>1176</v>
      </c>
      <c r="R563" t="s">
        <v>1177</v>
      </c>
      <c r="S563" s="5">
        <v>27.1</v>
      </c>
      <c r="T563" s="3">
        <v>45315</v>
      </c>
      <c r="U563" s="3">
        <v>45320</v>
      </c>
      <c r="V563" t="s">
        <v>77</v>
      </c>
      <c r="W563">
        <f t="shared" si="42"/>
        <v>1907.595075</v>
      </c>
      <c r="X563">
        <f t="shared" si="43"/>
        <v>2640.27</v>
      </c>
      <c r="Y563">
        <f t="shared" si="44"/>
        <v>732.67492500000003</v>
      </c>
      <c r="Z563" s="8" t="str">
        <f t="shared" si="41"/>
        <v>High</v>
      </c>
      <c r="AA563" s="12">
        <f>DATE(YEAR(Table1[[#This Row],[OrderDate]]),MONTH(Table1[[#This Row],[OrderDate]]),1)</f>
        <v>45292</v>
      </c>
    </row>
    <row r="564" spans="1:27" x14ac:dyDescent="0.3">
      <c r="A564" s="3">
        <v>45096</v>
      </c>
      <c r="B564" t="s">
        <v>11</v>
      </c>
      <c r="C564" t="s">
        <v>29</v>
      </c>
      <c r="D564" t="str">
        <f>TRIM(Table1[[#This Row],[Product]])</f>
        <v>Chair</v>
      </c>
      <c r="E564" t="str">
        <f>PROPER(Table1[[#This Row],[Column1]])</f>
        <v>Chair</v>
      </c>
      <c r="F564" s="8" t="str">
        <f t="shared" si="40"/>
        <v>Furniture</v>
      </c>
      <c r="G564" s="5">
        <v>7</v>
      </c>
      <c r="H564">
        <v>303.79000000000002</v>
      </c>
      <c r="I564" t="s">
        <v>81</v>
      </c>
      <c r="J564" t="s">
        <v>58</v>
      </c>
      <c r="K564" s="7">
        <v>0.15</v>
      </c>
      <c r="L564" t="s">
        <v>27</v>
      </c>
      <c r="M564" s="5">
        <v>1807.5505000000001</v>
      </c>
      <c r="N564" t="s">
        <v>82</v>
      </c>
      <c r="O564" t="s">
        <v>67</v>
      </c>
      <c r="P564" s="5">
        <v>0</v>
      </c>
      <c r="Q564" t="s">
        <v>1178</v>
      </c>
      <c r="R564" t="s">
        <v>1179</v>
      </c>
      <c r="S564" s="5">
        <v>38.85</v>
      </c>
      <c r="T564" s="3">
        <v>45096</v>
      </c>
      <c r="U564" s="3">
        <v>45106</v>
      </c>
      <c r="V564" t="s">
        <v>74</v>
      </c>
      <c r="W564">
        <f t="shared" si="42"/>
        <v>1536.417925</v>
      </c>
      <c r="X564">
        <f t="shared" si="43"/>
        <v>2126.5300000000002</v>
      </c>
      <c r="Y564">
        <f t="shared" si="44"/>
        <v>590.11207500000023</v>
      </c>
      <c r="Z564" s="8" t="str">
        <f t="shared" si="41"/>
        <v>High</v>
      </c>
      <c r="AA564" s="12">
        <f>DATE(YEAR(Table1[[#This Row],[OrderDate]]),MONTH(Table1[[#This Row],[OrderDate]]),1)</f>
        <v>45078</v>
      </c>
    </row>
    <row r="565" spans="1:27" x14ac:dyDescent="0.3">
      <c r="A565" s="3">
        <v>45670</v>
      </c>
      <c r="B565" t="s">
        <v>9</v>
      </c>
      <c r="C565" t="s">
        <v>33</v>
      </c>
      <c r="D565" t="str">
        <f>TRIM(Table1[[#This Row],[Product]])</f>
        <v>Phone</v>
      </c>
      <c r="E565" t="str">
        <f>PROPER(Table1[[#This Row],[Column1]])</f>
        <v>Phone</v>
      </c>
      <c r="F565" s="8" t="str">
        <f t="shared" si="40"/>
        <v>Technology</v>
      </c>
      <c r="G565" s="5">
        <v>17</v>
      </c>
      <c r="H565">
        <v>263.75</v>
      </c>
      <c r="I565" t="s">
        <v>57</v>
      </c>
      <c r="J565" t="s">
        <v>65</v>
      </c>
      <c r="K565" s="7">
        <v>0</v>
      </c>
      <c r="L565" t="s">
        <v>18</v>
      </c>
      <c r="M565" s="5">
        <v>4483.75</v>
      </c>
      <c r="N565" t="s">
        <v>59</v>
      </c>
      <c r="P565" s="5">
        <v>1</v>
      </c>
      <c r="Q565" t="s">
        <v>1180</v>
      </c>
      <c r="R565" t="s">
        <v>1181</v>
      </c>
      <c r="S565" s="5">
        <v>12.97</v>
      </c>
      <c r="T565" s="3">
        <v>45670</v>
      </c>
      <c r="U565" s="3">
        <v>45675</v>
      </c>
      <c r="V565" t="s">
        <v>63</v>
      </c>
      <c r="W565">
        <f t="shared" si="42"/>
        <v>4483.75</v>
      </c>
      <c r="X565">
        <f t="shared" si="43"/>
        <v>4483.75</v>
      </c>
      <c r="Y565">
        <f t="shared" si="44"/>
        <v>0</v>
      </c>
      <c r="Z565" s="8" t="str">
        <f t="shared" si="41"/>
        <v>No Discount</v>
      </c>
      <c r="AA565" s="12">
        <f>DATE(YEAR(Table1[[#This Row],[OrderDate]]),MONTH(Table1[[#This Row],[OrderDate]]),1)</f>
        <v>45658</v>
      </c>
    </row>
    <row r="566" spans="1:27" x14ac:dyDescent="0.3">
      <c r="A566" s="3">
        <v>45315</v>
      </c>
      <c r="B566" t="s">
        <v>9</v>
      </c>
      <c r="C566" t="s">
        <v>33</v>
      </c>
      <c r="D566" t="str">
        <f>TRIM(Table1[[#This Row],[Product]])</f>
        <v>Phone</v>
      </c>
      <c r="E566" t="str">
        <f>PROPER(Table1[[#This Row],[Column1]])</f>
        <v>Phone</v>
      </c>
      <c r="F566" s="8" t="str">
        <f t="shared" si="40"/>
        <v>Technology</v>
      </c>
      <c r="G566" s="5">
        <v>4</v>
      </c>
      <c r="H566">
        <v>179.92</v>
      </c>
      <c r="I566" t="s">
        <v>81</v>
      </c>
      <c r="J566" t="s">
        <v>65</v>
      </c>
      <c r="K566" s="7">
        <v>0.1</v>
      </c>
      <c r="L566" t="s">
        <v>23</v>
      </c>
      <c r="M566" s="5">
        <v>647.71199999999999</v>
      </c>
      <c r="N566" t="s">
        <v>59</v>
      </c>
      <c r="O566" t="s">
        <v>71</v>
      </c>
      <c r="P566" s="5">
        <v>0</v>
      </c>
      <c r="Q566" t="s">
        <v>1182</v>
      </c>
      <c r="R566" t="s">
        <v>1183</v>
      </c>
      <c r="S566" s="5">
        <v>35.26</v>
      </c>
      <c r="T566" s="3">
        <v>45315</v>
      </c>
      <c r="U566" s="3">
        <v>45323</v>
      </c>
      <c r="V566" t="s">
        <v>63</v>
      </c>
      <c r="W566">
        <f t="shared" si="42"/>
        <v>582.94079999999997</v>
      </c>
      <c r="X566">
        <f t="shared" si="43"/>
        <v>719.68</v>
      </c>
      <c r="Y566">
        <f t="shared" si="44"/>
        <v>136.73919999999998</v>
      </c>
      <c r="Z566" s="8" t="str">
        <f t="shared" si="41"/>
        <v>Medium</v>
      </c>
      <c r="AA566" s="12">
        <f>DATE(YEAR(Table1[[#This Row],[OrderDate]]),MONTH(Table1[[#This Row],[OrderDate]]),1)</f>
        <v>45292</v>
      </c>
    </row>
    <row r="567" spans="1:27" x14ac:dyDescent="0.3">
      <c r="A567" s="3">
        <v>45663</v>
      </c>
      <c r="B567" t="s">
        <v>13</v>
      </c>
      <c r="C567" t="s">
        <v>34</v>
      </c>
      <c r="D567" t="str">
        <f>TRIM(Table1[[#This Row],[Product]])</f>
        <v>Printer</v>
      </c>
      <c r="E567" t="str">
        <f>PROPER(Table1[[#This Row],[Column1]])</f>
        <v>Printer</v>
      </c>
      <c r="F567" s="8" t="str">
        <f t="shared" si="40"/>
        <v>Office Supplies</v>
      </c>
      <c r="G567" s="5">
        <v>2</v>
      </c>
      <c r="H567">
        <v>264</v>
      </c>
      <c r="I567" t="s">
        <v>81</v>
      </c>
      <c r="J567" t="s">
        <v>65</v>
      </c>
      <c r="K567" s="7">
        <v>0</v>
      </c>
      <c r="L567" t="s">
        <v>19</v>
      </c>
      <c r="M567" s="5">
        <v>528</v>
      </c>
      <c r="N567" t="s">
        <v>66</v>
      </c>
      <c r="O567" t="s">
        <v>67</v>
      </c>
      <c r="P567" s="5">
        <v>0</v>
      </c>
      <c r="Q567" t="s">
        <v>1184</v>
      </c>
      <c r="R567" t="s">
        <v>1185</v>
      </c>
      <c r="S567" s="5">
        <v>26.73</v>
      </c>
      <c r="T567" s="3">
        <v>45663</v>
      </c>
      <c r="U567" s="3">
        <v>45671</v>
      </c>
      <c r="V567" t="s">
        <v>70</v>
      </c>
      <c r="W567">
        <f t="shared" si="42"/>
        <v>528</v>
      </c>
      <c r="X567">
        <f t="shared" si="43"/>
        <v>528</v>
      </c>
      <c r="Y567">
        <f t="shared" si="44"/>
        <v>0</v>
      </c>
      <c r="Z567" s="8" t="str">
        <f t="shared" si="41"/>
        <v>No Discount</v>
      </c>
      <c r="AA567" s="12">
        <f>DATE(YEAR(Table1[[#This Row],[OrderDate]]),MONTH(Table1[[#This Row],[OrderDate]]),1)</f>
        <v>45658</v>
      </c>
    </row>
    <row r="568" spans="1:27" x14ac:dyDescent="0.3">
      <c r="A568" s="3">
        <v>45659</v>
      </c>
      <c r="B568" t="s">
        <v>7</v>
      </c>
      <c r="C568" t="s">
        <v>31</v>
      </c>
      <c r="D568" t="str">
        <f>TRIM(Table1[[#This Row],[Product]])</f>
        <v>Laptop</v>
      </c>
      <c r="E568" t="str">
        <f>PROPER(Table1[[#This Row],[Column1]])</f>
        <v>Laptop</v>
      </c>
      <c r="F568" s="8" t="str">
        <f t="shared" si="40"/>
        <v>Technology</v>
      </c>
      <c r="G568" s="5">
        <v>4</v>
      </c>
      <c r="H568">
        <v>403.97</v>
      </c>
      <c r="I568" t="s">
        <v>64</v>
      </c>
      <c r="J568" t="s">
        <v>58</v>
      </c>
      <c r="K568" s="7">
        <v>0.05</v>
      </c>
      <c r="L568" t="s">
        <v>18</v>
      </c>
      <c r="M568" s="5">
        <v>1535.086</v>
      </c>
      <c r="N568" t="s">
        <v>88</v>
      </c>
      <c r="O568" t="s">
        <v>71</v>
      </c>
      <c r="P568" s="5">
        <v>0</v>
      </c>
      <c r="Q568" t="s">
        <v>1186</v>
      </c>
      <c r="R568" t="s">
        <v>1187</v>
      </c>
      <c r="S568" s="5">
        <v>39.92</v>
      </c>
      <c r="T568" s="3">
        <v>45659</v>
      </c>
      <c r="U568" s="3">
        <v>45666</v>
      </c>
      <c r="V568" t="s">
        <v>77</v>
      </c>
      <c r="W568">
        <f t="shared" si="42"/>
        <v>1458.3317</v>
      </c>
      <c r="X568">
        <f t="shared" si="43"/>
        <v>1615.88</v>
      </c>
      <c r="Y568">
        <f t="shared" si="44"/>
        <v>157.54830000000015</v>
      </c>
      <c r="Z568" s="8" t="str">
        <f t="shared" si="41"/>
        <v>Medium</v>
      </c>
      <c r="AA568" s="12">
        <f>DATE(YEAR(Table1[[#This Row],[OrderDate]]),MONTH(Table1[[#This Row],[OrderDate]]),1)</f>
        <v>45658</v>
      </c>
    </row>
    <row r="569" spans="1:27" x14ac:dyDescent="0.3">
      <c r="A569" s="3">
        <v>44979</v>
      </c>
      <c r="B569" t="s">
        <v>11</v>
      </c>
      <c r="C569" t="s">
        <v>30</v>
      </c>
      <c r="D569" t="str">
        <f>TRIM(Table1[[#This Row],[Product]])</f>
        <v>Desk</v>
      </c>
      <c r="E569" t="str">
        <f>PROPER(Table1[[#This Row],[Column1]])</f>
        <v>Desk</v>
      </c>
      <c r="F569" s="8" t="str">
        <f t="shared" si="40"/>
        <v>Furniture</v>
      </c>
      <c r="G569" s="5">
        <v>4</v>
      </c>
      <c r="H569">
        <v>85.96</v>
      </c>
      <c r="I569" t="s">
        <v>64</v>
      </c>
      <c r="J569" t="s">
        <v>65</v>
      </c>
      <c r="K569" s="7">
        <v>0.1</v>
      </c>
      <c r="L569" t="s">
        <v>27</v>
      </c>
      <c r="M569" s="5">
        <v>309.45600000000002</v>
      </c>
      <c r="N569" t="s">
        <v>82</v>
      </c>
      <c r="P569" s="5">
        <v>0</v>
      </c>
      <c r="Q569" t="s">
        <v>1188</v>
      </c>
      <c r="R569" t="s">
        <v>1189</v>
      </c>
      <c r="S569" s="5">
        <v>32.119999999999997</v>
      </c>
      <c r="T569" s="3">
        <v>44979</v>
      </c>
      <c r="U569" s="3">
        <v>44988</v>
      </c>
      <c r="V569" t="s">
        <v>74</v>
      </c>
      <c r="W569">
        <f t="shared" si="42"/>
        <v>278.5104</v>
      </c>
      <c r="X569">
        <f t="shared" si="43"/>
        <v>343.84</v>
      </c>
      <c r="Y569">
        <f t="shared" si="44"/>
        <v>65.329599999999971</v>
      </c>
      <c r="Z569" s="8" t="str">
        <f t="shared" si="41"/>
        <v>Medium</v>
      </c>
      <c r="AA569" s="12">
        <f>DATE(YEAR(Table1[[#This Row],[OrderDate]]),MONTH(Table1[[#This Row],[OrderDate]]),1)</f>
        <v>44958</v>
      </c>
    </row>
    <row r="570" spans="1:27" x14ac:dyDescent="0.3">
      <c r="A570" s="3">
        <v>45694</v>
      </c>
      <c r="B570" t="s">
        <v>9</v>
      </c>
      <c r="C570" t="s">
        <v>30</v>
      </c>
      <c r="D570" t="str">
        <f>TRIM(Table1[[#This Row],[Product]])</f>
        <v>Desk</v>
      </c>
      <c r="E570" t="str">
        <f>PROPER(Table1[[#This Row],[Column1]])</f>
        <v>Desk</v>
      </c>
      <c r="F570" s="8" t="str">
        <f t="shared" si="40"/>
        <v>Furniture</v>
      </c>
      <c r="G570" s="5">
        <v>2</v>
      </c>
      <c r="H570">
        <v>93.49</v>
      </c>
      <c r="I570" t="s">
        <v>64</v>
      </c>
      <c r="J570" t="s">
        <v>58</v>
      </c>
      <c r="K570" s="7">
        <v>0.1</v>
      </c>
      <c r="L570" t="s">
        <v>18</v>
      </c>
      <c r="M570" s="5">
        <v>168.28200000000001</v>
      </c>
      <c r="N570" t="s">
        <v>85</v>
      </c>
      <c r="O570" t="s">
        <v>71</v>
      </c>
      <c r="P570" s="5">
        <v>0</v>
      </c>
      <c r="Q570" t="s">
        <v>1190</v>
      </c>
      <c r="R570" t="s">
        <v>1191</v>
      </c>
      <c r="S570" s="5">
        <v>26.31</v>
      </c>
      <c r="T570" s="3">
        <v>45694</v>
      </c>
      <c r="U570" s="3">
        <v>45704</v>
      </c>
      <c r="V570" t="s">
        <v>63</v>
      </c>
      <c r="W570">
        <f t="shared" si="42"/>
        <v>151.4538</v>
      </c>
      <c r="X570">
        <f t="shared" si="43"/>
        <v>186.98</v>
      </c>
      <c r="Y570">
        <f t="shared" si="44"/>
        <v>35.526199999999989</v>
      </c>
      <c r="Z570" s="8" t="str">
        <f t="shared" si="41"/>
        <v>Medium</v>
      </c>
      <c r="AA570" s="12">
        <f>DATE(YEAR(Table1[[#This Row],[OrderDate]]),MONTH(Table1[[#This Row],[OrderDate]]),1)</f>
        <v>45689</v>
      </c>
    </row>
    <row r="571" spans="1:27" x14ac:dyDescent="0.3">
      <c r="A571" s="3">
        <v>45561</v>
      </c>
      <c r="B571" t="s">
        <v>9</v>
      </c>
      <c r="C571" t="s">
        <v>30</v>
      </c>
      <c r="D571" t="str">
        <f>TRIM(Table1[[#This Row],[Product]])</f>
        <v>Desk</v>
      </c>
      <c r="E571" t="str">
        <f>PROPER(Table1[[#This Row],[Column1]])</f>
        <v>Desk</v>
      </c>
      <c r="F571" s="8" t="str">
        <f t="shared" si="40"/>
        <v>Furniture</v>
      </c>
      <c r="G571" s="5">
        <v>11</v>
      </c>
      <c r="H571">
        <v>144.29</v>
      </c>
      <c r="I571" t="s">
        <v>57</v>
      </c>
      <c r="J571" t="s">
        <v>65</v>
      </c>
      <c r="K571" s="7">
        <v>0.05</v>
      </c>
      <c r="L571" t="s">
        <v>19</v>
      </c>
      <c r="M571" s="5">
        <v>1507.8305</v>
      </c>
      <c r="N571" t="s">
        <v>82</v>
      </c>
      <c r="O571" t="s">
        <v>71</v>
      </c>
      <c r="P571" s="5">
        <v>0</v>
      </c>
      <c r="Q571" t="s">
        <v>1192</v>
      </c>
      <c r="R571" t="s">
        <v>904</v>
      </c>
      <c r="S571" s="5">
        <v>11.91</v>
      </c>
      <c r="T571" s="3">
        <v>45561</v>
      </c>
      <c r="U571" s="3">
        <v>45565</v>
      </c>
      <c r="V571" t="s">
        <v>63</v>
      </c>
      <c r="W571">
        <f t="shared" si="42"/>
        <v>1432.438975</v>
      </c>
      <c r="X571">
        <f t="shared" si="43"/>
        <v>1587.1899999999998</v>
      </c>
      <c r="Y571">
        <f t="shared" si="44"/>
        <v>154.7510249999998</v>
      </c>
      <c r="Z571" s="8" t="str">
        <f t="shared" si="41"/>
        <v>Medium</v>
      </c>
      <c r="AA571" s="12">
        <f>DATE(YEAR(Table1[[#This Row],[OrderDate]]),MONTH(Table1[[#This Row],[OrderDate]]),1)</f>
        <v>45536</v>
      </c>
    </row>
    <row r="572" spans="1:27" x14ac:dyDescent="0.3">
      <c r="A572" s="3">
        <v>45744</v>
      </c>
      <c r="B572" t="s">
        <v>11</v>
      </c>
      <c r="C572" t="s">
        <v>29</v>
      </c>
      <c r="D572" t="str">
        <f>TRIM(Table1[[#This Row],[Product]])</f>
        <v>Chair</v>
      </c>
      <c r="E572" t="str">
        <f>PROPER(Table1[[#This Row],[Column1]])</f>
        <v>Chair</v>
      </c>
      <c r="F572" s="8" t="str">
        <f t="shared" si="40"/>
        <v>Furniture</v>
      </c>
      <c r="G572" s="5">
        <v>18</v>
      </c>
      <c r="H572">
        <v>553.23</v>
      </c>
      <c r="I572" t="s">
        <v>81</v>
      </c>
      <c r="J572" t="s">
        <v>58</v>
      </c>
      <c r="K572" s="7">
        <v>0</v>
      </c>
      <c r="L572" t="s">
        <v>27</v>
      </c>
      <c r="M572" s="5">
        <v>9958.14</v>
      </c>
      <c r="N572" t="s">
        <v>88</v>
      </c>
      <c r="O572" t="s">
        <v>60</v>
      </c>
      <c r="P572" s="5">
        <v>0</v>
      </c>
      <c r="Q572" t="s">
        <v>1193</v>
      </c>
      <c r="R572" t="s">
        <v>1194</v>
      </c>
      <c r="S572" s="5">
        <v>31.76</v>
      </c>
      <c r="T572" s="3">
        <v>45744</v>
      </c>
      <c r="U572" s="3">
        <v>45748</v>
      </c>
      <c r="V572" t="s">
        <v>74</v>
      </c>
      <c r="W572">
        <f t="shared" si="42"/>
        <v>9958.14</v>
      </c>
      <c r="X572">
        <f t="shared" si="43"/>
        <v>9958.14</v>
      </c>
      <c r="Y572">
        <f t="shared" si="44"/>
        <v>0</v>
      </c>
      <c r="Z572" s="8" t="str">
        <f t="shared" si="41"/>
        <v>No Discount</v>
      </c>
      <c r="AA572" s="12">
        <f>DATE(YEAR(Table1[[#This Row],[OrderDate]]),MONTH(Table1[[#This Row],[OrderDate]]),1)</f>
        <v>45717</v>
      </c>
    </row>
    <row r="573" spans="1:27" x14ac:dyDescent="0.3">
      <c r="A573" s="3">
        <v>45108</v>
      </c>
      <c r="B573" t="s">
        <v>9</v>
      </c>
      <c r="C573" t="s">
        <v>29</v>
      </c>
      <c r="D573" t="str">
        <f>TRIM(Table1[[#This Row],[Product]])</f>
        <v>Chair</v>
      </c>
      <c r="E573" t="str">
        <f>PROPER(Table1[[#This Row],[Column1]])</f>
        <v>Chair</v>
      </c>
      <c r="F573" s="8" t="str">
        <f t="shared" si="40"/>
        <v>Furniture</v>
      </c>
      <c r="G573" s="5">
        <v>9</v>
      </c>
      <c r="H573">
        <v>228.3</v>
      </c>
      <c r="I573" t="s">
        <v>57</v>
      </c>
      <c r="J573" t="s">
        <v>65</v>
      </c>
      <c r="K573" s="7">
        <v>0.05</v>
      </c>
      <c r="L573" t="s">
        <v>25</v>
      </c>
      <c r="M573" s="5">
        <v>1951.9649999999999</v>
      </c>
      <c r="N573" t="s">
        <v>85</v>
      </c>
      <c r="O573" t="s">
        <v>60</v>
      </c>
      <c r="P573" s="5">
        <v>0</v>
      </c>
      <c r="Q573" t="s">
        <v>1195</v>
      </c>
      <c r="R573" t="s">
        <v>1196</v>
      </c>
      <c r="S573" s="5">
        <v>8.75</v>
      </c>
      <c r="T573" s="3">
        <v>45108</v>
      </c>
      <c r="U573" s="3">
        <v>45116</v>
      </c>
      <c r="V573" t="s">
        <v>63</v>
      </c>
      <c r="W573">
        <f t="shared" si="42"/>
        <v>1854.3667499999999</v>
      </c>
      <c r="X573">
        <f t="shared" si="43"/>
        <v>2054.7000000000003</v>
      </c>
      <c r="Y573">
        <f t="shared" si="44"/>
        <v>200.33325000000036</v>
      </c>
      <c r="Z573" s="8" t="str">
        <f t="shared" si="41"/>
        <v>Medium</v>
      </c>
      <c r="AA573" s="12">
        <f>DATE(YEAR(Table1[[#This Row],[OrderDate]]),MONTH(Table1[[#This Row],[OrderDate]]),1)</f>
        <v>45108</v>
      </c>
    </row>
    <row r="574" spans="1:27" x14ac:dyDescent="0.3">
      <c r="A574" s="3">
        <v>45045</v>
      </c>
      <c r="B574" t="s">
        <v>16</v>
      </c>
      <c r="C574" t="s">
        <v>30</v>
      </c>
      <c r="D574" t="str">
        <f>TRIM(Table1[[#This Row],[Product]])</f>
        <v>Desk</v>
      </c>
      <c r="E574" t="str">
        <f>PROPER(Table1[[#This Row],[Column1]])</f>
        <v>Desk</v>
      </c>
      <c r="F574" s="8" t="str">
        <f t="shared" si="40"/>
        <v>Furniture</v>
      </c>
      <c r="G574" s="5">
        <v>7</v>
      </c>
      <c r="H574">
        <v>235.94</v>
      </c>
      <c r="I574" t="s">
        <v>81</v>
      </c>
      <c r="J574" t="s">
        <v>58</v>
      </c>
      <c r="K574" s="7">
        <v>0.1</v>
      </c>
      <c r="L574" t="s">
        <v>18</v>
      </c>
      <c r="M574" s="5">
        <v>1486.422</v>
      </c>
      <c r="N574" t="s">
        <v>66</v>
      </c>
      <c r="O574" t="s">
        <v>60</v>
      </c>
      <c r="P574" s="5">
        <v>0</v>
      </c>
      <c r="Q574" t="s">
        <v>1197</v>
      </c>
      <c r="R574" t="s">
        <v>1198</v>
      </c>
      <c r="S574" s="5">
        <v>8.44</v>
      </c>
      <c r="T574" s="3">
        <v>45045</v>
      </c>
      <c r="U574" s="3">
        <v>45050</v>
      </c>
      <c r="V574" t="s">
        <v>95</v>
      </c>
      <c r="W574">
        <f t="shared" si="42"/>
        <v>1337.7798</v>
      </c>
      <c r="X574">
        <f t="shared" si="43"/>
        <v>1651.58</v>
      </c>
      <c r="Y574">
        <f t="shared" si="44"/>
        <v>313.8001999999999</v>
      </c>
      <c r="Z574" s="8" t="str">
        <f t="shared" si="41"/>
        <v>Medium</v>
      </c>
      <c r="AA574" s="12">
        <f>DATE(YEAR(Table1[[#This Row],[OrderDate]]),MONTH(Table1[[#This Row],[OrderDate]]),1)</f>
        <v>45017</v>
      </c>
    </row>
    <row r="575" spans="1:27" x14ac:dyDescent="0.3">
      <c r="A575" s="3">
        <v>45046</v>
      </c>
      <c r="B575" t="s">
        <v>9</v>
      </c>
      <c r="C575" t="s">
        <v>34</v>
      </c>
      <c r="D575" t="str">
        <f>TRIM(Table1[[#This Row],[Product]])</f>
        <v>Printer</v>
      </c>
      <c r="E575" t="str">
        <f>PROPER(Table1[[#This Row],[Column1]])</f>
        <v>Printer</v>
      </c>
      <c r="F575" s="8" t="str">
        <f t="shared" si="40"/>
        <v>Office Supplies</v>
      </c>
      <c r="G575" s="5">
        <v>17</v>
      </c>
      <c r="H575">
        <v>369.52</v>
      </c>
      <c r="I575" t="s">
        <v>78</v>
      </c>
      <c r="J575" t="s">
        <v>58</v>
      </c>
      <c r="K575" s="7">
        <v>0</v>
      </c>
      <c r="L575" t="s">
        <v>21</v>
      </c>
      <c r="M575" s="5">
        <v>6281.84</v>
      </c>
      <c r="N575" t="s">
        <v>66</v>
      </c>
      <c r="P575" s="5">
        <v>0</v>
      </c>
      <c r="Q575" t="s">
        <v>1199</v>
      </c>
      <c r="R575" t="s">
        <v>1200</v>
      </c>
      <c r="S575" s="5">
        <v>17.12</v>
      </c>
      <c r="T575" s="3">
        <v>45046</v>
      </c>
      <c r="U575" s="3">
        <v>45052</v>
      </c>
      <c r="V575" t="s">
        <v>63</v>
      </c>
      <c r="W575">
        <f t="shared" si="42"/>
        <v>6281.84</v>
      </c>
      <c r="X575">
        <f t="shared" si="43"/>
        <v>6281.84</v>
      </c>
      <c r="Y575">
        <f t="shared" si="44"/>
        <v>0</v>
      </c>
      <c r="Z575" s="8" t="str">
        <f t="shared" si="41"/>
        <v>No Discount</v>
      </c>
      <c r="AA575" s="12">
        <f>DATE(YEAR(Table1[[#This Row],[OrderDate]]),MONTH(Table1[[#This Row],[OrderDate]]),1)</f>
        <v>45017</v>
      </c>
    </row>
    <row r="576" spans="1:27" x14ac:dyDescent="0.3">
      <c r="A576" s="3">
        <v>45365</v>
      </c>
      <c r="B576" t="s">
        <v>16</v>
      </c>
      <c r="C576" t="s">
        <v>33</v>
      </c>
      <c r="D576" t="str">
        <f>TRIM(Table1[[#This Row],[Product]])</f>
        <v>Phone</v>
      </c>
      <c r="E576" t="str">
        <f>PROPER(Table1[[#This Row],[Column1]])</f>
        <v>Phone</v>
      </c>
      <c r="F576" s="8" t="str">
        <f t="shared" si="40"/>
        <v>Technology</v>
      </c>
      <c r="G576" s="5">
        <v>8</v>
      </c>
      <c r="H576">
        <v>142.09</v>
      </c>
      <c r="I576" t="s">
        <v>64</v>
      </c>
      <c r="J576" t="s">
        <v>58</v>
      </c>
      <c r="K576" s="7">
        <v>0</v>
      </c>
      <c r="L576" t="s">
        <v>25</v>
      </c>
      <c r="M576" s="5">
        <v>1136.72</v>
      </c>
      <c r="N576" t="s">
        <v>82</v>
      </c>
      <c r="O576" t="s">
        <v>71</v>
      </c>
      <c r="P576" s="5">
        <v>0</v>
      </c>
      <c r="Q576" t="s">
        <v>1201</v>
      </c>
      <c r="R576" t="s">
        <v>1202</v>
      </c>
      <c r="S576" s="5">
        <v>38.97</v>
      </c>
      <c r="T576" s="3">
        <v>45365</v>
      </c>
      <c r="U576" s="3">
        <v>45371</v>
      </c>
      <c r="V576" t="s">
        <v>95</v>
      </c>
      <c r="W576">
        <f t="shared" si="42"/>
        <v>1136.72</v>
      </c>
      <c r="X576">
        <f t="shared" si="43"/>
        <v>1136.72</v>
      </c>
      <c r="Y576">
        <f t="shared" si="44"/>
        <v>0</v>
      </c>
      <c r="Z576" s="8" t="str">
        <f t="shared" si="41"/>
        <v>No Discount</v>
      </c>
      <c r="AA576" s="12">
        <f>DATE(YEAR(Table1[[#This Row],[OrderDate]]),MONTH(Table1[[#This Row],[OrderDate]]),1)</f>
        <v>45352</v>
      </c>
    </row>
    <row r="577" spans="1:27" x14ac:dyDescent="0.3">
      <c r="A577" s="3">
        <v>45104</v>
      </c>
      <c r="B577" t="s">
        <v>7</v>
      </c>
      <c r="C577" t="s">
        <v>29</v>
      </c>
      <c r="D577" t="str">
        <f>TRIM(Table1[[#This Row],[Product]])</f>
        <v>Chair</v>
      </c>
      <c r="E577" t="str">
        <f>PROPER(Table1[[#This Row],[Column1]])</f>
        <v>Chair</v>
      </c>
      <c r="F577" s="8" t="str">
        <f t="shared" si="40"/>
        <v>Furniture</v>
      </c>
      <c r="G577" s="5">
        <v>3</v>
      </c>
      <c r="H577">
        <v>497.61</v>
      </c>
      <c r="I577" t="s">
        <v>57</v>
      </c>
      <c r="J577" t="s">
        <v>58</v>
      </c>
      <c r="K577" s="7">
        <v>0.15</v>
      </c>
      <c r="L577" t="s">
        <v>18</v>
      </c>
      <c r="M577" s="5">
        <v>1268.9055000000001</v>
      </c>
      <c r="N577" t="s">
        <v>88</v>
      </c>
      <c r="O577" t="s">
        <v>60</v>
      </c>
      <c r="P577" s="5">
        <v>1</v>
      </c>
      <c r="Q577" t="s">
        <v>1203</v>
      </c>
      <c r="R577" t="s">
        <v>1204</v>
      </c>
      <c r="S577" s="5">
        <v>13.97</v>
      </c>
      <c r="T577" s="3">
        <v>45104</v>
      </c>
      <c r="U577" s="3">
        <v>45109</v>
      </c>
      <c r="V577" t="s">
        <v>77</v>
      </c>
      <c r="W577">
        <f t="shared" si="42"/>
        <v>1078.569675</v>
      </c>
      <c r="X577">
        <f t="shared" si="43"/>
        <v>1492.83</v>
      </c>
      <c r="Y577">
        <f t="shared" si="44"/>
        <v>414.26032499999997</v>
      </c>
      <c r="Z577" s="8" t="str">
        <f t="shared" si="41"/>
        <v>High</v>
      </c>
      <c r="AA577" s="12">
        <f>DATE(YEAR(Table1[[#This Row],[OrderDate]]),MONTH(Table1[[#This Row],[OrderDate]]),1)</f>
        <v>45078</v>
      </c>
    </row>
    <row r="578" spans="1:27" x14ac:dyDescent="0.3">
      <c r="A578" s="3">
        <v>45392</v>
      </c>
      <c r="B578" t="s">
        <v>11</v>
      </c>
      <c r="C578" t="s">
        <v>31</v>
      </c>
      <c r="D578" t="str">
        <f>TRIM(Table1[[#This Row],[Product]])</f>
        <v>Laptop</v>
      </c>
      <c r="E578" t="str">
        <f>PROPER(Table1[[#This Row],[Column1]])</f>
        <v>Laptop</v>
      </c>
      <c r="F578" s="8" t="str">
        <f t="shared" ref="F578:F641" si="45">IF(OR(E578="Chair",E578="Desk"),"Furniture",IF(OR(E578="Laptop",E578="Monitor",E578="Phone",E578="Tablet"),"Technology",IF(E578="Printer","Office Supplies","Other")))</f>
        <v>Technology</v>
      </c>
      <c r="G578" s="5">
        <v>19</v>
      </c>
      <c r="H578">
        <v>9.48</v>
      </c>
      <c r="I578" t="s">
        <v>64</v>
      </c>
      <c r="J578" t="s">
        <v>58</v>
      </c>
      <c r="K578" s="7">
        <v>0</v>
      </c>
      <c r="L578" t="s">
        <v>21</v>
      </c>
      <c r="M578" s="5">
        <v>180.12</v>
      </c>
      <c r="N578" t="s">
        <v>59</v>
      </c>
      <c r="P578" s="5">
        <v>0</v>
      </c>
      <c r="Q578" t="s">
        <v>1205</v>
      </c>
      <c r="R578" t="s">
        <v>1206</v>
      </c>
      <c r="S578" s="5">
        <v>22.33</v>
      </c>
      <c r="T578" s="3">
        <v>45392</v>
      </c>
      <c r="U578" s="3">
        <v>45394</v>
      </c>
      <c r="V578" t="s">
        <v>74</v>
      </c>
      <c r="W578">
        <f t="shared" si="42"/>
        <v>180.12</v>
      </c>
      <c r="X578">
        <f t="shared" si="43"/>
        <v>180.12</v>
      </c>
      <c r="Y578">
        <f t="shared" si="44"/>
        <v>0</v>
      </c>
      <c r="Z578" s="8" t="str">
        <f t="shared" ref="Z578:Z641" si="46">IF(K578=0,"No Discount",IF(K578&lt;5%,"Low",IF(K578&lt;15%,"Medium","High")))</f>
        <v>No Discount</v>
      </c>
      <c r="AA578" s="12">
        <f>DATE(YEAR(Table1[[#This Row],[OrderDate]]),MONTH(Table1[[#This Row],[OrderDate]]),1)</f>
        <v>45383</v>
      </c>
    </row>
    <row r="579" spans="1:27" x14ac:dyDescent="0.3">
      <c r="A579" s="3">
        <v>45168</v>
      </c>
      <c r="B579" t="s">
        <v>7</v>
      </c>
      <c r="C579" t="s">
        <v>34</v>
      </c>
      <c r="D579" t="str">
        <f>TRIM(Table1[[#This Row],[Product]])</f>
        <v>Printer</v>
      </c>
      <c r="E579" t="str">
        <f>PROPER(Table1[[#This Row],[Column1]])</f>
        <v>Printer</v>
      </c>
      <c r="F579" s="8" t="str">
        <f t="shared" si="45"/>
        <v>Office Supplies</v>
      </c>
      <c r="G579" s="5">
        <v>8</v>
      </c>
      <c r="H579">
        <v>55.27</v>
      </c>
      <c r="I579" t="s">
        <v>64</v>
      </c>
      <c r="J579" t="s">
        <v>58</v>
      </c>
      <c r="K579" s="7">
        <v>0.15</v>
      </c>
      <c r="L579" t="s">
        <v>19</v>
      </c>
      <c r="M579" s="5">
        <v>375.83600000000001</v>
      </c>
      <c r="N579" t="s">
        <v>88</v>
      </c>
      <c r="O579" t="s">
        <v>71</v>
      </c>
      <c r="P579" s="5">
        <v>0</v>
      </c>
      <c r="Q579" t="s">
        <v>1207</v>
      </c>
      <c r="R579" t="s">
        <v>1208</v>
      </c>
      <c r="S579" s="5">
        <v>16.84</v>
      </c>
      <c r="T579" s="3">
        <v>45168</v>
      </c>
      <c r="U579" s="3">
        <v>45170</v>
      </c>
      <c r="V579" t="s">
        <v>77</v>
      </c>
      <c r="W579">
        <f t="shared" ref="W579:W642" si="47">M579*(1-K579)</f>
        <v>319.4606</v>
      </c>
      <c r="X579">
        <f t="shared" ref="X579:X642" si="48">G579*H579</f>
        <v>442.16</v>
      </c>
      <c r="Y579">
        <f t="shared" ref="Y579:Y642" si="49">X579-W579</f>
        <v>122.69940000000003</v>
      </c>
      <c r="Z579" s="8" t="str">
        <f t="shared" si="46"/>
        <v>High</v>
      </c>
      <c r="AA579" s="12">
        <f>DATE(YEAR(Table1[[#This Row],[OrderDate]]),MONTH(Table1[[#This Row],[OrderDate]]),1)</f>
        <v>45139</v>
      </c>
    </row>
    <row r="580" spans="1:27" x14ac:dyDescent="0.3">
      <c r="A580" s="3">
        <v>45222</v>
      </c>
      <c r="B580" t="s">
        <v>16</v>
      </c>
      <c r="C580" t="s">
        <v>31</v>
      </c>
      <c r="D580" t="str">
        <f>TRIM(Table1[[#This Row],[Product]])</f>
        <v>Laptop</v>
      </c>
      <c r="E580" t="str">
        <f>PROPER(Table1[[#This Row],[Column1]])</f>
        <v>Laptop</v>
      </c>
      <c r="F580" s="8" t="str">
        <f t="shared" si="45"/>
        <v>Technology</v>
      </c>
      <c r="G580" s="5">
        <v>17</v>
      </c>
      <c r="H580">
        <v>25.95</v>
      </c>
      <c r="I580" t="s">
        <v>57</v>
      </c>
      <c r="J580" t="s">
        <v>58</v>
      </c>
      <c r="K580" s="7">
        <v>0.05</v>
      </c>
      <c r="L580" t="s">
        <v>19</v>
      </c>
      <c r="M580" s="5">
        <v>419.09249999999997</v>
      </c>
      <c r="N580" t="s">
        <v>66</v>
      </c>
      <c r="P580" s="5">
        <v>0</v>
      </c>
      <c r="Q580" t="s">
        <v>1209</v>
      </c>
      <c r="R580" t="s">
        <v>1210</v>
      </c>
      <c r="S580" s="5">
        <v>27.68</v>
      </c>
      <c r="T580" s="3">
        <v>45222</v>
      </c>
      <c r="U580" s="3">
        <v>45229</v>
      </c>
      <c r="V580" t="s">
        <v>95</v>
      </c>
      <c r="W580">
        <f t="shared" si="47"/>
        <v>398.13787499999995</v>
      </c>
      <c r="X580">
        <f t="shared" si="48"/>
        <v>441.15</v>
      </c>
      <c r="Y580">
        <f t="shared" si="49"/>
        <v>43.012125000000026</v>
      </c>
      <c r="Z580" s="8" t="str">
        <f t="shared" si="46"/>
        <v>Medium</v>
      </c>
      <c r="AA580" s="12">
        <f>DATE(YEAR(Table1[[#This Row],[OrderDate]]),MONTH(Table1[[#This Row],[OrderDate]]),1)</f>
        <v>45200</v>
      </c>
    </row>
    <row r="581" spans="1:27" x14ac:dyDescent="0.3">
      <c r="A581" s="3">
        <v>45008</v>
      </c>
      <c r="B581" t="s">
        <v>11</v>
      </c>
      <c r="C581" t="s">
        <v>30</v>
      </c>
      <c r="D581" t="str">
        <f>TRIM(Table1[[#This Row],[Product]])</f>
        <v>Desk</v>
      </c>
      <c r="E581" t="str">
        <f>PROPER(Table1[[#This Row],[Column1]])</f>
        <v>Desk</v>
      </c>
      <c r="F581" s="8" t="str">
        <f t="shared" si="45"/>
        <v>Furniture</v>
      </c>
      <c r="G581" s="5">
        <v>18</v>
      </c>
      <c r="H581">
        <v>209.65</v>
      </c>
      <c r="I581" t="s">
        <v>64</v>
      </c>
      <c r="J581" t="s">
        <v>58</v>
      </c>
      <c r="K581" s="7">
        <v>0.1</v>
      </c>
      <c r="L581" t="s">
        <v>21</v>
      </c>
      <c r="M581" s="5">
        <v>3396.33</v>
      </c>
      <c r="N581" t="s">
        <v>85</v>
      </c>
      <c r="P581" s="5">
        <v>0</v>
      </c>
      <c r="Q581" t="s">
        <v>1211</v>
      </c>
      <c r="R581" t="s">
        <v>1212</v>
      </c>
      <c r="S581" s="5">
        <v>42.04</v>
      </c>
      <c r="T581" s="3">
        <v>45008</v>
      </c>
      <c r="U581" s="3">
        <v>45015</v>
      </c>
      <c r="V581" t="s">
        <v>74</v>
      </c>
      <c r="W581">
        <f t="shared" si="47"/>
        <v>3056.6970000000001</v>
      </c>
      <c r="X581">
        <f t="shared" si="48"/>
        <v>3773.7000000000003</v>
      </c>
      <c r="Y581">
        <f t="shared" si="49"/>
        <v>717.00300000000016</v>
      </c>
      <c r="Z581" s="8" t="str">
        <f t="shared" si="46"/>
        <v>Medium</v>
      </c>
      <c r="AA581" s="12">
        <f>DATE(YEAR(Table1[[#This Row],[OrderDate]]),MONTH(Table1[[#This Row],[OrderDate]]),1)</f>
        <v>44986</v>
      </c>
    </row>
    <row r="582" spans="1:27" x14ac:dyDescent="0.3">
      <c r="A582" s="3">
        <v>45556</v>
      </c>
      <c r="B582" t="s">
        <v>7</v>
      </c>
      <c r="C582" t="s">
        <v>31</v>
      </c>
      <c r="D582" t="str">
        <f>TRIM(Table1[[#This Row],[Product]])</f>
        <v>Laptop</v>
      </c>
      <c r="E582" t="str">
        <f>PROPER(Table1[[#This Row],[Column1]])</f>
        <v>Laptop</v>
      </c>
      <c r="F582" s="8" t="str">
        <f t="shared" si="45"/>
        <v>Technology</v>
      </c>
      <c r="G582" s="5">
        <v>13</v>
      </c>
      <c r="H582">
        <v>75.77</v>
      </c>
      <c r="I582" t="s">
        <v>57</v>
      </c>
      <c r="J582" t="s">
        <v>58</v>
      </c>
      <c r="K582" s="7">
        <v>0.15</v>
      </c>
      <c r="L582" t="s">
        <v>27</v>
      </c>
      <c r="M582" s="5">
        <v>837.25850000000003</v>
      </c>
      <c r="N582" t="s">
        <v>85</v>
      </c>
      <c r="O582" t="s">
        <v>67</v>
      </c>
      <c r="P582" s="5">
        <v>0</v>
      </c>
      <c r="Q582" t="s">
        <v>1213</v>
      </c>
      <c r="R582" t="s">
        <v>1214</v>
      </c>
      <c r="S582" s="5">
        <v>41.94</v>
      </c>
      <c r="T582" s="3">
        <v>45556</v>
      </c>
      <c r="U582" s="3">
        <v>45565</v>
      </c>
      <c r="V582" t="s">
        <v>77</v>
      </c>
      <c r="W582">
        <f t="shared" si="47"/>
        <v>711.66972499999997</v>
      </c>
      <c r="X582">
        <f t="shared" si="48"/>
        <v>985.01</v>
      </c>
      <c r="Y582">
        <f t="shared" si="49"/>
        <v>273.34027500000002</v>
      </c>
      <c r="Z582" s="8" t="str">
        <f t="shared" si="46"/>
        <v>High</v>
      </c>
      <c r="AA582" s="12">
        <f>DATE(YEAR(Table1[[#This Row],[OrderDate]]),MONTH(Table1[[#This Row],[OrderDate]]),1)</f>
        <v>45536</v>
      </c>
    </row>
    <row r="583" spans="1:27" x14ac:dyDescent="0.3">
      <c r="A583" s="3">
        <v>45652</v>
      </c>
      <c r="B583" t="s">
        <v>16</v>
      </c>
      <c r="C583" t="s">
        <v>35</v>
      </c>
      <c r="D583" t="str">
        <f>TRIM(Table1[[#This Row],[Product]])</f>
        <v>Tablet</v>
      </c>
      <c r="E583" t="str">
        <f>PROPER(Table1[[#This Row],[Column1]])</f>
        <v>Tablet</v>
      </c>
      <c r="F583" s="8" t="str">
        <f t="shared" si="45"/>
        <v>Technology</v>
      </c>
      <c r="G583" s="5">
        <v>5</v>
      </c>
      <c r="H583">
        <v>307.83999999999997</v>
      </c>
      <c r="I583" t="s">
        <v>57</v>
      </c>
      <c r="J583" t="s">
        <v>58</v>
      </c>
      <c r="K583" s="7">
        <v>0.1</v>
      </c>
      <c r="L583" t="s">
        <v>19</v>
      </c>
      <c r="M583" s="5">
        <v>1385.28</v>
      </c>
      <c r="N583" t="s">
        <v>59</v>
      </c>
      <c r="O583" t="s">
        <v>67</v>
      </c>
      <c r="P583" s="5">
        <v>0</v>
      </c>
      <c r="Q583" t="s">
        <v>1215</v>
      </c>
      <c r="R583" t="s">
        <v>1216</v>
      </c>
      <c r="S583" s="5">
        <v>13.61</v>
      </c>
      <c r="T583" s="3">
        <v>45652</v>
      </c>
      <c r="U583" s="3">
        <v>45660</v>
      </c>
      <c r="V583" t="s">
        <v>95</v>
      </c>
      <c r="W583">
        <f t="shared" si="47"/>
        <v>1246.752</v>
      </c>
      <c r="X583">
        <f t="shared" si="48"/>
        <v>1539.1999999999998</v>
      </c>
      <c r="Y583">
        <f t="shared" si="49"/>
        <v>292.44799999999987</v>
      </c>
      <c r="Z583" s="8" t="str">
        <f t="shared" si="46"/>
        <v>Medium</v>
      </c>
      <c r="AA583" s="12">
        <f>DATE(YEAR(Table1[[#This Row],[OrderDate]]),MONTH(Table1[[#This Row],[OrderDate]]),1)</f>
        <v>45627</v>
      </c>
    </row>
    <row r="584" spans="1:27" x14ac:dyDescent="0.3">
      <c r="A584" s="3">
        <v>44983</v>
      </c>
      <c r="B584" t="s">
        <v>9</v>
      </c>
      <c r="C584" t="s">
        <v>33</v>
      </c>
      <c r="D584" t="str">
        <f>TRIM(Table1[[#This Row],[Product]])</f>
        <v>Phone</v>
      </c>
      <c r="E584" t="str">
        <f>PROPER(Table1[[#This Row],[Column1]])</f>
        <v>Phone</v>
      </c>
      <c r="F584" s="8" t="str">
        <f t="shared" si="45"/>
        <v>Technology</v>
      </c>
      <c r="G584" s="5">
        <v>13</v>
      </c>
      <c r="H584">
        <v>6.5</v>
      </c>
      <c r="I584" t="s">
        <v>64</v>
      </c>
      <c r="J584" t="s">
        <v>58</v>
      </c>
      <c r="K584" s="7">
        <v>0</v>
      </c>
      <c r="L584" t="s">
        <v>23</v>
      </c>
      <c r="M584" s="5">
        <v>84.5</v>
      </c>
      <c r="N584" t="s">
        <v>88</v>
      </c>
      <c r="P584" s="5">
        <v>0</v>
      </c>
      <c r="Q584" t="s">
        <v>1217</v>
      </c>
      <c r="R584" t="s">
        <v>1218</v>
      </c>
      <c r="S584" s="5">
        <v>20.02</v>
      </c>
      <c r="T584" s="3">
        <v>44983</v>
      </c>
      <c r="U584" s="3">
        <v>44988</v>
      </c>
      <c r="V584" t="s">
        <v>63</v>
      </c>
      <c r="W584">
        <f t="shared" si="47"/>
        <v>84.5</v>
      </c>
      <c r="X584">
        <f t="shared" si="48"/>
        <v>84.5</v>
      </c>
      <c r="Y584">
        <f t="shared" si="49"/>
        <v>0</v>
      </c>
      <c r="Z584" s="8" t="str">
        <f t="shared" si="46"/>
        <v>No Discount</v>
      </c>
      <c r="AA584" s="12">
        <f>DATE(YEAR(Table1[[#This Row],[OrderDate]]),MONTH(Table1[[#This Row],[OrderDate]]),1)</f>
        <v>44958</v>
      </c>
    </row>
    <row r="585" spans="1:27" x14ac:dyDescent="0.3">
      <c r="A585" s="3">
        <v>45636</v>
      </c>
      <c r="B585" t="s">
        <v>11</v>
      </c>
      <c r="C585" t="s">
        <v>32</v>
      </c>
      <c r="D585" t="str">
        <f>TRIM(Table1[[#This Row],[Product]])</f>
        <v>Monitor</v>
      </c>
      <c r="E585" t="str">
        <f>PROPER(Table1[[#This Row],[Column1]])</f>
        <v>Monitor</v>
      </c>
      <c r="F585" s="8" t="str">
        <f t="shared" si="45"/>
        <v>Technology</v>
      </c>
      <c r="G585" s="5">
        <v>8</v>
      </c>
      <c r="H585">
        <v>70.790000000000006</v>
      </c>
      <c r="I585" t="s">
        <v>57</v>
      </c>
      <c r="J585" t="s">
        <v>58</v>
      </c>
      <c r="K585" s="7">
        <v>0</v>
      </c>
      <c r="L585" t="s">
        <v>23</v>
      </c>
      <c r="M585" s="5">
        <v>566.32000000000005</v>
      </c>
      <c r="N585" t="s">
        <v>59</v>
      </c>
      <c r="P585" s="5">
        <v>0</v>
      </c>
      <c r="Q585" t="s">
        <v>1219</v>
      </c>
      <c r="R585" t="s">
        <v>1220</v>
      </c>
      <c r="S585" s="5">
        <v>46.35</v>
      </c>
      <c r="T585" s="3">
        <v>45636</v>
      </c>
      <c r="U585" s="3">
        <v>45640</v>
      </c>
      <c r="V585" t="s">
        <v>74</v>
      </c>
      <c r="W585">
        <f t="shared" si="47"/>
        <v>566.32000000000005</v>
      </c>
      <c r="X585">
        <f t="shared" si="48"/>
        <v>566.32000000000005</v>
      </c>
      <c r="Y585">
        <f t="shared" si="49"/>
        <v>0</v>
      </c>
      <c r="Z585" s="8" t="str">
        <f t="shared" si="46"/>
        <v>No Discount</v>
      </c>
      <c r="AA585" s="12">
        <f>DATE(YEAR(Table1[[#This Row],[OrderDate]]),MONTH(Table1[[#This Row],[OrderDate]]),1)</f>
        <v>45627</v>
      </c>
    </row>
    <row r="586" spans="1:27" x14ac:dyDescent="0.3">
      <c r="A586" s="3">
        <v>45658</v>
      </c>
      <c r="B586" t="s">
        <v>9</v>
      </c>
      <c r="C586" t="s">
        <v>31</v>
      </c>
      <c r="D586" t="str">
        <f>TRIM(Table1[[#This Row],[Product]])</f>
        <v>Laptop</v>
      </c>
      <c r="E586" t="str">
        <f>PROPER(Table1[[#This Row],[Column1]])</f>
        <v>Laptop</v>
      </c>
      <c r="F586" s="8" t="str">
        <f t="shared" si="45"/>
        <v>Technology</v>
      </c>
      <c r="G586" s="5">
        <v>17</v>
      </c>
      <c r="H586">
        <v>584.70000000000005</v>
      </c>
      <c r="I586" t="s">
        <v>81</v>
      </c>
      <c r="J586" t="s">
        <v>65</v>
      </c>
      <c r="K586" s="7">
        <v>0.1</v>
      </c>
      <c r="L586" t="s">
        <v>25</v>
      </c>
      <c r="M586" s="5">
        <v>8945.9100000000017</v>
      </c>
      <c r="N586" t="s">
        <v>59</v>
      </c>
      <c r="P586" s="5">
        <v>1</v>
      </c>
      <c r="Q586" t="s">
        <v>1221</v>
      </c>
      <c r="R586" t="s">
        <v>1222</v>
      </c>
      <c r="S586" s="5">
        <v>46.59</v>
      </c>
      <c r="T586" s="3">
        <v>45658</v>
      </c>
      <c r="U586" s="3">
        <v>45660</v>
      </c>
      <c r="V586" t="s">
        <v>63</v>
      </c>
      <c r="W586">
        <f t="shared" si="47"/>
        <v>8051.3190000000013</v>
      </c>
      <c r="X586">
        <f t="shared" si="48"/>
        <v>9939.9000000000015</v>
      </c>
      <c r="Y586">
        <f t="shared" si="49"/>
        <v>1888.5810000000001</v>
      </c>
      <c r="Z586" s="8" t="str">
        <f t="shared" si="46"/>
        <v>Medium</v>
      </c>
      <c r="AA586" s="12">
        <f>DATE(YEAR(Table1[[#This Row],[OrderDate]]),MONTH(Table1[[#This Row],[OrderDate]]),1)</f>
        <v>45658</v>
      </c>
    </row>
    <row r="587" spans="1:27" x14ac:dyDescent="0.3">
      <c r="A587" s="3">
        <v>45730</v>
      </c>
      <c r="B587" t="s">
        <v>9</v>
      </c>
      <c r="C587" t="s">
        <v>33</v>
      </c>
      <c r="D587" t="str">
        <f>TRIM(Table1[[#This Row],[Product]])</f>
        <v>Phone</v>
      </c>
      <c r="E587" t="str">
        <f>PROPER(Table1[[#This Row],[Column1]])</f>
        <v>Phone</v>
      </c>
      <c r="F587" s="8" t="str">
        <f t="shared" si="45"/>
        <v>Technology</v>
      </c>
      <c r="G587" s="5">
        <v>4</v>
      </c>
      <c r="H587">
        <v>23.27</v>
      </c>
      <c r="I587" t="s">
        <v>78</v>
      </c>
      <c r="J587" t="s">
        <v>58</v>
      </c>
      <c r="K587" s="7">
        <v>0.15</v>
      </c>
      <c r="L587" t="s">
        <v>23</v>
      </c>
      <c r="M587" s="5">
        <v>79.117999999999995</v>
      </c>
      <c r="N587" t="s">
        <v>59</v>
      </c>
      <c r="O587" t="s">
        <v>67</v>
      </c>
      <c r="P587" s="5">
        <v>0</v>
      </c>
      <c r="Q587" t="s">
        <v>1223</v>
      </c>
      <c r="R587" t="s">
        <v>1224</v>
      </c>
      <c r="S587" s="5">
        <v>32.86</v>
      </c>
      <c r="T587" s="3">
        <v>45730</v>
      </c>
      <c r="U587" s="3">
        <v>45737</v>
      </c>
      <c r="V587" t="s">
        <v>63</v>
      </c>
      <c r="W587">
        <f t="shared" si="47"/>
        <v>67.250299999999996</v>
      </c>
      <c r="X587">
        <f t="shared" si="48"/>
        <v>93.08</v>
      </c>
      <c r="Y587">
        <f t="shared" si="49"/>
        <v>25.829700000000003</v>
      </c>
      <c r="Z587" s="8" t="str">
        <f t="shared" si="46"/>
        <v>High</v>
      </c>
      <c r="AA587" s="12">
        <f>DATE(YEAR(Table1[[#This Row],[OrderDate]]),MONTH(Table1[[#This Row],[OrderDate]]),1)</f>
        <v>45717</v>
      </c>
    </row>
    <row r="588" spans="1:27" x14ac:dyDescent="0.3">
      <c r="A588" s="3">
        <v>45307</v>
      </c>
      <c r="B588" t="s">
        <v>13</v>
      </c>
      <c r="C588" t="s">
        <v>35</v>
      </c>
      <c r="D588" t="str">
        <f>TRIM(Table1[[#This Row],[Product]])</f>
        <v>Tablet</v>
      </c>
      <c r="E588" t="str">
        <f>PROPER(Table1[[#This Row],[Column1]])</f>
        <v>Tablet</v>
      </c>
      <c r="F588" s="8" t="str">
        <f t="shared" si="45"/>
        <v>Technology</v>
      </c>
      <c r="G588" s="5">
        <v>5</v>
      </c>
      <c r="H588">
        <v>440.93</v>
      </c>
      <c r="I588" t="s">
        <v>57</v>
      </c>
      <c r="J588" t="s">
        <v>58</v>
      </c>
      <c r="K588" s="7">
        <v>0.1</v>
      </c>
      <c r="L588" t="s">
        <v>21</v>
      </c>
      <c r="M588" s="5">
        <v>1984.1849999999999</v>
      </c>
      <c r="N588" t="s">
        <v>66</v>
      </c>
      <c r="P588" s="5">
        <v>0</v>
      </c>
      <c r="Q588" t="s">
        <v>1225</v>
      </c>
      <c r="R588" t="s">
        <v>1226</v>
      </c>
      <c r="S588" s="5">
        <v>23.84</v>
      </c>
      <c r="T588" s="3">
        <v>45307</v>
      </c>
      <c r="U588" s="3">
        <v>45311</v>
      </c>
      <c r="V588" t="s">
        <v>70</v>
      </c>
      <c r="W588">
        <f t="shared" si="47"/>
        <v>1785.7665</v>
      </c>
      <c r="X588">
        <f t="shared" si="48"/>
        <v>2204.65</v>
      </c>
      <c r="Y588">
        <f t="shared" si="49"/>
        <v>418.88350000000014</v>
      </c>
      <c r="Z588" s="8" t="str">
        <f t="shared" si="46"/>
        <v>Medium</v>
      </c>
      <c r="AA588" s="12">
        <f>DATE(YEAR(Table1[[#This Row],[OrderDate]]),MONTH(Table1[[#This Row],[OrderDate]]),1)</f>
        <v>45292</v>
      </c>
    </row>
    <row r="589" spans="1:27" x14ac:dyDescent="0.3">
      <c r="A589" s="3">
        <v>45401</v>
      </c>
      <c r="B589" t="s">
        <v>16</v>
      </c>
      <c r="C589" t="s">
        <v>35</v>
      </c>
      <c r="D589" t="str">
        <f>TRIM(Table1[[#This Row],[Product]])</f>
        <v>Tablet</v>
      </c>
      <c r="E589" t="str">
        <f>PROPER(Table1[[#This Row],[Column1]])</f>
        <v>Tablet</v>
      </c>
      <c r="F589" s="8" t="str">
        <f t="shared" si="45"/>
        <v>Technology</v>
      </c>
      <c r="G589" s="5">
        <v>10</v>
      </c>
      <c r="H589">
        <v>278.45</v>
      </c>
      <c r="I589" t="s">
        <v>81</v>
      </c>
      <c r="J589" t="s">
        <v>58</v>
      </c>
      <c r="K589" s="7">
        <v>0</v>
      </c>
      <c r="L589" t="s">
        <v>25</v>
      </c>
      <c r="M589" s="5">
        <v>2784.5</v>
      </c>
      <c r="N589" t="s">
        <v>82</v>
      </c>
      <c r="O589" t="s">
        <v>67</v>
      </c>
      <c r="P589" s="5">
        <v>0</v>
      </c>
      <c r="Q589" t="s">
        <v>1227</v>
      </c>
      <c r="R589" t="s">
        <v>1228</v>
      </c>
      <c r="S589" s="5">
        <v>11.13</v>
      </c>
      <c r="T589" s="3">
        <v>45401</v>
      </c>
      <c r="U589" s="3">
        <v>45407</v>
      </c>
      <c r="V589" t="s">
        <v>95</v>
      </c>
      <c r="W589">
        <f t="shared" si="47"/>
        <v>2784.5</v>
      </c>
      <c r="X589">
        <f t="shared" si="48"/>
        <v>2784.5</v>
      </c>
      <c r="Y589">
        <f t="shared" si="49"/>
        <v>0</v>
      </c>
      <c r="Z589" s="8" t="str">
        <f t="shared" si="46"/>
        <v>No Discount</v>
      </c>
      <c r="AA589" s="12">
        <f>DATE(YEAR(Table1[[#This Row],[OrderDate]]),MONTH(Table1[[#This Row],[OrderDate]]),1)</f>
        <v>45383</v>
      </c>
    </row>
    <row r="590" spans="1:27" x14ac:dyDescent="0.3">
      <c r="A590" s="3">
        <v>45268</v>
      </c>
      <c r="B590" t="s">
        <v>11</v>
      </c>
      <c r="C590" t="s">
        <v>32</v>
      </c>
      <c r="D590" t="str">
        <f>TRIM(Table1[[#This Row],[Product]])</f>
        <v>Monitor</v>
      </c>
      <c r="E590" t="str">
        <f>PROPER(Table1[[#This Row],[Column1]])</f>
        <v>Monitor</v>
      </c>
      <c r="F590" s="8" t="str">
        <f t="shared" si="45"/>
        <v>Technology</v>
      </c>
      <c r="G590" s="5">
        <v>14</v>
      </c>
      <c r="H590">
        <v>382.19</v>
      </c>
      <c r="I590" t="s">
        <v>57</v>
      </c>
      <c r="J590" t="s">
        <v>58</v>
      </c>
      <c r="K590" s="7">
        <v>0.05</v>
      </c>
      <c r="L590" t="s">
        <v>27</v>
      </c>
      <c r="M590" s="5">
        <v>5083.1269999999986</v>
      </c>
      <c r="N590" t="s">
        <v>88</v>
      </c>
      <c r="O590" t="s">
        <v>60</v>
      </c>
      <c r="P590" s="5">
        <v>1</v>
      </c>
      <c r="Q590" t="s">
        <v>1229</v>
      </c>
      <c r="R590" t="s">
        <v>1230</v>
      </c>
      <c r="S590" s="5">
        <v>49.12</v>
      </c>
      <c r="T590" s="3">
        <v>45268</v>
      </c>
      <c r="U590" s="3">
        <v>45271</v>
      </c>
      <c r="V590" t="s">
        <v>74</v>
      </c>
      <c r="W590">
        <f t="shared" si="47"/>
        <v>4828.9706499999984</v>
      </c>
      <c r="X590">
        <f t="shared" si="48"/>
        <v>5350.66</v>
      </c>
      <c r="Y590">
        <f t="shared" si="49"/>
        <v>521.68935000000147</v>
      </c>
      <c r="Z590" s="8" t="str">
        <f t="shared" si="46"/>
        <v>Medium</v>
      </c>
      <c r="AA590" s="12">
        <f>DATE(YEAR(Table1[[#This Row],[OrderDate]]),MONTH(Table1[[#This Row],[OrderDate]]),1)</f>
        <v>45261</v>
      </c>
    </row>
    <row r="591" spans="1:27" x14ac:dyDescent="0.3">
      <c r="A591" s="3">
        <v>45000</v>
      </c>
      <c r="B591" t="s">
        <v>11</v>
      </c>
      <c r="C591" t="s">
        <v>32</v>
      </c>
      <c r="D591" t="str">
        <f>TRIM(Table1[[#This Row],[Product]])</f>
        <v>Monitor</v>
      </c>
      <c r="E591" t="str">
        <f>PROPER(Table1[[#This Row],[Column1]])</f>
        <v>Monitor</v>
      </c>
      <c r="F591" s="8" t="str">
        <f t="shared" si="45"/>
        <v>Technology</v>
      </c>
      <c r="G591" s="5">
        <v>14</v>
      </c>
      <c r="H591">
        <v>232.49</v>
      </c>
      <c r="I591" t="s">
        <v>81</v>
      </c>
      <c r="J591" t="s">
        <v>58</v>
      </c>
      <c r="K591" s="7">
        <v>0.05</v>
      </c>
      <c r="L591" t="s">
        <v>23</v>
      </c>
      <c r="M591" s="5">
        <v>3092.1170000000002</v>
      </c>
      <c r="N591" t="s">
        <v>59</v>
      </c>
      <c r="O591" t="s">
        <v>67</v>
      </c>
      <c r="P591" s="5">
        <v>1</v>
      </c>
      <c r="Q591" t="s">
        <v>1231</v>
      </c>
      <c r="R591" t="s">
        <v>1232</v>
      </c>
      <c r="S591" s="5">
        <v>5.32</v>
      </c>
      <c r="T591" s="3">
        <v>45000</v>
      </c>
      <c r="U591" s="3">
        <v>45004</v>
      </c>
      <c r="V591" t="s">
        <v>74</v>
      </c>
      <c r="W591">
        <f t="shared" si="47"/>
        <v>2937.5111499999998</v>
      </c>
      <c r="X591">
        <f t="shared" si="48"/>
        <v>3254.86</v>
      </c>
      <c r="Y591">
        <f t="shared" si="49"/>
        <v>317.34885000000031</v>
      </c>
      <c r="Z591" s="8" t="str">
        <f t="shared" si="46"/>
        <v>Medium</v>
      </c>
      <c r="AA591" s="12">
        <f>DATE(YEAR(Table1[[#This Row],[OrderDate]]),MONTH(Table1[[#This Row],[OrderDate]]),1)</f>
        <v>44986</v>
      </c>
    </row>
    <row r="592" spans="1:27" x14ac:dyDescent="0.3">
      <c r="A592" s="3">
        <v>45695</v>
      </c>
      <c r="B592" t="s">
        <v>13</v>
      </c>
      <c r="C592" t="s">
        <v>31</v>
      </c>
      <c r="D592" t="str">
        <f>TRIM(Table1[[#This Row],[Product]])</f>
        <v>Laptop</v>
      </c>
      <c r="E592" t="str">
        <f>PROPER(Table1[[#This Row],[Column1]])</f>
        <v>Laptop</v>
      </c>
      <c r="F592" s="8" t="str">
        <f t="shared" si="45"/>
        <v>Technology</v>
      </c>
      <c r="G592" s="5">
        <v>17</v>
      </c>
      <c r="H592">
        <v>15.01</v>
      </c>
      <c r="I592" t="s">
        <v>81</v>
      </c>
      <c r="J592" t="s">
        <v>58</v>
      </c>
      <c r="K592" s="7">
        <v>0.15</v>
      </c>
      <c r="L592" t="s">
        <v>23</v>
      </c>
      <c r="M592" s="5">
        <v>216.89449999999999</v>
      </c>
      <c r="N592" t="s">
        <v>85</v>
      </c>
      <c r="O592" t="s">
        <v>67</v>
      </c>
      <c r="P592" s="5">
        <v>1</v>
      </c>
      <c r="Q592" t="s">
        <v>1233</v>
      </c>
      <c r="R592" t="s">
        <v>1234</v>
      </c>
      <c r="S592" s="5">
        <v>22</v>
      </c>
      <c r="T592" s="3">
        <v>45695</v>
      </c>
      <c r="U592" s="3">
        <v>45701</v>
      </c>
      <c r="V592" t="s">
        <v>70</v>
      </c>
      <c r="W592">
        <f t="shared" si="47"/>
        <v>184.36032499999999</v>
      </c>
      <c r="X592">
        <f t="shared" si="48"/>
        <v>255.17</v>
      </c>
      <c r="Y592">
        <f t="shared" si="49"/>
        <v>70.809674999999999</v>
      </c>
      <c r="Z592" s="8" t="str">
        <f t="shared" si="46"/>
        <v>High</v>
      </c>
      <c r="AA592" s="12">
        <f>DATE(YEAR(Table1[[#This Row],[OrderDate]]),MONTH(Table1[[#This Row],[OrderDate]]),1)</f>
        <v>45689</v>
      </c>
    </row>
    <row r="593" spans="1:27" x14ac:dyDescent="0.3">
      <c r="A593" s="3">
        <v>45835</v>
      </c>
      <c r="B593" t="s">
        <v>11</v>
      </c>
      <c r="C593" t="s">
        <v>32</v>
      </c>
      <c r="D593" t="str">
        <f>TRIM(Table1[[#This Row],[Product]])</f>
        <v>Monitor</v>
      </c>
      <c r="E593" t="str">
        <f>PROPER(Table1[[#This Row],[Column1]])</f>
        <v>Monitor</v>
      </c>
      <c r="F593" s="8" t="str">
        <f t="shared" si="45"/>
        <v>Technology</v>
      </c>
      <c r="G593" s="5">
        <v>11</v>
      </c>
      <c r="H593">
        <v>29.41</v>
      </c>
      <c r="I593" t="s">
        <v>81</v>
      </c>
      <c r="J593" t="s">
        <v>65</v>
      </c>
      <c r="K593" s="7">
        <v>0.05</v>
      </c>
      <c r="L593" t="s">
        <v>21</v>
      </c>
      <c r="M593" s="5">
        <v>307.33449999999999</v>
      </c>
      <c r="N593" t="s">
        <v>82</v>
      </c>
      <c r="O593" t="s">
        <v>67</v>
      </c>
      <c r="P593" s="5">
        <v>0</v>
      </c>
      <c r="Q593" t="s">
        <v>1235</v>
      </c>
      <c r="R593" t="s">
        <v>1236</v>
      </c>
      <c r="S593" s="5">
        <v>6.16</v>
      </c>
      <c r="T593" s="3">
        <v>45835</v>
      </c>
      <c r="U593" s="3">
        <v>45840</v>
      </c>
      <c r="V593" t="s">
        <v>74</v>
      </c>
      <c r="W593">
        <f t="shared" si="47"/>
        <v>291.96777499999996</v>
      </c>
      <c r="X593">
        <f t="shared" si="48"/>
        <v>323.51</v>
      </c>
      <c r="Y593">
        <f t="shared" si="49"/>
        <v>31.54222500000003</v>
      </c>
      <c r="Z593" s="8" t="str">
        <f t="shared" si="46"/>
        <v>Medium</v>
      </c>
      <c r="AA593" s="12">
        <f>DATE(YEAR(Table1[[#This Row],[OrderDate]]),MONTH(Table1[[#This Row],[OrderDate]]),1)</f>
        <v>45809</v>
      </c>
    </row>
    <row r="594" spans="1:27" x14ac:dyDescent="0.3">
      <c r="A594" s="3">
        <v>45643</v>
      </c>
      <c r="B594" t="s">
        <v>7</v>
      </c>
      <c r="C594" t="s">
        <v>35</v>
      </c>
      <c r="D594" t="str">
        <f>TRIM(Table1[[#This Row],[Product]])</f>
        <v>Tablet</v>
      </c>
      <c r="E594" t="str">
        <f>PROPER(Table1[[#This Row],[Column1]])</f>
        <v>Tablet</v>
      </c>
      <c r="F594" s="8" t="str">
        <f t="shared" si="45"/>
        <v>Technology</v>
      </c>
      <c r="G594" s="5">
        <v>1</v>
      </c>
      <c r="H594">
        <v>486.19</v>
      </c>
      <c r="I594" t="s">
        <v>57</v>
      </c>
      <c r="J594" t="s">
        <v>65</v>
      </c>
      <c r="K594" s="7">
        <v>0.05</v>
      </c>
      <c r="L594" t="s">
        <v>27</v>
      </c>
      <c r="M594" s="5">
        <v>461.88049999999998</v>
      </c>
      <c r="N594" t="s">
        <v>59</v>
      </c>
      <c r="O594" t="s">
        <v>67</v>
      </c>
      <c r="P594" s="5">
        <v>0</v>
      </c>
      <c r="Q594" t="s">
        <v>1237</v>
      </c>
      <c r="R594" t="s">
        <v>1238</v>
      </c>
      <c r="S594" s="5">
        <v>41.73</v>
      </c>
      <c r="T594" s="3">
        <v>45643</v>
      </c>
      <c r="U594" s="3">
        <v>45646</v>
      </c>
      <c r="V594" t="s">
        <v>77</v>
      </c>
      <c r="W594">
        <f t="shared" si="47"/>
        <v>438.78647499999994</v>
      </c>
      <c r="X594">
        <f t="shared" si="48"/>
        <v>486.19</v>
      </c>
      <c r="Y594">
        <f t="shared" si="49"/>
        <v>47.403525000000059</v>
      </c>
      <c r="Z594" s="8" t="str">
        <f t="shared" si="46"/>
        <v>Medium</v>
      </c>
      <c r="AA594" s="12">
        <f>DATE(YEAR(Table1[[#This Row],[OrderDate]]),MONTH(Table1[[#This Row],[OrderDate]]),1)</f>
        <v>45627</v>
      </c>
    </row>
    <row r="595" spans="1:27" x14ac:dyDescent="0.3">
      <c r="A595" s="3">
        <v>45415</v>
      </c>
      <c r="B595" t="s">
        <v>13</v>
      </c>
      <c r="C595" t="s">
        <v>31</v>
      </c>
      <c r="D595" t="str">
        <f>TRIM(Table1[[#This Row],[Product]])</f>
        <v>Laptop</v>
      </c>
      <c r="E595" t="str">
        <f>PROPER(Table1[[#This Row],[Column1]])</f>
        <v>Laptop</v>
      </c>
      <c r="F595" s="8" t="str">
        <f t="shared" si="45"/>
        <v>Technology</v>
      </c>
      <c r="G595" s="5">
        <v>6</v>
      </c>
      <c r="H595">
        <v>266.67</v>
      </c>
      <c r="I595" t="s">
        <v>57</v>
      </c>
      <c r="J595" t="s">
        <v>58</v>
      </c>
      <c r="K595" s="7">
        <v>0.05</v>
      </c>
      <c r="L595" t="s">
        <v>25</v>
      </c>
      <c r="M595" s="5">
        <v>1520.019</v>
      </c>
      <c r="N595" t="s">
        <v>85</v>
      </c>
      <c r="P595" s="5">
        <v>0</v>
      </c>
      <c r="Q595" t="s">
        <v>1239</v>
      </c>
      <c r="R595" t="s">
        <v>1240</v>
      </c>
      <c r="S595" s="5">
        <v>48.49</v>
      </c>
      <c r="T595" s="3">
        <v>45415</v>
      </c>
      <c r="U595" s="3">
        <v>45423</v>
      </c>
      <c r="V595" t="s">
        <v>70</v>
      </c>
      <c r="W595">
        <f t="shared" si="47"/>
        <v>1444.0180499999999</v>
      </c>
      <c r="X595">
        <f t="shared" si="48"/>
        <v>1600.02</v>
      </c>
      <c r="Y595">
        <f t="shared" si="49"/>
        <v>156.00195000000008</v>
      </c>
      <c r="Z595" s="8" t="str">
        <f t="shared" si="46"/>
        <v>Medium</v>
      </c>
      <c r="AA595" s="12">
        <f>DATE(YEAR(Table1[[#This Row],[OrderDate]]),MONTH(Table1[[#This Row],[OrderDate]]),1)</f>
        <v>45413</v>
      </c>
    </row>
    <row r="596" spans="1:27" x14ac:dyDescent="0.3">
      <c r="A596" s="3">
        <v>45286</v>
      </c>
      <c r="B596" t="s">
        <v>13</v>
      </c>
      <c r="C596" t="s">
        <v>34</v>
      </c>
      <c r="D596" t="str">
        <f>TRIM(Table1[[#This Row],[Product]])</f>
        <v>Printer</v>
      </c>
      <c r="E596" t="str">
        <f>PROPER(Table1[[#This Row],[Column1]])</f>
        <v>Printer</v>
      </c>
      <c r="F596" s="8" t="str">
        <f t="shared" si="45"/>
        <v>Office Supplies</v>
      </c>
      <c r="G596" s="5">
        <v>3</v>
      </c>
      <c r="H596">
        <v>300.8</v>
      </c>
      <c r="I596" t="s">
        <v>57</v>
      </c>
      <c r="J596" t="s">
        <v>58</v>
      </c>
      <c r="K596" s="7">
        <v>0.1</v>
      </c>
      <c r="L596" t="s">
        <v>21</v>
      </c>
      <c r="M596" s="5">
        <v>812.16000000000008</v>
      </c>
      <c r="N596" t="s">
        <v>88</v>
      </c>
      <c r="P596" s="5">
        <v>1</v>
      </c>
      <c r="Q596" t="s">
        <v>1241</v>
      </c>
      <c r="R596" t="s">
        <v>1049</v>
      </c>
      <c r="S596" s="5">
        <v>15.98</v>
      </c>
      <c r="T596" s="3">
        <v>45286</v>
      </c>
      <c r="U596" s="3">
        <v>45292</v>
      </c>
      <c r="V596" t="s">
        <v>70</v>
      </c>
      <c r="W596">
        <f t="shared" si="47"/>
        <v>730.94400000000007</v>
      </c>
      <c r="X596">
        <f t="shared" si="48"/>
        <v>902.40000000000009</v>
      </c>
      <c r="Y596">
        <f t="shared" si="49"/>
        <v>171.45600000000002</v>
      </c>
      <c r="Z596" s="8" t="str">
        <f t="shared" si="46"/>
        <v>Medium</v>
      </c>
      <c r="AA596" s="12">
        <f>DATE(YEAR(Table1[[#This Row],[OrderDate]]),MONTH(Table1[[#This Row],[OrderDate]]),1)</f>
        <v>45261</v>
      </c>
    </row>
    <row r="597" spans="1:27" x14ac:dyDescent="0.3">
      <c r="A597" s="3">
        <v>45425</v>
      </c>
      <c r="B597" t="s">
        <v>7</v>
      </c>
      <c r="C597" t="s">
        <v>34</v>
      </c>
      <c r="D597" t="str">
        <f>TRIM(Table1[[#This Row],[Product]])</f>
        <v>Printer</v>
      </c>
      <c r="E597" t="str">
        <f>PROPER(Table1[[#This Row],[Column1]])</f>
        <v>Printer</v>
      </c>
      <c r="F597" s="8" t="str">
        <f t="shared" si="45"/>
        <v>Office Supplies</v>
      </c>
      <c r="G597" s="5">
        <v>11</v>
      </c>
      <c r="H597">
        <v>79.63</v>
      </c>
      <c r="I597" t="s">
        <v>57</v>
      </c>
      <c r="J597" t="s">
        <v>58</v>
      </c>
      <c r="K597" s="7">
        <v>0.05</v>
      </c>
      <c r="L597" t="s">
        <v>27</v>
      </c>
      <c r="M597" s="5">
        <v>832.13349999999991</v>
      </c>
      <c r="N597" t="s">
        <v>59</v>
      </c>
      <c r="P597" s="5">
        <v>0</v>
      </c>
      <c r="Q597" t="s">
        <v>1242</v>
      </c>
      <c r="R597" t="s">
        <v>1243</v>
      </c>
      <c r="S597" s="5">
        <v>43.84</v>
      </c>
      <c r="T597" s="3">
        <v>45425</v>
      </c>
      <c r="U597" s="3">
        <v>45431</v>
      </c>
      <c r="V597" t="s">
        <v>77</v>
      </c>
      <c r="W597">
        <f t="shared" si="47"/>
        <v>790.52682499999992</v>
      </c>
      <c r="X597">
        <f t="shared" si="48"/>
        <v>875.93</v>
      </c>
      <c r="Y597">
        <f t="shared" si="49"/>
        <v>85.403175000000033</v>
      </c>
      <c r="Z597" s="8" t="str">
        <f t="shared" si="46"/>
        <v>Medium</v>
      </c>
      <c r="AA597" s="12">
        <f>DATE(YEAR(Table1[[#This Row],[OrderDate]]),MONTH(Table1[[#This Row],[OrderDate]]),1)</f>
        <v>45413</v>
      </c>
    </row>
    <row r="598" spans="1:27" x14ac:dyDescent="0.3">
      <c r="A598" s="3">
        <v>45206</v>
      </c>
      <c r="B598" t="s">
        <v>13</v>
      </c>
      <c r="C598" t="s">
        <v>31</v>
      </c>
      <c r="D598" t="str">
        <f>TRIM(Table1[[#This Row],[Product]])</f>
        <v>Laptop</v>
      </c>
      <c r="E598" t="str">
        <f>PROPER(Table1[[#This Row],[Column1]])</f>
        <v>Laptop</v>
      </c>
      <c r="F598" s="8" t="str">
        <f t="shared" si="45"/>
        <v>Technology</v>
      </c>
      <c r="G598" s="5">
        <v>6</v>
      </c>
      <c r="H598">
        <v>505.7</v>
      </c>
      <c r="I598" t="s">
        <v>78</v>
      </c>
      <c r="J598" t="s">
        <v>65</v>
      </c>
      <c r="K598" s="7">
        <v>0</v>
      </c>
      <c r="L598" t="s">
        <v>18</v>
      </c>
      <c r="M598" s="5">
        <v>3034.2</v>
      </c>
      <c r="N598" t="s">
        <v>88</v>
      </c>
      <c r="P598" s="5">
        <v>0</v>
      </c>
      <c r="Q598" t="s">
        <v>1244</v>
      </c>
      <c r="R598" t="s">
        <v>1245</v>
      </c>
      <c r="S598" s="5">
        <v>40.380000000000003</v>
      </c>
      <c r="T598" s="3">
        <v>45206</v>
      </c>
      <c r="U598" s="3">
        <v>45215</v>
      </c>
      <c r="V598" t="s">
        <v>70</v>
      </c>
      <c r="W598">
        <f t="shared" si="47"/>
        <v>3034.2</v>
      </c>
      <c r="X598">
        <f t="shared" si="48"/>
        <v>3034.2</v>
      </c>
      <c r="Y598">
        <f t="shared" si="49"/>
        <v>0</v>
      </c>
      <c r="Z598" s="8" t="str">
        <f t="shared" si="46"/>
        <v>No Discount</v>
      </c>
      <c r="AA598" s="12">
        <f>DATE(YEAR(Table1[[#This Row],[OrderDate]]),MONTH(Table1[[#This Row],[OrderDate]]),1)</f>
        <v>45200</v>
      </c>
    </row>
    <row r="599" spans="1:27" x14ac:dyDescent="0.3">
      <c r="A599" s="3">
        <v>45118</v>
      </c>
      <c r="B599" t="s">
        <v>16</v>
      </c>
      <c r="C599" t="s">
        <v>34</v>
      </c>
      <c r="D599" t="str">
        <f>TRIM(Table1[[#This Row],[Product]])</f>
        <v>Printer</v>
      </c>
      <c r="E599" t="str">
        <f>PROPER(Table1[[#This Row],[Column1]])</f>
        <v>Printer</v>
      </c>
      <c r="F599" s="8" t="str">
        <f t="shared" si="45"/>
        <v>Office Supplies</v>
      </c>
      <c r="G599" s="5">
        <v>5</v>
      </c>
      <c r="H599">
        <v>569.62</v>
      </c>
      <c r="I599" t="s">
        <v>78</v>
      </c>
      <c r="J599" t="s">
        <v>58</v>
      </c>
      <c r="K599" s="7">
        <v>0</v>
      </c>
      <c r="L599" t="s">
        <v>23</v>
      </c>
      <c r="M599" s="5">
        <v>2848.1</v>
      </c>
      <c r="N599" t="s">
        <v>85</v>
      </c>
      <c r="O599" t="s">
        <v>60</v>
      </c>
      <c r="P599" s="5">
        <v>0</v>
      </c>
      <c r="Q599" t="s">
        <v>1246</v>
      </c>
      <c r="R599" t="s">
        <v>1247</v>
      </c>
      <c r="S599" s="5">
        <v>48.8</v>
      </c>
      <c r="T599" s="3">
        <v>45118</v>
      </c>
      <c r="U599" s="3">
        <v>45120</v>
      </c>
      <c r="V599" t="s">
        <v>95</v>
      </c>
      <c r="W599">
        <f t="shared" si="47"/>
        <v>2848.1</v>
      </c>
      <c r="X599">
        <f t="shared" si="48"/>
        <v>2848.1</v>
      </c>
      <c r="Y599">
        <f t="shared" si="49"/>
        <v>0</v>
      </c>
      <c r="Z599" s="8" t="str">
        <f t="shared" si="46"/>
        <v>No Discount</v>
      </c>
      <c r="AA599" s="12">
        <f>DATE(YEAR(Table1[[#This Row],[OrderDate]]),MONTH(Table1[[#This Row],[OrderDate]]),1)</f>
        <v>45108</v>
      </c>
    </row>
    <row r="600" spans="1:27" x14ac:dyDescent="0.3">
      <c r="A600" s="3">
        <v>45688</v>
      </c>
      <c r="B600" t="s">
        <v>13</v>
      </c>
      <c r="C600" t="s">
        <v>35</v>
      </c>
      <c r="D600" t="str">
        <f>TRIM(Table1[[#This Row],[Product]])</f>
        <v>Tablet</v>
      </c>
      <c r="E600" t="str">
        <f>PROPER(Table1[[#This Row],[Column1]])</f>
        <v>Tablet</v>
      </c>
      <c r="F600" s="8" t="str">
        <f t="shared" si="45"/>
        <v>Technology</v>
      </c>
      <c r="G600" s="5">
        <v>19</v>
      </c>
      <c r="H600">
        <v>90.85</v>
      </c>
      <c r="I600" t="s">
        <v>78</v>
      </c>
      <c r="J600" t="s">
        <v>65</v>
      </c>
      <c r="K600" s="7">
        <v>0.05</v>
      </c>
      <c r="L600" t="s">
        <v>18</v>
      </c>
      <c r="M600" s="5">
        <v>1639.8425</v>
      </c>
      <c r="N600" t="s">
        <v>82</v>
      </c>
      <c r="O600" t="s">
        <v>67</v>
      </c>
      <c r="P600" s="5">
        <v>0</v>
      </c>
      <c r="Q600" t="s">
        <v>1248</v>
      </c>
      <c r="R600" t="s">
        <v>1249</v>
      </c>
      <c r="S600" s="5">
        <v>22.28</v>
      </c>
      <c r="T600" s="3">
        <v>45688</v>
      </c>
      <c r="U600" s="3">
        <v>45694</v>
      </c>
      <c r="V600" t="s">
        <v>70</v>
      </c>
      <c r="W600">
        <f t="shared" si="47"/>
        <v>1557.850375</v>
      </c>
      <c r="X600">
        <f t="shared" si="48"/>
        <v>1726.1499999999999</v>
      </c>
      <c r="Y600">
        <f t="shared" si="49"/>
        <v>168.29962499999988</v>
      </c>
      <c r="Z600" s="8" t="str">
        <f t="shared" si="46"/>
        <v>Medium</v>
      </c>
      <c r="AA600" s="12">
        <f>DATE(YEAR(Table1[[#This Row],[OrderDate]]),MONTH(Table1[[#This Row],[OrderDate]]),1)</f>
        <v>45658</v>
      </c>
    </row>
    <row r="601" spans="1:27" x14ac:dyDescent="0.3">
      <c r="A601" s="3">
        <v>44961</v>
      </c>
      <c r="B601" t="s">
        <v>13</v>
      </c>
      <c r="C601" t="s">
        <v>29</v>
      </c>
      <c r="D601" t="str">
        <f>TRIM(Table1[[#This Row],[Product]])</f>
        <v>Chair</v>
      </c>
      <c r="E601" t="str">
        <f>PROPER(Table1[[#This Row],[Column1]])</f>
        <v>Chair</v>
      </c>
      <c r="F601" s="8" t="str">
        <f t="shared" si="45"/>
        <v>Furniture</v>
      </c>
      <c r="G601" s="5">
        <v>2</v>
      </c>
      <c r="H601">
        <v>296.91000000000003</v>
      </c>
      <c r="I601" t="s">
        <v>64</v>
      </c>
      <c r="J601" t="s">
        <v>58</v>
      </c>
      <c r="K601" s="7">
        <v>0.05</v>
      </c>
      <c r="L601" t="s">
        <v>21</v>
      </c>
      <c r="M601" s="5">
        <v>564.12900000000002</v>
      </c>
      <c r="N601" t="s">
        <v>85</v>
      </c>
      <c r="O601" t="s">
        <v>71</v>
      </c>
      <c r="P601" s="5">
        <v>0</v>
      </c>
      <c r="Q601" t="s">
        <v>1250</v>
      </c>
      <c r="R601" t="s">
        <v>1251</v>
      </c>
      <c r="S601" s="5">
        <v>44.35</v>
      </c>
      <c r="T601" s="3">
        <v>44961</v>
      </c>
      <c r="U601" s="3">
        <v>44964</v>
      </c>
      <c r="V601" t="s">
        <v>70</v>
      </c>
      <c r="W601">
        <f t="shared" si="47"/>
        <v>535.92255</v>
      </c>
      <c r="X601">
        <f t="shared" si="48"/>
        <v>593.82000000000005</v>
      </c>
      <c r="Y601">
        <f t="shared" si="49"/>
        <v>57.897450000000049</v>
      </c>
      <c r="Z601" s="8" t="str">
        <f t="shared" si="46"/>
        <v>Medium</v>
      </c>
      <c r="AA601" s="12">
        <f>DATE(YEAR(Table1[[#This Row],[OrderDate]]),MONTH(Table1[[#This Row],[OrderDate]]),1)</f>
        <v>44958</v>
      </c>
    </row>
    <row r="602" spans="1:27" x14ac:dyDescent="0.3">
      <c r="A602" s="3">
        <v>45171</v>
      </c>
      <c r="B602" t="s">
        <v>13</v>
      </c>
      <c r="C602" t="s">
        <v>34</v>
      </c>
      <c r="D602" t="str">
        <f>TRIM(Table1[[#This Row],[Product]])</f>
        <v>Printer</v>
      </c>
      <c r="E602" t="str">
        <f>PROPER(Table1[[#This Row],[Column1]])</f>
        <v>Printer</v>
      </c>
      <c r="F602" s="8" t="str">
        <f t="shared" si="45"/>
        <v>Office Supplies</v>
      </c>
      <c r="G602" s="5">
        <v>2</v>
      </c>
      <c r="H602">
        <v>6.19</v>
      </c>
      <c r="I602" t="s">
        <v>57</v>
      </c>
      <c r="J602" t="s">
        <v>65</v>
      </c>
      <c r="K602" s="7">
        <v>0.1</v>
      </c>
      <c r="L602" t="s">
        <v>27</v>
      </c>
      <c r="M602" s="5">
        <v>11.141999999999999</v>
      </c>
      <c r="N602" t="s">
        <v>82</v>
      </c>
      <c r="O602" t="s">
        <v>60</v>
      </c>
      <c r="P602" s="5">
        <v>1</v>
      </c>
      <c r="Q602" t="s">
        <v>1252</v>
      </c>
      <c r="R602" t="s">
        <v>1253</v>
      </c>
      <c r="S602" s="5">
        <v>47.24</v>
      </c>
      <c r="T602" s="3">
        <v>45171</v>
      </c>
      <c r="U602" s="3">
        <v>45181</v>
      </c>
      <c r="V602" t="s">
        <v>70</v>
      </c>
      <c r="W602">
        <f t="shared" si="47"/>
        <v>10.027799999999999</v>
      </c>
      <c r="X602">
        <f t="shared" si="48"/>
        <v>12.38</v>
      </c>
      <c r="Y602">
        <f t="shared" si="49"/>
        <v>2.3522000000000016</v>
      </c>
      <c r="Z602" s="8" t="str">
        <f t="shared" si="46"/>
        <v>Medium</v>
      </c>
      <c r="AA602" s="12">
        <f>DATE(YEAR(Table1[[#This Row],[OrderDate]]),MONTH(Table1[[#This Row],[OrderDate]]),1)</f>
        <v>45170</v>
      </c>
    </row>
    <row r="603" spans="1:27" x14ac:dyDescent="0.3">
      <c r="A603" s="3">
        <v>45639</v>
      </c>
      <c r="B603" t="s">
        <v>7</v>
      </c>
      <c r="C603" t="s">
        <v>32</v>
      </c>
      <c r="D603" t="str">
        <f>TRIM(Table1[[#This Row],[Product]])</f>
        <v>Monitor</v>
      </c>
      <c r="E603" t="str">
        <f>PROPER(Table1[[#This Row],[Column1]])</f>
        <v>Monitor</v>
      </c>
      <c r="F603" s="8" t="str">
        <f t="shared" si="45"/>
        <v>Technology</v>
      </c>
      <c r="G603" s="5">
        <v>18</v>
      </c>
      <c r="H603">
        <v>207.35</v>
      </c>
      <c r="I603" t="s">
        <v>81</v>
      </c>
      <c r="J603" t="s">
        <v>58</v>
      </c>
      <c r="K603" s="7">
        <v>0.15</v>
      </c>
      <c r="L603" t="s">
        <v>18</v>
      </c>
      <c r="M603" s="5">
        <v>3172.454999999999</v>
      </c>
      <c r="N603" t="s">
        <v>85</v>
      </c>
      <c r="O603" t="s">
        <v>60</v>
      </c>
      <c r="P603" s="5">
        <v>0</v>
      </c>
      <c r="Q603" t="s">
        <v>1254</v>
      </c>
      <c r="R603" t="s">
        <v>1255</v>
      </c>
      <c r="S603" s="5">
        <v>11.17</v>
      </c>
      <c r="T603" s="3">
        <v>45639</v>
      </c>
      <c r="U603" s="3">
        <v>45641</v>
      </c>
      <c r="V603" t="s">
        <v>77</v>
      </c>
      <c r="W603">
        <f t="shared" si="47"/>
        <v>2696.586749999999</v>
      </c>
      <c r="X603">
        <f t="shared" si="48"/>
        <v>3732.2999999999997</v>
      </c>
      <c r="Y603">
        <f t="shared" si="49"/>
        <v>1035.7132500000007</v>
      </c>
      <c r="Z603" s="8" t="str">
        <f t="shared" si="46"/>
        <v>High</v>
      </c>
      <c r="AA603" s="12">
        <f>DATE(YEAR(Table1[[#This Row],[OrderDate]]),MONTH(Table1[[#This Row],[OrderDate]]),1)</f>
        <v>45627</v>
      </c>
    </row>
    <row r="604" spans="1:27" x14ac:dyDescent="0.3">
      <c r="A604" s="3">
        <v>45212</v>
      </c>
      <c r="B604" t="s">
        <v>7</v>
      </c>
      <c r="C604" t="s">
        <v>35</v>
      </c>
      <c r="D604" t="str">
        <f>TRIM(Table1[[#This Row],[Product]])</f>
        <v>Tablet</v>
      </c>
      <c r="E604" t="str">
        <f>PROPER(Table1[[#This Row],[Column1]])</f>
        <v>Tablet</v>
      </c>
      <c r="F604" s="8" t="str">
        <f t="shared" si="45"/>
        <v>Technology</v>
      </c>
      <c r="G604" s="5">
        <v>5</v>
      </c>
      <c r="H604">
        <v>75.27</v>
      </c>
      <c r="I604" t="s">
        <v>64</v>
      </c>
      <c r="J604" t="s">
        <v>58</v>
      </c>
      <c r="K604" s="7">
        <v>0</v>
      </c>
      <c r="L604" t="s">
        <v>21</v>
      </c>
      <c r="M604" s="5">
        <v>376.35</v>
      </c>
      <c r="N604" t="s">
        <v>88</v>
      </c>
      <c r="P604" s="5">
        <v>0</v>
      </c>
      <c r="Q604" t="s">
        <v>1256</v>
      </c>
      <c r="R604" t="s">
        <v>1257</v>
      </c>
      <c r="S604" s="5">
        <v>31.61</v>
      </c>
      <c r="T604" s="3">
        <v>45212</v>
      </c>
      <c r="U604" s="3">
        <v>45221</v>
      </c>
      <c r="V604" t="s">
        <v>77</v>
      </c>
      <c r="W604">
        <f t="shared" si="47"/>
        <v>376.35</v>
      </c>
      <c r="X604">
        <f t="shared" si="48"/>
        <v>376.34999999999997</v>
      </c>
      <c r="Y604">
        <f t="shared" si="49"/>
        <v>0</v>
      </c>
      <c r="Z604" s="8" t="str">
        <f t="shared" si="46"/>
        <v>No Discount</v>
      </c>
      <c r="AA604" s="12">
        <f>DATE(YEAR(Table1[[#This Row],[OrderDate]]),MONTH(Table1[[#This Row],[OrderDate]]),1)</f>
        <v>45200</v>
      </c>
    </row>
    <row r="605" spans="1:27" x14ac:dyDescent="0.3">
      <c r="A605" s="3">
        <v>45568</v>
      </c>
      <c r="B605" t="s">
        <v>13</v>
      </c>
      <c r="C605" t="s">
        <v>32</v>
      </c>
      <c r="D605" t="str">
        <f>TRIM(Table1[[#This Row],[Product]])</f>
        <v>Monitor</v>
      </c>
      <c r="E605" t="str">
        <f>PROPER(Table1[[#This Row],[Column1]])</f>
        <v>Monitor</v>
      </c>
      <c r="F605" s="8" t="str">
        <f t="shared" si="45"/>
        <v>Technology</v>
      </c>
      <c r="G605" s="5">
        <v>3</v>
      </c>
      <c r="H605">
        <v>136.15</v>
      </c>
      <c r="I605" t="s">
        <v>64</v>
      </c>
      <c r="J605" t="s">
        <v>65</v>
      </c>
      <c r="K605" s="7">
        <v>0.1</v>
      </c>
      <c r="L605" t="s">
        <v>23</v>
      </c>
      <c r="M605" s="5">
        <v>367.60500000000008</v>
      </c>
      <c r="N605" t="s">
        <v>66</v>
      </c>
      <c r="O605" t="s">
        <v>67</v>
      </c>
      <c r="P605" s="5">
        <v>0</v>
      </c>
      <c r="Q605" t="s">
        <v>1258</v>
      </c>
      <c r="R605" t="s">
        <v>1259</v>
      </c>
      <c r="S605" s="5">
        <v>48.38</v>
      </c>
      <c r="T605" s="3">
        <v>45568</v>
      </c>
      <c r="U605" s="3">
        <v>45572</v>
      </c>
      <c r="V605" t="s">
        <v>70</v>
      </c>
      <c r="W605">
        <f t="shared" si="47"/>
        <v>330.8445000000001</v>
      </c>
      <c r="X605">
        <f t="shared" si="48"/>
        <v>408.45000000000005</v>
      </c>
      <c r="Y605">
        <f t="shared" si="49"/>
        <v>77.60549999999995</v>
      </c>
      <c r="Z605" s="8" t="str">
        <f t="shared" si="46"/>
        <v>Medium</v>
      </c>
      <c r="AA605" s="12">
        <f>DATE(YEAR(Table1[[#This Row],[OrderDate]]),MONTH(Table1[[#This Row],[OrderDate]]),1)</f>
        <v>45566</v>
      </c>
    </row>
    <row r="606" spans="1:27" x14ac:dyDescent="0.3">
      <c r="A606" s="3">
        <v>45410</v>
      </c>
      <c r="B606" t="s">
        <v>7</v>
      </c>
      <c r="C606" t="s">
        <v>30</v>
      </c>
      <c r="D606" t="str">
        <f>TRIM(Table1[[#This Row],[Product]])</f>
        <v>Desk</v>
      </c>
      <c r="E606" t="str">
        <f>PROPER(Table1[[#This Row],[Column1]])</f>
        <v>Desk</v>
      </c>
      <c r="F606" s="8" t="str">
        <f t="shared" si="45"/>
        <v>Furniture</v>
      </c>
      <c r="G606" s="5">
        <v>5</v>
      </c>
      <c r="H606">
        <v>544.66</v>
      </c>
      <c r="I606" t="s">
        <v>57</v>
      </c>
      <c r="J606" t="s">
        <v>65</v>
      </c>
      <c r="K606" s="7">
        <v>0.1</v>
      </c>
      <c r="L606" t="s">
        <v>23</v>
      </c>
      <c r="M606" s="5">
        <v>2450.9699999999998</v>
      </c>
      <c r="N606" t="s">
        <v>59</v>
      </c>
      <c r="O606" t="s">
        <v>67</v>
      </c>
      <c r="P606" s="5">
        <v>0</v>
      </c>
      <c r="Q606" t="s">
        <v>1260</v>
      </c>
      <c r="R606" t="s">
        <v>1261</v>
      </c>
      <c r="S606" s="5">
        <v>8.39</v>
      </c>
      <c r="T606" s="3">
        <v>45410</v>
      </c>
      <c r="U606" s="3">
        <v>45416</v>
      </c>
      <c r="V606" t="s">
        <v>77</v>
      </c>
      <c r="W606">
        <f t="shared" si="47"/>
        <v>2205.873</v>
      </c>
      <c r="X606">
        <f t="shared" si="48"/>
        <v>2723.2999999999997</v>
      </c>
      <c r="Y606">
        <f t="shared" si="49"/>
        <v>517.42699999999968</v>
      </c>
      <c r="Z606" s="8" t="str">
        <f t="shared" si="46"/>
        <v>Medium</v>
      </c>
      <c r="AA606" s="12">
        <f>DATE(YEAR(Table1[[#This Row],[OrderDate]]),MONTH(Table1[[#This Row],[OrderDate]]),1)</f>
        <v>45383</v>
      </c>
    </row>
    <row r="607" spans="1:27" x14ac:dyDescent="0.3">
      <c r="A607" s="3">
        <v>45329</v>
      </c>
      <c r="B607" t="s">
        <v>7</v>
      </c>
      <c r="C607" t="s">
        <v>30</v>
      </c>
      <c r="D607" t="str">
        <f>TRIM(Table1[[#This Row],[Product]])</f>
        <v>Desk</v>
      </c>
      <c r="E607" t="str">
        <f>PROPER(Table1[[#This Row],[Column1]])</f>
        <v>Desk</v>
      </c>
      <c r="F607" s="8" t="str">
        <f t="shared" si="45"/>
        <v>Furniture</v>
      </c>
      <c r="G607" s="5">
        <v>8</v>
      </c>
      <c r="H607">
        <v>561.9</v>
      </c>
      <c r="I607" t="s">
        <v>64</v>
      </c>
      <c r="J607" t="s">
        <v>65</v>
      </c>
      <c r="K607" s="7">
        <v>0.15</v>
      </c>
      <c r="L607" t="s">
        <v>19</v>
      </c>
      <c r="M607" s="5">
        <v>3820.92</v>
      </c>
      <c r="N607" t="s">
        <v>59</v>
      </c>
      <c r="O607" t="s">
        <v>60</v>
      </c>
      <c r="P607" s="5">
        <v>1</v>
      </c>
      <c r="Q607" t="s">
        <v>1262</v>
      </c>
      <c r="R607" t="s">
        <v>1263</v>
      </c>
      <c r="S607" s="5">
        <v>15.97</v>
      </c>
      <c r="T607" s="3">
        <v>45329</v>
      </c>
      <c r="U607" s="3">
        <v>45336</v>
      </c>
      <c r="V607" t="s">
        <v>77</v>
      </c>
      <c r="W607">
        <f t="shared" si="47"/>
        <v>3247.7820000000002</v>
      </c>
      <c r="X607">
        <f t="shared" si="48"/>
        <v>4495.2</v>
      </c>
      <c r="Y607">
        <f t="shared" si="49"/>
        <v>1247.4179999999997</v>
      </c>
      <c r="Z607" s="8" t="str">
        <f t="shared" si="46"/>
        <v>High</v>
      </c>
      <c r="AA607" s="12">
        <f>DATE(YEAR(Table1[[#This Row],[OrderDate]]),MONTH(Table1[[#This Row],[OrderDate]]),1)</f>
        <v>45323</v>
      </c>
    </row>
    <row r="608" spans="1:27" x14ac:dyDescent="0.3">
      <c r="A608" s="3">
        <v>44965</v>
      </c>
      <c r="B608" t="s">
        <v>13</v>
      </c>
      <c r="C608" t="s">
        <v>29</v>
      </c>
      <c r="D608" t="str">
        <f>TRIM(Table1[[#This Row],[Product]])</f>
        <v>Chair</v>
      </c>
      <c r="E608" t="str">
        <f>PROPER(Table1[[#This Row],[Column1]])</f>
        <v>Chair</v>
      </c>
      <c r="F608" s="8" t="str">
        <f t="shared" si="45"/>
        <v>Furniture</v>
      </c>
      <c r="G608" s="5">
        <v>20</v>
      </c>
      <c r="H608">
        <v>313.47000000000003</v>
      </c>
      <c r="I608" t="s">
        <v>78</v>
      </c>
      <c r="J608" t="s">
        <v>65</v>
      </c>
      <c r="K608" s="7">
        <v>0.15</v>
      </c>
      <c r="L608" t="s">
        <v>18</v>
      </c>
      <c r="M608" s="5">
        <v>5328.9900000000007</v>
      </c>
      <c r="N608" t="s">
        <v>59</v>
      </c>
      <c r="O608" t="s">
        <v>60</v>
      </c>
      <c r="P608" s="5">
        <v>0</v>
      </c>
      <c r="Q608" t="s">
        <v>1264</v>
      </c>
      <c r="R608" t="s">
        <v>1265</v>
      </c>
      <c r="S608" s="5">
        <v>18.170000000000002</v>
      </c>
      <c r="T608" s="3">
        <v>44965</v>
      </c>
      <c r="U608" s="3">
        <v>44968</v>
      </c>
      <c r="V608" t="s">
        <v>70</v>
      </c>
      <c r="W608">
        <f t="shared" si="47"/>
        <v>4529.6415000000006</v>
      </c>
      <c r="X608">
        <f t="shared" si="48"/>
        <v>6269.4000000000005</v>
      </c>
      <c r="Y608">
        <f t="shared" si="49"/>
        <v>1739.7584999999999</v>
      </c>
      <c r="Z608" s="8" t="str">
        <f t="shared" si="46"/>
        <v>High</v>
      </c>
      <c r="AA608" s="12">
        <f>DATE(YEAR(Table1[[#This Row],[OrderDate]]),MONTH(Table1[[#This Row],[OrderDate]]),1)</f>
        <v>44958</v>
      </c>
    </row>
    <row r="609" spans="1:27" x14ac:dyDescent="0.3">
      <c r="A609" s="3">
        <v>45094</v>
      </c>
      <c r="B609" t="s">
        <v>13</v>
      </c>
      <c r="C609" t="s">
        <v>33</v>
      </c>
      <c r="D609" t="str">
        <f>TRIM(Table1[[#This Row],[Product]])</f>
        <v>Phone</v>
      </c>
      <c r="E609" t="str">
        <f>PROPER(Table1[[#This Row],[Column1]])</f>
        <v>Phone</v>
      </c>
      <c r="F609" s="8" t="str">
        <f t="shared" si="45"/>
        <v>Technology</v>
      </c>
      <c r="G609" s="5">
        <v>1</v>
      </c>
      <c r="H609">
        <v>418.45</v>
      </c>
      <c r="I609" t="s">
        <v>78</v>
      </c>
      <c r="J609" t="s">
        <v>65</v>
      </c>
      <c r="K609" s="7">
        <v>0.15</v>
      </c>
      <c r="L609" t="s">
        <v>23</v>
      </c>
      <c r="M609" s="5">
        <v>355.6825</v>
      </c>
      <c r="N609" t="s">
        <v>88</v>
      </c>
      <c r="O609" t="s">
        <v>71</v>
      </c>
      <c r="P609" s="5">
        <v>0</v>
      </c>
      <c r="Q609" t="s">
        <v>1266</v>
      </c>
      <c r="R609" t="s">
        <v>1267</v>
      </c>
      <c r="S609" s="5">
        <v>35.58</v>
      </c>
      <c r="T609" s="3">
        <v>45094</v>
      </c>
      <c r="U609" s="3">
        <v>45096</v>
      </c>
      <c r="V609" t="s">
        <v>70</v>
      </c>
      <c r="W609">
        <f t="shared" si="47"/>
        <v>302.33012500000001</v>
      </c>
      <c r="X609">
        <f t="shared" si="48"/>
        <v>418.45</v>
      </c>
      <c r="Y609">
        <f t="shared" si="49"/>
        <v>116.11987499999998</v>
      </c>
      <c r="Z609" s="8" t="str">
        <f t="shared" si="46"/>
        <v>High</v>
      </c>
      <c r="AA609" s="12">
        <f>DATE(YEAR(Table1[[#This Row],[OrderDate]]),MONTH(Table1[[#This Row],[OrderDate]]),1)</f>
        <v>45078</v>
      </c>
    </row>
    <row r="610" spans="1:27" x14ac:dyDescent="0.3">
      <c r="A610" s="3">
        <v>45502</v>
      </c>
      <c r="B610" t="s">
        <v>16</v>
      </c>
      <c r="C610" t="s">
        <v>32</v>
      </c>
      <c r="D610" t="str">
        <f>TRIM(Table1[[#This Row],[Product]])</f>
        <v>Monitor</v>
      </c>
      <c r="E610" t="str">
        <f>PROPER(Table1[[#This Row],[Column1]])</f>
        <v>Monitor</v>
      </c>
      <c r="F610" s="8" t="str">
        <f t="shared" si="45"/>
        <v>Technology</v>
      </c>
      <c r="G610" s="5">
        <v>8</v>
      </c>
      <c r="H610">
        <v>420.75</v>
      </c>
      <c r="I610" t="s">
        <v>57</v>
      </c>
      <c r="J610" t="s">
        <v>58</v>
      </c>
      <c r="K610" s="7">
        <v>0.1</v>
      </c>
      <c r="L610" t="s">
        <v>19</v>
      </c>
      <c r="M610" s="5">
        <v>3029.4</v>
      </c>
      <c r="N610" t="s">
        <v>59</v>
      </c>
      <c r="O610" t="s">
        <v>67</v>
      </c>
      <c r="P610" s="5">
        <v>1</v>
      </c>
      <c r="Q610" t="s">
        <v>1268</v>
      </c>
      <c r="R610" t="s">
        <v>1269</v>
      </c>
      <c r="S610" s="5">
        <v>44.61</v>
      </c>
      <c r="T610" s="3">
        <v>45502</v>
      </c>
      <c r="U610" s="3">
        <v>45505</v>
      </c>
      <c r="V610" t="s">
        <v>95</v>
      </c>
      <c r="W610">
        <f t="shared" si="47"/>
        <v>2726.46</v>
      </c>
      <c r="X610">
        <f t="shared" si="48"/>
        <v>3366</v>
      </c>
      <c r="Y610">
        <f t="shared" si="49"/>
        <v>639.54</v>
      </c>
      <c r="Z610" s="8" t="str">
        <f t="shared" si="46"/>
        <v>Medium</v>
      </c>
      <c r="AA610" s="12">
        <f>DATE(YEAR(Table1[[#This Row],[OrderDate]]),MONTH(Table1[[#This Row],[OrderDate]]),1)</f>
        <v>45474</v>
      </c>
    </row>
    <row r="611" spans="1:27" x14ac:dyDescent="0.3">
      <c r="A611" s="3">
        <v>45320</v>
      </c>
      <c r="B611" t="s">
        <v>16</v>
      </c>
      <c r="C611" t="s">
        <v>34</v>
      </c>
      <c r="D611" t="str">
        <f>TRIM(Table1[[#This Row],[Product]])</f>
        <v>Printer</v>
      </c>
      <c r="E611" t="str">
        <f>PROPER(Table1[[#This Row],[Column1]])</f>
        <v>Printer</v>
      </c>
      <c r="F611" s="8" t="str">
        <f t="shared" si="45"/>
        <v>Office Supplies</v>
      </c>
      <c r="G611" s="5">
        <v>16</v>
      </c>
      <c r="H611">
        <v>514.36</v>
      </c>
      <c r="I611" t="s">
        <v>81</v>
      </c>
      <c r="J611" t="s">
        <v>58</v>
      </c>
      <c r="K611" s="7">
        <v>0</v>
      </c>
      <c r="L611" t="s">
        <v>18</v>
      </c>
      <c r="M611" s="5">
        <v>8229.76</v>
      </c>
      <c r="N611" t="s">
        <v>59</v>
      </c>
      <c r="O611" t="s">
        <v>67</v>
      </c>
      <c r="P611" s="5">
        <v>0</v>
      </c>
      <c r="Q611" t="s">
        <v>1270</v>
      </c>
      <c r="R611" t="s">
        <v>1271</v>
      </c>
      <c r="S611" s="5">
        <v>40.75</v>
      </c>
      <c r="T611" s="3">
        <v>45320</v>
      </c>
      <c r="U611" s="3">
        <v>45323</v>
      </c>
      <c r="V611" t="s">
        <v>95</v>
      </c>
      <c r="W611">
        <f t="shared" si="47"/>
        <v>8229.76</v>
      </c>
      <c r="X611">
        <f t="shared" si="48"/>
        <v>8229.76</v>
      </c>
      <c r="Y611">
        <f t="shared" si="49"/>
        <v>0</v>
      </c>
      <c r="Z611" s="8" t="str">
        <f t="shared" si="46"/>
        <v>No Discount</v>
      </c>
      <c r="AA611" s="12">
        <f>DATE(YEAR(Table1[[#This Row],[OrderDate]]),MONTH(Table1[[#This Row],[OrderDate]]),1)</f>
        <v>45292</v>
      </c>
    </row>
    <row r="612" spans="1:27" x14ac:dyDescent="0.3">
      <c r="A612" s="3">
        <v>45309</v>
      </c>
      <c r="B612" t="s">
        <v>9</v>
      </c>
      <c r="C612" t="s">
        <v>33</v>
      </c>
      <c r="D612" t="str">
        <f>TRIM(Table1[[#This Row],[Product]])</f>
        <v>Phone</v>
      </c>
      <c r="E612" t="str">
        <f>PROPER(Table1[[#This Row],[Column1]])</f>
        <v>Phone</v>
      </c>
      <c r="F612" s="8" t="str">
        <f t="shared" si="45"/>
        <v>Technology</v>
      </c>
      <c r="G612" s="5">
        <v>2</v>
      </c>
      <c r="H612">
        <v>297.2</v>
      </c>
      <c r="I612" t="s">
        <v>57</v>
      </c>
      <c r="J612" t="s">
        <v>65</v>
      </c>
      <c r="K612" s="7">
        <v>0.1</v>
      </c>
      <c r="L612" t="s">
        <v>27</v>
      </c>
      <c r="M612" s="5">
        <v>534.96</v>
      </c>
      <c r="N612" t="s">
        <v>66</v>
      </c>
      <c r="O612" t="s">
        <v>60</v>
      </c>
      <c r="P612" s="5">
        <v>0</v>
      </c>
      <c r="Q612" t="s">
        <v>1272</v>
      </c>
      <c r="R612" t="s">
        <v>1273</v>
      </c>
      <c r="S612" s="5">
        <v>8.7100000000000009</v>
      </c>
      <c r="T612" s="3">
        <v>45309</v>
      </c>
      <c r="U612" s="3">
        <v>45314</v>
      </c>
      <c r="V612" t="s">
        <v>63</v>
      </c>
      <c r="W612">
        <f t="shared" si="47"/>
        <v>481.46400000000006</v>
      </c>
      <c r="X612">
        <f t="shared" si="48"/>
        <v>594.4</v>
      </c>
      <c r="Y612">
        <f t="shared" si="49"/>
        <v>112.93599999999992</v>
      </c>
      <c r="Z612" s="8" t="str">
        <f t="shared" si="46"/>
        <v>Medium</v>
      </c>
      <c r="AA612" s="12">
        <f>DATE(YEAR(Table1[[#This Row],[OrderDate]]),MONTH(Table1[[#This Row],[OrderDate]]),1)</f>
        <v>45292</v>
      </c>
    </row>
    <row r="613" spans="1:27" x14ac:dyDescent="0.3">
      <c r="A613" s="3">
        <v>45516</v>
      </c>
      <c r="B613" t="s">
        <v>11</v>
      </c>
      <c r="C613" t="s">
        <v>29</v>
      </c>
      <c r="D613" t="str">
        <f>TRIM(Table1[[#This Row],[Product]])</f>
        <v>Chair</v>
      </c>
      <c r="E613" t="str">
        <f>PROPER(Table1[[#This Row],[Column1]])</f>
        <v>Chair</v>
      </c>
      <c r="F613" s="8" t="str">
        <f t="shared" si="45"/>
        <v>Furniture</v>
      </c>
      <c r="G613" s="5">
        <v>10</v>
      </c>
      <c r="H613">
        <v>278</v>
      </c>
      <c r="I613" t="s">
        <v>78</v>
      </c>
      <c r="J613" t="s">
        <v>65</v>
      </c>
      <c r="K613" s="7">
        <v>0</v>
      </c>
      <c r="L613" t="s">
        <v>19</v>
      </c>
      <c r="M613" s="5">
        <v>2780</v>
      </c>
      <c r="N613" t="s">
        <v>82</v>
      </c>
      <c r="P613" s="5">
        <v>0</v>
      </c>
      <c r="Q613" t="s">
        <v>1274</v>
      </c>
      <c r="R613" t="s">
        <v>1275</v>
      </c>
      <c r="S613" s="5">
        <v>24.25</v>
      </c>
      <c r="T613" s="3">
        <v>45516</v>
      </c>
      <c r="U613" s="3">
        <v>45526</v>
      </c>
      <c r="V613" t="s">
        <v>74</v>
      </c>
      <c r="W613">
        <f t="shared" si="47"/>
        <v>2780</v>
      </c>
      <c r="X613">
        <f t="shared" si="48"/>
        <v>2780</v>
      </c>
      <c r="Y613">
        <f t="shared" si="49"/>
        <v>0</v>
      </c>
      <c r="Z613" s="8" t="str">
        <f t="shared" si="46"/>
        <v>No Discount</v>
      </c>
      <c r="AA613" s="12">
        <f>DATE(YEAR(Table1[[#This Row],[OrderDate]]),MONTH(Table1[[#This Row],[OrderDate]]),1)</f>
        <v>45505</v>
      </c>
    </row>
    <row r="614" spans="1:27" x14ac:dyDescent="0.3">
      <c r="A614" s="3">
        <v>45763</v>
      </c>
      <c r="B614" t="s">
        <v>16</v>
      </c>
      <c r="C614" t="s">
        <v>32</v>
      </c>
      <c r="D614" t="str">
        <f>TRIM(Table1[[#This Row],[Product]])</f>
        <v>Monitor</v>
      </c>
      <c r="E614" t="str">
        <f>PROPER(Table1[[#This Row],[Column1]])</f>
        <v>Monitor</v>
      </c>
      <c r="F614" s="8" t="str">
        <f t="shared" si="45"/>
        <v>Technology</v>
      </c>
      <c r="G614" s="5">
        <v>8</v>
      </c>
      <c r="H614">
        <v>583.16999999999996</v>
      </c>
      <c r="I614" t="s">
        <v>81</v>
      </c>
      <c r="J614" t="s">
        <v>58</v>
      </c>
      <c r="K614" s="7">
        <v>0.1</v>
      </c>
      <c r="L614" t="s">
        <v>27</v>
      </c>
      <c r="M614" s="5">
        <v>4198.8239999999996</v>
      </c>
      <c r="N614" t="s">
        <v>82</v>
      </c>
      <c r="O614" t="s">
        <v>71</v>
      </c>
      <c r="P614" s="5">
        <v>0</v>
      </c>
      <c r="Q614" t="s">
        <v>1276</v>
      </c>
      <c r="R614" t="s">
        <v>1277</v>
      </c>
      <c r="S614" s="5">
        <v>49.18</v>
      </c>
      <c r="T614" s="3">
        <v>45763</v>
      </c>
      <c r="U614" s="3">
        <v>45767</v>
      </c>
      <c r="V614" t="s">
        <v>95</v>
      </c>
      <c r="W614">
        <f t="shared" si="47"/>
        <v>3778.9415999999997</v>
      </c>
      <c r="X614">
        <f t="shared" si="48"/>
        <v>4665.3599999999997</v>
      </c>
      <c r="Y614">
        <f t="shared" si="49"/>
        <v>886.41840000000002</v>
      </c>
      <c r="Z614" s="8" t="str">
        <f t="shared" si="46"/>
        <v>Medium</v>
      </c>
      <c r="AA614" s="12">
        <f>DATE(YEAR(Table1[[#This Row],[OrderDate]]),MONTH(Table1[[#This Row],[OrderDate]]),1)</f>
        <v>45748</v>
      </c>
    </row>
    <row r="615" spans="1:27" x14ac:dyDescent="0.3">
      <c r="A615" s="3">
        <v>44983</v>
      </c>
      <c r="B615" t="s">
        <v>7</v>
      </c>
      <c r="C615" t="s">
        <v>30</v>
      </c>
      <c r="D615" t="str">
        <f>TRIM(Table1[[#This Row],[Product]])</f>
        <v>Desk</v>
      </c>
      <c r="E615" t="str">
        <f>PROPER(Table1[[#This Row],[Column1]])</f>
        <v>Desk</v>
      </c>
      <c r="F615" s="8" t="str">
        <f t="shared" si="45"/>
        <v>Furniture</v>
      </c>
      <c r="G615" s="5">
        <v>16</v>
      </c>
      <c r="H615">
        <v>75.62</v>
      </c>
      <c r="I615" t="s">
        <v>81</v>
      </c>
      <c r="J615" t="s">
        <v>65</v>
      </c>
      <c r="K615" s="7">
        <v>0.1</v>
      </c>
      <c r="L615" t="s">
        <v>23</v>
      </c>
      <c r="M615" s="5">
        <v>1088.9280000000001</v>
      </c>
      <c r="N615" t="s">
        <v>88</v>
      </c>
      <c r="O615" t="s">
        <v>71</v>
      </c>
      <c r="P615" s="5">
        <v>0</v>
      </c>
      <c r="Q615" t="s">
        <v>1278</v>
      </c>
      <c r="R615" t="s">
        <v>1279</v>
      </c>
      <c r="S615" s="5">
        <v>27.39</v>
      </c>
      <c r="T615" s="3">
        <v>44983</v>
      </c>
      <c r="U615" s="3">
        <v>44987</v>
      </c>
      <c r="V615" t="s">
        <v>77</v>
      </c>
      <c r="W615">
        <f t="shared" si="47"/>
        <v>980.03520000000015</v>
      </c>
      <c r="X615">
        <f t="shared" si="48"/>
        <v>1209.92</v>
      </c>
      <c r="Y615">
        <f t="shared" si="49"/>
        <v>229.88479999999993</v>
      </c>
      <c r="Z615" s="8" t="str">
        <f t="shared" si="46"/>
        <v>Medium</v>
      </c>
      <c r="AA615" s="12">
        <f>DATE(YEAR(Table1[[#This Row],[OrderDate]]),MONTH(Table1[[#This Row],[OrderDate]]),1)</f>
        <v>44958</v>
      </c>
    </row>
    <row r="616" spans="1:27" x14ac:dyDescent="0.3">
      <c r="A616" s="3">
        <v>44933</v>
      </c>
      <c r="B616" t="s">
        <v>9</v>
      </c>
      <c r="C616" t="s">
        <v>30</v>
      </c>
      <c r="D616" t="str">
        <f>TRIM(Table1[[#This Row],[Product]])</f>
        <v>Desk</v>
      </c>
      <c r="E616" t="str">
        <f>PROPER(Table1[[#This Row],[Column1]])</f>
        <v>Desk</v>
      </c>
      <c r="F616" s="8" t="str">
        <f t="shared" si="45"/>
        <v>Furniture</v>
      </c>
      <c r="G616" s="5">
        <v>13</v>
      </c>
      <c r="H616">
        <v>561.62</v>
      </c>
      <c r="I616" t="s">
        <v>78</v>
      </c>
      <c r="J616" t="s">
        <v>58</v>
      </c>
      <c r="K616" s="7">
        <v>0.05</v>
      </c>
      <c r="L616" t="s">
        <v>27</v>
      </c>
      <c r="M616" s="5">
        <v>6936.0069999999996</v>
      </c>
      <c r="N616" t="s">
        <v>66</v>
      </c>
      <c r="O616" t="s">
        <v>60</v>
      </c>
      <c r="P616" s="5">
        <v>0</v>
      </c>
      <c r="Q616" t="s">
        <v>1280</v>
      </c>
      <c r="R616" t="s">
        <v>1281</v>
      </c>
      <c r="S616" s="5">
        <v>12.91</v>
      </c>
      <c r="T616" s="3">
        <v>44933</v>
      </c>
      <c r="U616" s="3">
        <v>44937</v>
      </c>
      <c r="V616" t="s">
        <v>63</v>
      </c>
      <c r="W616">
        <f t="shared" si="47"/>
        <v>6589.2066499999992</v>
      </c>
      <c r="X616">
        <f t="shared" si="48"/>
        <v>7301.06</v>
      </c>
      <c r="Y616">
        <f t="shared" si="49"/>
        <v>711.85335000000123</v>
      </c>
      <c r="Z616" s="8" t="str">
        <f t="shared" si="46"/>
        <v>Medium</v>
      </c>
      <c r="AA616" s="12">
        <f>DATE(YEAR(Table1[[#This Row],[OrderDate]]),MONTH(Table1[[#This Row],[OrderDate]]),1)</f>
        <v>44927</v>
      </c>
    </row>
    <row r="617" spans="1:27" x14ac:dyDescent="0.3">
      <c r="A617" s="3">
        <v>45223</v>
      </c>
      <c r="B617" t="s">
        <v>13</v>
      </c>
      <c r="C617" t="s">
        <v>30</v>
      </c>
      <c r="D617" t="str">
        <f>TRIM(Table1[[#This Row],[Product]])</f>
        <v>Desk</v>
      </c>
      <c r="E617" t="str">
        <f>PROPER(Table1[[#This Row],[Column1]])</f>
        <v>Desk</v>
      </c>
      <c r="F617" s="8" t="str">
        <f t="shared" si="45"/>
        <v>Furniture</v>
      </c>
      <c r="G617" s="5">
        <v>5</v>
      </c>
      <c r="H617">
        <v>359.61</v>
      </c>
      <c r="I617" t="s">
        <v>64</v>
      </c>
      <c r="J617" t="s">
        <v>65</v>
      </c>
      <c r="K617" s="7">
        <v>0</v>
      </c>
      <c r="L617" t="s">
        <v>19</v>
      </c>
      <c r="M617" s="5">
        <v>1798.05</v>
      </c>
      <c r="N617" t="s">
        <v>59</v>
      </c>
      <c r="O617" t="s">
        <v>60</v>
      </c>
      <c r="P617" s="5">
        <v>0</v>
      </c>
      <c r="Q617" t="s">
        <v>1282</v>
      </c>
      <c r="R617" t="s">
        <v>1283</v>
      </c>
      <c r="S617" s="5">
        <v>41.31</v>
      </c>
      <c r="T617" s="3">
        <v>45223</v>
      </c>
      <c r="U617" s="3">
        <v>45233</v>
      </c>
      <c r="V617" t="s">
        <v>70</v>
      </c>
      <c r="W617">
        <f t="shared" si="47"/>
        <v>1798.05</v>
      </c>
      <c r="X617">
        <f t="shared" si="48"/>
        <v>1798.0500000000002</v>
      </c>
      <c r="Y617">
        <f t="shared" si="49"/>
        <v>0</v>
      </c>
      <c r="Z617" s="8" t="str">
        <f t="shared" si="46"/>
        <v>No Discount</v>
      </c>
      <c r="AA617" s="12">
        <f>DATE(YEAR(Table1[[#This Row],[OrderDate]]),MONTH(Table1[[#This Row],[OrderDate]]),1)</f>
        <v>45200</v>
      </c>
    </row>
    <row r="618" spans="1:27" x14ac:dyDescent="0.3">
      <c r="A618" s="3">
        <v>45293</v>
      </c>
      <c r="B618" t="s">
        <v>11</v>
      </c>
      <c r="C618" t="s">
        <v>35</v>
      </c>
      <c r="D618" t="str">
        <f>TRIM(Table1[[#This Row],[Product]])</f>
        <v>Tablet</v>
      </c>
      <c r="E618" t="str">
        <f>PROPER(Table1[[#This Row],[Column1]])</f>
        <v>Tablet</v>
      </c>
      <c r="F618" s="8" t="str">
        <f t="shared" si="45"/>
        <v>Technology</v>
      </c>
      <c r="G618" s="5">
        <v>15</v>
      </c>
      <c r="H618">
        <v>115.48</v>
      </c>
      <c r="I618" t="s">
        <v>64</v>
      </c>
      <c r="J618" t="s">
        <v>65</v>
      </c>
      <c r="K618" s="7">
        <v>0.15</v>
      </c>
      <c r="L618" t="s">
        <v>27</v>
      </c>
      <c r="M618" s="5">
        <v>1472.37</v>
      </c>
      <c r="N618" t="s">
        <v>82</v>
      </c>
      <c r="P618" s="5">
        <v>0</v>
      </c>
      <c r="Q618" t="s">
        <v>1284</v>
      </c>
      <c r="R618" t="s">
        <v>1285</v>
      </c>
      <c r="S618" s="5">
        <v>6.04</v>
      </c>
      <c r="T618" s="3">
        <v>45293</v>
      </c>
      <c r="U618" s="3">
        <v>45303</v>
      </c>
      <c r="V618" t="s">
        <v>74</v>
      </c>
      <c r="W618">
        <f t="shared" si="47"/>
        <v>1251.5144999999998</v>
      </c>
      <c r="X618">
        <f t="shared" si="48"/>
        <v>1732.2</v>
      </c>
      <c r="Y618">
        <f t="shared" si="49"/>
        <v>480.68550000000027</v>
      </c>
      <c r="Z618" s="8" t="str">
        <f t="shared" si="46"/>
        <v>High</v>
      </c>
      <c r="AA618" s="12">
        <f>DATE(YEAR(Table1[[#This Row],[OrderDate]]),MONTH(Table1[[#This Row],[OrderDate]]),1)</f>
        <v>45292</v>
      </c>
    </row>
    <row r="619" spans="1:27" x14ac:dyDescent="0.3">
      <c r="A619" s="3">
        <v>45552</v>
      </c>
      <c r="B619" t="s">
        <v>13</v>
      </c>
      <c r="C619" t="s">
        <v>31</v>
      </c>
      <c r="D619" t="str">
        <f>TRIM(Table1[[#This Row],[Product]])</f>
        <v>Laptop</v>
      </c>
      <c r="E619" t="str">
        <f>PROPER(Table1[[#This Row],[Column1]])</f>
        <v>Laptop</v>
      </c>
      <c r="F619" s="8" t="str">
        <f t="shared" si="45"/>
        <v>Technology</v>
      </c>
      <c r="G619" s="5">
        <v>12</v>
      </c>
      <c r="H619">
        <v>596.26</v>
      </c>
      <c r="I619" t="s">
        <v>81</v>
      </c>
      <c r="J619" t="s">
        <v>58</v>
      </c>
      <c r="K619" s="7">
        <v>0.15</v>
      </c>
      <c r="L619" t="s">
        <v>25</v>
      </c>
      <c r="M619" s="5">
        <v>6081.8519999999999</v>
      </c>
      <c r="N619" t="s">
        <v>66</v>
      </c>
      <c r="O619" t="s">
        <v>71</v>
      </c>
      <c r="P619" s="5">
        <v>0</v>
      </c>
      <c r="Q619" t="s">
        <v>1286</v>
      </c>
      <c r="R619" t="s">
        <v>1287</v>
      </c>
      <c r="S619" s="5">
        <v>28.27</v>
      </c>
      <c r="T619" s="3">
        <v>45552</v>
      </c>
      <c r="U619" s="3">
        <v>45560</v>
      </c>
      <c r="V619" t="s">
        <v>70</v>
      </c>
      <c r="W619">
        <f t="shared" si="47"/>
        <v>5169.5742</v>
      </c>
      <c r="X619">
        <f t="shared" si="48"/>
        <v>7155.12</v>
      </c>
      <c r="Y619">
        <f t="shared" si="49"/>
        <v>1985.5457999999999</v>
      </c>
      <c r="Z619" s="8" t="str">
        <f t="shared" si="46"/>
        <v>High</v>
      </c>
      <c r="AA619" s="12">
        <f>DATE(YEAR(Table1[[#This Row],[OrderDate]]),MONTH(Table1[[#This Row],[OrderDate]]),1)</f>
        <v>45536</v>
      </c>
    </row>
    <row r="620" spans="1:27" x14ac:dyDescent="0.3">
      <c r="A620" s="3">
        <v>45417</v>
      </c>
      <c r="B620" t="s">
        <v>7</v>
      </c>
      <c r="C620" t="s">
        <v>35</v>
      </c>
      <c r="D620" t="str">
        <f>TRIM(Table1[[#This Row],[Product]])</f>
        <v>Tablet</v>
      </c>
      <c r="E620" t="str">
        <f>PROPER(Table1[[#This Row],[Column1]])</f>
        <v>Tablet</v>
      </c>
      <c r="F620" s="8" t="str">
        <f t="shared" si="45"/>
        <v>Technology</v>
      </c>
      <c r="G620" s="5">
        <v>19</v>
      </c>
      <c r="H620">
        <v>401.68</v>
      </c>
      <c r="I620" t="s">
        <v>78</v>
      </c>
      <c r="J620" t="s">
        <v>58</v>
      </c>
      <c r="K620" s="7">
        <v>0.05</v>
      </c>
      <c r="L620" t="s">
        <v>18</v>
      </c>
      <c r="M620" s="5">
        <v>7250.3239999999996</v>
      </c>
      <c r="N620" t="s">
        <v>85</v>
      </c>
      <c r="O620" t="s">
        <v>71</v>
      </c>
      <c r="P620" s="5">
        <v>1</v>
      </c>
      <c r="Q620" t="s">
        <v>1288</v>
      </c>
      <c r="R620" t="s">
        <v>1289</v>
      </c>
      <c r="S620" s="5">
        <v>37.770000000000003</v>
      </c>
      <c r="T620" s="3">
        <v>45417</v>
      </c>
      <c r="U620" s="3">
        <v>45423</v>
      </c>
      <c r="V620" t="s">
        <v>77</v>
      </c>
      <c r="W620">
        <f t="shared" si="47"/>
        <v>6887.8077999999996</v>
      </c>
      <c r="X620">
        <f t="shared" si="48"/>
        <v>7631.92</v>
      </c>
      <c r="Y620">
        <f t="shared" si="49"/>
        <v>744.11220000000048</v>
      </c>
      <c r="Z620" s="8" t="str">
        <f t="shared" si="46"/>
        <v>Medium</v>
      </c>
      <c r="AA620" s="12">
        <f>DATE(YEAR(Table1[[#This Row],[OrderDate]]),MONTH(Table1[[#This Row],[OrderDate]]),1)</f>
        <v>45413</v>
      </c>
    </row>
    <row r="621" spans="1:27" x14ac:dyDescent="0.3">
      <c r="A621" s="3">
        <v>45835</v>
      </c>
      <c r="B621" t="s">
        <v>16</v>
      </c>
      <c r="C621" t="s">
        <v>30</v>
      </c>
      <c r="D621" t="str">
        <f>TRIM(Table1[[#This Row],[Product]])</f>
        <v>Desk</v>
      </c>
      <c r="E621" t="str">
        <f>PROPER(Table1[[#This Row],[Column1]])</f>
        <v>Desk</v>
      </c>
      <c r="F621" s="8" t="str">
        <f t="shared" si="45"/>
        <v>Furniture</v>
      </c>
      <c r="G621" s="5">
        <v>13</v>
      </c>
      <c r="H621">
        <v>112.88</v>
      </c>
      <c r="I621" t="s">
        <v>81</v>
      </c>
      <c r="J621" t="s">
        <v>65</v>
      </c>
      <c r="K621" s="7">
        <v>0</v>
      </c>
      <c r="L621" t="s">
        <v>27</v>
      </c>
      <c r="M621" s="5">
        <v>1467.44</v>
      </c>
      <c r="N621" t="s">
        <v>85</v>
      </c>
      <c r="P621" s="5">
        <v>0</v>
      </c>
      <c r="Q621" t="s">
        <v>1290</v>
      </c>
      <c r="R621" t="s">
        <v>1291</v>
      </c>
      <c r="S621" s="5">
        <v>12.39</v>
      </c>
      <c r="T621" s="3">
        <v>45835</v>
      </c>
      <c r="U621" s="3">
        <v>45837</v>
      </c>
      <c r="V621" t="s">
        <v>95</v>
      </c>
      <c r="W621">
        <f t="shared" si="47"/>
        <v>1467.44</v>
      </c>
      <c r="X621">
        <f t="shared" si="48"/>
        <v>1467.44</v>
      </c>
      <c r="Y621">
        <f t="shared" si="49"/>
        <v>0</v>
      </c>
      <c r="Z621" s="8" t="str">
        <f t="shared" si="46"/>
        <v>No Discount</v>
      </c>
      <c r="AA621" s="12">
        <f>DATE(YEAR(Table1[[#This Row],[OrderDate]]),MONTH(Table1[[#This Row],[OrderDate]]),1)</f>
        <v>45809</v>
      </c>
    </row>
    <row r="622" spans="1:27" x14ac:dyDescent="0.3">
      <c r="A622" s="3">
        <v>45426</v>
      </c>
      <c r="B622" t="s">
        <v>16</v>
      </c>
      <c r="C622" t="s">
        <v>33</v>
      </c>
      <c r="D622" t="str">
        <f>TRIM(Table1[[#This Row],[Product]])</f>
        <v>Phone</v>
      </c>
      <c r="E622" t="str">
        <f>PROPER(Table1[[#This Row],[Column1]])</f>
        <v>Phone</v>
      </c>
      <c r="F622" s="8" t="str">
        <f t="shared" si="45"/>
        <v>Technology</v>
      </c>
      <c r="G622" s="5">
        <v>6</v>
      </c>
      <c r="H622">
        <v>370.08</v>
      </c>
      <c r="I622" t="s">
        <v>81</v>
      </c>
      <c r="J622" t="s">
        <v>65</v>
      </c>
      <c r="K622" s="7">
        <v>0.15</v>
      </c>
      <c r="L622" t="s">
        <v>18</v>
      </c>
      <c r="M622" s="5">
        <v>1887.4079999999999</v>
      </c>
      <c r="N622" t="s">
        <v>59</v>
      </c>
      <c r="O622" t="s">
        <v>67</v>
      </c>
      <c r="P622" s="5">
        <v>0</v>
      </c>
      <c r="Q622" t="s">
        <v>1292</v>
      </c>
      <c r="R622" t="s">
        <v>1293</v>
      </c>
      <c r="S622" s="5">
        <v>7.39</v>
      </c>
      <c r="T622" s="3">
        <v>45426</v>
      </c>
      <c r="U622" s="3">
        <v>45434</v>
      </c>
      <c r="V622" t="s">
        <v>95</v>
      </c>
      <c r="W622">
        <f t="shared" si="47"/>
        <v>1604.2967999999998</v>
      </c>
      <c r="X622">
        <f t="shared" si="48"/>
        <v>2220.48</v>
      </c>
      <c r="Y622">
        <f t="shared" si="49"/>
        <v>616.18320000000017</v>
      </c>
      <c r="Z622" s="8" t="str">
        <f t="shared" si="46"/>
        <v>High</v>
      </c>
      <c r="AA622" s="12">
        <f>DATE(YEAR(Table1[[#This Row],[OrderDate]]),MONTH(Table1[[#This Row],[OrderDate]]),1)</f>
        <v>45413</v>
      </c>
    </row>
    <row r="623" spans="1:27" x14ac:dyDescent="0.3">
      <c r="A623" s="3">
        <v>45351</v>
      </c>
      <c r="B623" t="s">
        <v>11</v>
      </c>
      <c r="C623" t="s">
        <v>29</v>
      </c>
      <c r="D623" t="str">
        <f>TRIM(Table1[[#This Row],[Product]])</f>
        <v>Chair</v>
      </c>
      <c r="E623" t="str">
        <f>PROPER(Table1[[#This Row],[Column1]])</f>
        <v>Chair</v>
      </c>
      <c r="F623" s="8" t="str">
        <f t="shared" si="45"/>
        <v>Furniture</v>
      </c>
      <c r="G623" s="5">
        <v>15</v>
      </c>
      <c r="H623">
        <v>119.86</v>
      </c>
      <c r="I623" t="s">
        <v>64</v>
      </c>
      <c r="J623" t="s">
        <v>58</v>
      </c>
      <c r="K623" s="7">
        <v>0.15</v>
      </c>
      <c r="L623" t="s">
        <v>19</v>
      </c>
      <c r="M623" s="5">
        <v>1528.2149999999999</v>
      </c>
      <c r="N623" t="s">
        <v>85</v>
      </c>
      <c r="P623" s="5">
        <v>1</v>
      </c>
      <c r="Q623" t="s">
        <v>1294</v>
      </c>
      <c r="R623" t="s">
        <v>1295</v>
      </c>
      <c r="S623" s="5">
        <v>30.78</v>
      </c>
      <c r="T623" s="3">
        <v>45351</v>
      </c>
      <c r="U623" s="3">
        <v>45356</v>
      </c>
      <c r="V623" t="s">
        <v>74</v>
      </c>
      <c r="W623">
        <f t="shared" si="47"/>
        <v>1298.9827499999999</v>
      </c>
      <c r="X623">
        <f t="shared" si="48"/>
        <v>1797.9</v>
      </c>
      <c r="Y623">
        <f t="shared" si="49"/>
        <v>498.91725000000019</v>
      </c>
      <c r="Z623" s="8" t="str">
        <f t="shared" si="46"/>
        <v>High</v>
      </c>
      <c r="AA623" s="12">
        <f>DATE(YEAR(Table1[[#This Row],[OrderDate]]),MONTH(Table1[[#This Row],[OrderDate]]),1)</f>
        <v>45323</v>
      </c>
    </row>
    <row r="624" spans="1:27" x14ac:dyDescent="0.3">
      <c r="A624" s="3">
        <v>45796</v>
      </c>
      <c r="B624" t="s">
        <v>9</v>
      </c>
      <c r="C624" t="s">
        <v>33</v>
      </c>
      <c r="D624" t="str">
        <f>TRIM(Table1[[#This Row],[Product]])</f>
        <v>Phone</v>
      </c>
      <c r="E624" t="str">
        <f>PROPER(Table1[[#This Row],[Column1]])</f>
        <v>Phone</v>
      </c>
      <c r="F624" s="8" t="str">
        <f t="shared" si="45"/>
        <v>Technology</v>
      </c>
      <c r="G624" s="5">
        <v>5</v>
      </c>
      <c r="H624">
        <v>271.44</v>
      </c>
      <c r="I624" t="s">
        <v>64</v>
      </c>
      <c r="J624" t="s">
        <v>58</v>
      </c>
      <c r="K624" s="7">
        <v>0.15</v>
      </c>
      <c r="L624" t="s">
        <v>23</v>
      </c>
      <c r="M624" s="5">
        <v>1153.6199999999999</v>
      </c>
      <c r="N624" t="s">
        <v>85</v>
      </c>
      <c r="O624" t="s">
        <v>60</v>
      </c>
      <c r="P624" s="5">
        <v>0</v>
      </c>
      <c r="Q624" t="s">
        <v>1296</v>
      </c>
      <c r="R624" t="s">
        <v>1297</v>
      </c>
      <c r="S624" s="5">
        <v>5.98</v>
      </c>
      <c r="T624" s="3">
        <v>45796</v>
      </c>
      <c r="U624" s="3">
        <v>45804</v>
      </c>
      <c r="V624" t="s">
        <v>63</v>
      </c>
      <c r="W624">
        <f t="shared" si="47"/>
        <v>980.57699999999988</v>
      </c>
      <c r="X624">
        <f t="shared" si="48"/>
        <v>1357.2</v>
      </c>
      <c r="Y624">
        <f t="shared" si="49"/>
        <v>376.62300000000016</v>
      </c>
      <c r="Z624" s="8" t="str">
        <f t="shared" si="46"/>
        <v>High</v>
      </c>
      <c r="AA624" s="12">
        <f>DATE(YEAR(Table1[[#This Row],[OrderDate]]),MONTH(Table1[[#This Row],[OrderDate]]),1)</f>
        <v>45778</v>
      </c>
    </row>
    <row r="625" spans="1:27" x14ac:dyDescent="0.3">
      <c r="A625" s="3">
        <v>45628</v>
      </c>
      <c r="B625" t="s">
        <v>9</v>
      </c>
      <c r="C625" t="s">
        <v>30</v>
      </c>
      <c r="D625" t="str">
        <f>TRIM(Table1[[#This Row],[Product]])</f>
        <v>Desk</v>
      </c>
      <c r="E625" t="str">
        <f>PROPER(Table1[[#This Row],[Column1]])</f>
        <v>Desk</v>
      </c>
      <c r="F625" s="8" t="str">
        <f t="shared" si="45"/>
        <v>Furniture</v>
      </c>
      <c r="G625" s="5">
        <v>9</v>
      </c>
      <c r="H625">
        <v>363.39</v>
      </c>
      <c r="I625" t="s">
        <v>57</v>
      </c>
      <c r="J625" t="s">
        <v>58</v>
      </c>
      <c r="K625" s="7">
        <v>0.05</v>
      </c>
      <c r="L625" t="s">
        <v>23</v>
      </c>
      <c r="M625" s="5">
        <v>3106.9845</v>
      </c>
      <c r="N625" t="s">
        <v>66</v>
      </c>
      <c r="P625" s="5">
        <v>0</v>
      </c>
      <c r="Q625" t="s">
        <v>1298</v>
      </c>
      <c r="R625" t="s">
        <v>279</v>
      </c>
      <c r="S625" s="5">
        <v>41.64</v>
      </c>
      <c r="T625" s="3">
        <v>45628</v>
      </c>
      <c r="U625" s="3">
        <v>45630</v>
      </c>
      <c r="V625" t="s">
        <v>63</v>
      </c>
      <c r="W625">
        <f t="shared" si="47"/>
        <v>2951.6352750000001</v>
      </c>
      <c r="X625">
        <f t="shared" si="48"/>
        <v>3270.5099999999998</v>
      </c>
      <c r="Y625">
        <f t="shared" si="49"/>
        <v>318.87472499999967</v>
      </c>
      <c r="Z625" s="8" t="str">
        <f t="shared" si="46"/>
        <v>Medium</v>
      </c>
      <c r="AA625" s="12">
        <f>DATE(YEAR(Table1[[#This Row],[OrderDate]]),MONTH(Table1[[#This Row],[OrderDate]]),1)</f>
        <v>45627</v>
      </c>
    </row>
    <row r="626" spans="1:27" x14ac:dyDescent="0.3">
      <c r="A626" s="3">
        <v>45503</v>
      </c>
      <c r="B626" t="s">
        <v>16</v>
      </c>
      <c r="C626" t="s">
        <v>34</v>
      </c>
      <c r="D626" t="str">
        <f>TRIM(Table1[[#This Row],[Product]])</f>
        <v>Printer</v>
      </c>
      <c r="E626" t="str">
        <f>PROPER(Table1[[#This Row],[Column1]])</f>
        <v>Printer</v>
      </c>
      <c r="F626" s="8" t="str">
        <f t="shared" si="45"/>
        <v>Office Supplies</v>
      </c>
      <c r="G626" s="5">
        <v>12</v>
      </c>
      <c r="H626">
        <v>533.77</v>
      </c>
      <c r="I626" t="s">
        <v>81</v>
      </c>
      <c r="J626" t="s">
        <v>58</v>
      </c>
      <c r="K626" s="7">
        <v>0.15</v>
      </c>
      <c r="L626" t="s">
        <v>18</v>
      </c>
      <c r="M626" s="5">
        <v>5444.4539999999997</v>
      </c>
      <c r="N626" t="s">
        <v>88</v>
      </c>
      <c r="O626" t="s">
        <v>67</v>
      </c>
      <c r="P626" s="5">
        <v>0</v>
      </c>
      <c r="Q626" t="s">
        <v>1299</v>
      </c>
      <c r="R626" t="s">
        <v>1300</v>
      </c>
      <c r="S626" s="5">
        <v>48.71</v>
      </c>
      <c r="T626" s="3">
        <v>45503</v>
      </c>
      <c r="U626" s="3">
        <v>45508</v>
      </c>
      <c r="V626" t="s">
        <v>95</v>
      </c>
      <c r="W626">
        <f t="shared" si="47"/>
        <v>4627.7858999999999</v>
      </c>
      <c r="X626">
        <f t="shared" si="48"/>
        <v>6405.24</v>
      </c>
      <c r="Y626">
        <f t="shared" si="49"/>
        <v>1777.4540999999999</v>
      </c>
      <c r="Z626" s="8" t="str">
        <f t="shared" si="46"/>
        <v>High</v>
      </c>
      <c r="AA626" s="12">
        <f>DATE(YEAR(Table1[[#This Row],[OrderDate]]),MONTH(Table1[[#This Row],[OrderDate]]),1)</f>
        <v>45474</v>
      </c>
    </row>
    <row r="627" spans="1:27" x14ac:dyDescent="0.3">
      <c r="A627" s="3">
        <v>45102</v>
      </c>
      <c r="B627" t="s">
        <v>13</v>
      </c>
      <c r="C627" t="s">
        <v>30</v>
      </c>
      <c r="D627" t="str">
        <f>TRIM(Table1[[#This Row],[Product]])</f>
        <v>Desk</v>
      </c>
      <c r="E627" t="str">
        <f>PROPER(Table1[[#This Row],[Column1]])</f>
        <v>Desk</v>
      </c>
      <c r="F627" s="8" t="str">
        <f t="shared" si="45"/>
        <v>Furniture</v>
      </c>
      <c r="G627" s="5">
        <v>12</v>
      </c>
      <c r="H627">
        <v>192.03</v>
      </c>
      <c r="I627" t="s">
        <v>57</v>
      </c>
      <c r="J627" t="s">
        <v>58</v>
      </c>
      <c r="K627" s="7">
        <v>0.1</v>
      </c>
      <c r="L627" t="s">
        <v>21</v>
      </c>
      <c r="M627" s="5">
        <v>2073.924</v>
      </c>
      <c r="N627" t="s">
        <v>82</v>
      </c>
      <c r="P627" s="5">
        <v>0</v>
      </c>
      <c r="Q627" t="s">
        <v>1301</v>
      </c>
      <c r="R627" t="s">
        <v>1302</v>
      </c>
      <c r="S627" s="5">
        <v>41.08</v>
      </c>
      <c r="T627" s="3">
        <v>45102</v>
      </c>
      <c r="U627" s="3">
        <v>45110</v>
      </c>
      <c r="V627" t="s">
        <v>70</v>
      </c>
      <c r="W627">
        <f t="shared" si="47"/>
        <v>1866.5316</v>
      </c>
      <c r="X627">
        <f t="shared" si="48"/>
        <v>2304.36</v>
      </c>
      <c r="Y627">
        <f t="shared" si="49"/>
        <v>437.8284000000001</v>
      </c>
      <c r="Z627" s="8" t="str">
        <f t="shared" si="46"/>
        <v>Medium</v>
      </c>
      <c r="AA627" s="12">
        <f>DATE(YEAR(Table1[[#This Row],[OrderDate]]),MONTH(Table1[[#This Row],[OrderDate]]),1)</f>
        <v>45078</v>
      </c>
    </row>
    <row r="628" spans="1:27" x14ac:dyDescent="0.3">
      <c r="A628" s="3">
        <v>45483</v>
      </c>
      <c r="B628" t="s">
        <v>13</v>
      </c>
      <c r="C628" t="s">
        <v>29</v>
      </c>
      <c r="D628" t="str">
        <f>TRIM(Table1[[#This Row],[Product]])</f>
        <v>Chair</v>
      </c>
      <c r="E628" t="str">
        <f>PROPER(Table1[[#This Row],[Column1]])</f>
        <v>Chair</v>
      </c>
      <c r="F628" s="8" t="str">
        <f t="shared" si="45"/>
        <v>Furniture</v>
      </c>
      <c r="G628" s="5">
        <v>20</v>
      </c>
      <c r="H628">
        <v>504.22</v>
      </c>
      <c r="I628" t="s">
        <v>81</v>
      </c>
      <c r="J628" t="s">
        <v>58</v>
      </c>
      <c r="K628" s="7">
        <v>0</v>
      </c>
      <c r="L628" t="s">
        <v>27</v>
      </c>
      <c r="M628" s="5">
        <v>10084.4</v>
      </c>
      <c r="N628" t="s">
        <v>59</v>
      </c>
      <c r="O628" t="s">
        <v>71</v>
      </c>
      <c r="P628" s="5">
        <v>0</v>
      </c>
      <c r="Q628" t="s">
        <v>1303</v>
      </c>
      <c r="R628" t="s">
        <v>1304</v>
      </c>
      <c r="S628" s="5">
        <v>14.61</v>
      </c>
      <c r="T628" s="3">
        <v>45483</v>
      </c>
      <c r="U628" s="3">
        <v>45492</v>
      </c>
      <c r="V628" t="s">
        <v>70</v>
      </c>
      <c r="W628">
        <f t="shared" si="47"/>
        <v>10084.4</v>
      </c>
      <c r="X628">
        <f t="shared" si="48"/>
        <v>10084.400000000001</v>
      </c>
      <c r="Y628">
        <f t="shared" si="49"/>
        <v>0</v>
      </c>
      <c r="Z628" s="8" t="str">
        <f t="shared" si="46"/>
        <v>No Discount</v>
      </c>
      <c r="AA628" s="12">
        <f>DATE(YEAR(Table1[[#This Row],[OrderDate]]),MONTH(Table1[[#This Row],[OrderDate]]),1)</f>
        <v>45474</v>
      </c>
    </row>
    <row r="629" spans="1:27" x14ac:dyDescent="0.3">
      <c r="A629" s="3">
        <v>44932</v>
      </c>
      <c r="B629" t="s">
        <v>9</v>
      </c>
      <c r="C629" t="s">
        <v>31</v>
      </c>
      <c r="D629" t="str">
        <f>TRIM(Table1[[#This Row],[Product]])</f>
        <v>Laptop</v>
      </c>
      <c r="E629" t="str">
        <f>PROPER(Table1[[#This Row],[Column1]])</f>
        <v>Laptop</v>
      </c>
      <c r="F629" s="8" t="str">
        <f t="shared" si="45"/>
        <v>Technology</v>
      </c>
      <c r="G629" s="5">
        <v>7</v>
      </c>
      <c r="H629">
        <v>193.66</v>
      </c>
      <c r="I629" t="s">
        <v>64</v>
      </c>
      <c r="J629" t="s">
        <v>58</v>
      </c>
      <c r="K629" s="7">
        <v>0.1</v>
      </c>
      <c r="L629" t="s">
        <v>23</v>
      </c>
      <c r="M629" s="5">
        <v>1220.058</v>
      </c>
      <c r="N629" t="s">
        <v>82</v>
      </c>
      <c r="O629" t="s">
        <v>60</v>
      </c>
      <c r="P629" s="5">
        <v>0</v>
      </c>
      <c r="Q629" t="s">
        <v>1305</v>
      </c>
      <c r="R629" t="s">
        <v>1306</v>
      </c>
      <c r="S629" s="5">
        <v>39.01</v>
      </c>
      <c r="T629" s="3">
        <v>44932</v>
      </c>
      <c r="U629" s="3">
        <v>44941</v>
      </c>
      <c r="V629" t="s">
        <v>63</v>
      </c>
      <c r="W629">
        <f t="shared" si="47"/>
        <v>1098.0522000000001</v>
      </c>
      <c r="X629">
        <f t="shared" si="48"/>
        <v>1355.62</v>
      </c>
      <c r="Y629">
        <f t="shared" si="49"/>
        <v>257.56779999999981</v>
      </c>
      <c r="Z629" s="8" t="str">
        <f t="shared" si="46"/>
        <v>Medium</v>
      </c>
      <c r="AA629" s="12">
        <f>DATE(YEAR(Table1[[#This Row],[OrderDate]]),MONTH(Table1[[#This Row],[OrderDate]]),1)</f>
        <v>44927</v>
      </c>
    </row>
    <row r="630" spans="1:27" x14ac:dyDescent="0.3">
      <c r="A630" s="3">
        <v>45346</v>
      </c>
      <c r="B630" t="s">
        <v>13</v>
      </c>
      <c r="C630" t="s">
        <v>29</v>
      </c>
      <c r="D630" t="str">
        <f>TRIM(Table1[[#This Row],[Product]])</f>
        <v>Chair</v>
      </c>
      <c r="E630" t="str">
        <f>PROPER(Table1[[#This Row],[Column1]])</f>
        <v>Chair</v>
      </c>
      <c r="F630" s="8" t="str">
        <f t="shared" si="45"/>
        <v>Furniture</v>
      </c>
      <c r="G630" s="5">
        <v>3</v>
      </c>
      <c r="H630">
        <v>270.83</v>
      </c>
      <c r="I630" t="s">
        <v>57</v>
      </c>
      <c r="J630" t="s">
        <v>58</v>
      </c>
      <c r="K630" s="7">
        <v>0.1</v>
      </c>
      <c r="L630" t="s">
        <v>21</v>
      </c>
      <c r="M630" s="5">
        <v>731.24099999999999</v>
      </c>
      <c r="N630" t="s">
        <v>59</v>
      </c>
      <c r="O630" t="s">
        <v>67</v>
      </c>
      <c r="P630" s="5">
        <v>1</v>
      </c>
      <c r="Q630" t="s">
        <v>1307</v>
      </c>
      <c r="R630" t="s">
        <v>1308</v>
      </c>
      <c r="S630" s="5">
        <v>17.2</v>
      </c>
      <c r="T630" s="3">
        <v>45346</v>
      </c>
      <c r="U630" s="3">
        <v>45351</v>
      </c>
      <c r="V630" t="s">
        <v>70</v>
      </c>
      <c r="W630">
        <f t="shared" si="47"/>
        <v>658.11689999999999</v>
      </c>
      <c r="X630">
        <f t="shared" si="48"/>
        <v>812.49</v>
      </c>
      <c r="Y630">
        <f t="shared" si="49"/>
        <v>154.37310000000002</v>
      </c>
      <c r="Z630" s="8" t="str">
        <f t="shared" si="46"/>
        <v>Medium</v>
      </c>
      <c r="AA630" s="12">
        <f>DATE(YEAR(Table1[[#This Row],[OrderDate]]),MONTH(Table1[[#This Row],[OrderDate]]),1)</f>
        <v>45323</v>
      </c>
    </row>
    <row r="631" spans="1:27" x14ac:dyDescent="0.3">
      <c r="A631" s="3">
        <v>45271</v>
      </c>
      <c r="B631" t="s">
        <v>7</v>
      </c>
      <c r="C631" t="s">
        <v>35</v>
      </c>
      <c r="D631" t="str">
        <f>TRIM(Table1[[#This Row],[Product]])</f>
        <v>Tablet</v>
      </c>
      <c r="E631" t="str">
        <f>PROPER(Table1[[#This Row],[Column1]])</f>
        <v>Tablet</v>
      </c>
      <c r="F631" s="8" t="str">
        <f t="shared" si="45"/>
        <v>Technology</v>
      </c>
      <c r="G631" s="5">
        <v>18</v>
      </c>
      <c r="H631">
        <v>62.08</v>
      </c>
      <c r="I631" t="s">
        <v>57</v>
      </c>
      <c r="J631" t="s">
        <v>65</v>
      </c>
      <c r="K631" s="7">
        <v>0</v>
      </c>
      <c r="L631" t="s">
        <v>23</v>
      </c>
      <c r="M631" s="5">
        <v>1117.44</v>
      </c>
      <c r="N631" t="s">
        <v>82</v>
      </c>
      <c r="O631" t="s">
        <v>67</v>
      </c>
      <c r="P631" s="5">
        <v>1</v>
      </c>
      <c r="Q631" t="s">
        <v>1309</v>
      </c>
      <c r="R631" t="s">
        <v>1310</v>
      </c>
      <c r="S631" s="5">
        <v>8.67</v>
      </c>
      <c r="T631" s="3">
        <v>45271</v>
      </c>
      <c r="U631" s="3">
        <v>45280</v>
      </c>
      <c r="V631" t="s">
        <v>77</v>
      </c>
      <c r="W631">
        <f t="shared" si="47"/>
        <v>1117.44</v>
      </c>
      <c r="X631">
        <f t="shared" si="48"/>
        <v>1117.44</v>
      </c>
      <c r="Y631">
        <f t="shared" si="49"/>
        <v>0</v>
      </c>
      <c r="Z631" s="8" t="str">
        <f t="shared" si="46"/>
        <v>No Discount</v>
      </c>
      <c r="AA631" s="12">
        <f>DATE(YEAR(Table1[[#This Row],[OrderDate]]),MONTH(Table1[[#This Row],[OrderDate]]),1)</f>
        <v>45261</v>
      </c>
    </row>
    <row r="632" spans="1:27" x14ac:dyDescent="0.3">
      <c r="A632" s="3">
        <v>45707</v>
      </c>
      <c r="B632" t="s">
        <v>13</v>
      </c>
      <c r="C632" t="s">
        <v>34</v>
      </c>
      <c r="D632" t="str">
        <f>TRIM(Table1[[#This Row],[Product]])</f>
        <v>Printer</v>
      </c>
      <c r="E632" t="str">
        <f>PROPER(Table1[[#This Row],[Column1]])</f>
        <v>Printer</v>
      </c>
      <c r="F632" s="8" t="str">
        <f t="shared" si="45"/>
        <v>Office Supplies</v>
      </c>
      <c r="G632" s="5">
        <v>11</v>
      </c>
      <c r="H632">
        <v>505.96</v>
      </c>
      <c r="I632" t="s">
        <v>78</v>
      </c>
      <c r="J632" t="s">
        <v>58</v>
      </c>
      <c r="K632" s="7">
        <v>0.15</v>
      </c>
      <c r="L632" t="s">
        <v>25</v>
      </c>
      <c r="M632" s="5">
        <v>4730.7259999999997</v>
      </c>
      <c r="N632" t="s">
        <v>85</v>
      </c>
      <c r="O632" t="s">
        <v>60</v>
      </c>
      <c r="P632" s="5">
        <v>1</v>
      </c>
      <c r="Q632" t="s">
        <v>1311</v>
      </c>
      <c r="R632" t="s">
        <v>1312</v>
      </c>
      <c r="S632" s="5">
        <v>22.84</v>
      </c>
      <c r="T632" s="3">
        <v>45707</v>
      </c>
      <c r="U632" s="3">
        <v>45711</v>
      </c>
      <c r="V632" t="s">
        <v>70</v>
      </c>
      <c r="W632">
        <f t="shared" si="47"/>
        <v>4021.1170999999995</v>
      </c>
      <c r="X632">
        <f t="shared" si="48"/>
        <v>5565.5599999999995</v>
      </c>
      <c r="Y632">
        <f t="shared" si="49"/>
        <v>1544.4429</v>
      </c>
      <c r="Z632" s="8" t="str">
        <f t="shared" si="46"/>
        <v>High</v>
      </c>
      <c r="AA632" s="12">
        <f>DATE(YEAR(Table1[[#This Row],[OrderDate]]),MONTH(Table1[[#This Row],[OrderDate]]),1)</f>
        <v>45689</v>
      </c>
    </row>
    <row r="633" spans="1:27" x14ac:dyDescent="0.3">
      <c r="A633" s="3">
        <v>45734</v>
      </c>
      <c r="B633" t="s">
        <v>16</v>
      </c>
      <c r="C633" t="s">
        <v>35</v>
      </c>
      <c r="D633" t="str">
        <f>TRIM(Table1[[#This Row],[Product]])</f>
        <v>Tablet</v>
      </c>
      <c r="E633" t="str">
        <f>PROPER(Table1[[#This Row],[Column1]])</f>
        <v>Tablet</v>
      </c>
      <c r="F633" s="8" t="str">
        <f t="shared" si="45"/>
        <v>Technology</v>
      </c>
      <c r="G633" s="5">
        <v>4</v>
      </c>
      <c r="H633">
        <v>62.46</v>
      </c>
      <c r="I633" t="s">
        <v>81</v>
      </c>
      <c r="J633" t="s">
        <v>58</v>
      </c>
      <c r="K633" s="7">
        <v>0.15</v>
      </c>
      <c r="L633" t="s">
        <v>18</v>
      </c>
      <c r="M633" s="5">
        <v>212.364</v>
      </c>
      <c r="N633" t="s">
        <v>85</v>
      </c>
      <c r="O633" t="s">
        <v>71</v>
      </c>
      <c r="P633" s="5">
        <v>0</v>
      </c>
      <c r="Q633" t="s">
        <v>1313</v>
      </c>
      <c r="R633" t="s">
        <v>1314</v>
      </c>
      <c r="S633" s="5">
        <v>31.91</v>
      </c>
      <c r="T633" s="3">
        <v>45734</v>
      </c>
      <c r="U633" s="3">
        <v>45742</v>
      </c>
      <c r="V633" t="s">
        <v>95</v>
      </c>
      <c r="W633">
        <f t="shared" si="47"/>
        <v>180.5094</v>
      </c>
      <c r="X633">
        <f t="shared" si="48"/>
        <v>249.84</v>
      </c>
      <c r="Y633">
        <f t="shared" si="49"/>
        <v>69.330600000000004</v>
      </c>
      <c r="Z633" s="8" t="str">
        <f t="shared" si="46"/>
        <v>High</v>
      </c>
      <c r="AA633" s="12">
        <f>DATE(YEAR(Table1[[#This Row],[OrderDate]]),MONTH(Table1[[#This Row],[OrderDate]]),1)</f>
        <v>45717</v>
      </c>
    </row>
    <row r="634" spans="1:27" x14ac:dyDescent="0.3">
      <c r="A634" s="3">
        <v>45191</v>
      </c>
      <c r="B634" t="s">
        <v>13</v>
      </c>
      <c r="C634" t="s">
        <v>33</v>
      </c>
      <c r="D634" t="str">
        <f>TRIM(Table1[[#This Row],[Product]])</f>
        <v>Phone</v>
      </c>
      <c r="E634" t="str">
        <f>PROPER(Table1[[#This Row],[Column1]])</f>
        <v>Phone</v>
      </c>
      <c r="F634" s="8" t="str">
        <f t="shared" si="45"/>
        <v>Technology</v>
      </c>
      <c r="G634" s="5">
        <v>7</v>
      </c>
      <c r="H634">
        <v>480.08</v>
      </c>
      <c r="I634" t="s">
        <v>57</v>
      </c>
      <c r="J634" t="s">
        <v>58</v>
      </c>
      <c r="K634" s="7">
        <v>0.1</v>
      </c>
      <c r="L634" t="s">
        <v>23</v>
      </c>
      <c r="M634" s="5">
        <v>3024.5039999999999</v>
      </c>
      <c r="N634" t="s">
        <v>59</v>
      </c>
      <c r="P634" s="5">
        <v>1</v>
      </c>
      <c r="Q634" t="s">
        <v>1315</v>
      </c>
      <c r="R634" t="s">
        <v>1316</v>
      </c>
      <c r="S634" s="5">
        <v>44.37</v>
      </c>
      <c r="T634" s="3">
        <v>45191</v>
      </c>
      <c r="U634" s="3">
        <v>45196</v>
      </c>
      <c r="V634" t="s">
        <v>70</v>
      </c>
      <c r="W634">
        <f t="shared" si="47"/>
        <v>2722.0536000000002</v>
      </c>
      <c r="X634">
        <f t="shared" si="48"/>
        <v>3360.56</v>
      </c>
      <c r="Y634">
        <f t="shared" si="49"/>
        <v>638.50639999999976</v>
      </c>
      <c r="Z634" s="8" t="str">
        <f t="shared" si="46"/>
        <v>Medium</v>
      </c>
      <c r="AA634" s="12">
        <f>DATE(YEAR(Table1[[#This Row],[OrderDate]]),MONTH(Table1[[#This Row],[OrderDate]]),1)</f>
        <v>45170</v>
      </c>
    </row>
    <row r="635" spans="1:27" x14ac:dyDescent="0.3">
      <c r="A635" s="3">
        <v>45283</v>
      </c>
      <c r="B635" t="s">
        <v>16</v>
      </c>
      <c r="C635" t="s">
        <v>35</v>
      </c>
      <c r="D635" t="str">
        <f>TRIM(Table1[[#This Row],[Product]])</f>
        <v>Tablet</v>
      </c>
      <c r="E635" t="str">
        <f>PROPER(Table1[[#This Row],[Column1]])</f>
        <v>Tablet</v>
      </c>
      <c r="F635" s="8" t="str">
        <f t="shared" si="45"/>
        <v>Technology</v>
      </c>
      <c r="G635" s="5">
        <v>18</v>
      </c>
      <c r="H635">
        <v>60.66</v>
      </c>
      <c r="I635" t="s">
        <v>64</v>
      </c>
      <c r="J635" t="s">
        <v>65</v>
      </c>
      <c r="K635" s="7">
        <v>0</v>
      </c>
      <c r="L635" t="s">
        <v>19</v>
      </c>
      <c r="M635" s="5">
        <v>1091.8800000000001</v>
      </c>
      <c r="N635" t="s">
        <v>59</v>
      </c>
      <c r="O635" t="s">
        <v>60</v>
      </c>
      <c r="P635" s="5">
        <v>1</v>
      </c>
      <c r="Q635" t="s">
        <v>1317</v>
      </c>
      <c r="R635" t="s">
        <v>1318</v>
      </c>
      <c r="S635" s="5">
        <v>10.08</v>
      </c>
      <c r="T635" s="3">
        <v>45283</v>
      </c>
      <c r="U635" s="3">
        <v>45288</v>
      </c>
      <c r="V635" t="s">
        <v>95</v>
      </c>
      <c r="W635">
        <f t="shared" si="47"/>
        <v>1091.8800000000001</v>
      </c>
      <c r="X635">
        <f t="shared" si="48"/>
        <v>1091.8799999999999</v>
      </c>
      <c r="Y635">
        <f t="shared" si="49"/>
        <v>0</v>
      </c>
      <c r="Z635" s="8" t="str">
        <f t="shared" si="46"/>
        <v>No Discount</v>
      </c>
      <c r="AA635" s="12">
        <f>DATE(YEAR(Table1[[#This Row],[OrderDate]]),MONTH(Table1[[#This Row],[OrderDate]]),1)</f>
        <v>45261</v>
      </c>
    </row>
    <row r="636" spans="1:27" x14ac:dyDescent="0.3">
      <c r="A636" s="3">
        <v>45781</v>
      </c>
      <c r="B636" t="s">
        <v>11</v>
      </c>
      <c r="C636" t="s">
        <v>30</v>
      </c>
      <c r="D636" t="str">
        <f>TRIM(Table1[[#This Row],[Product]])</f>
        <v>Desk</v>
      </c>
      <c r="E636" t="str">
        <f>PROPER(Table1[[#This Row],[Column1]])</f>
        <v>Desk</v>
      </c>
      <c r="F636" s="8" t="str">
        <f t="shared" si="45"/>
        <v>Furniture</v>
      </c>
      <c r="G636" s="5">
        <v>6</v>
      </c>
      <c r="H636">
        <v>249.09</v>
      </c>
      <c r="I636" t="s">
        <v>57</v>
      </c>
      <c r="J636" t="s">
        <v>65</v>
      </c>
      <c r="K636" s="7">
        <v>0.05</v>
      </c>
      <c r="L636" t="s">
        <v>27</v>
      </c>
      <c r="M636" s="5">
        <v>1419.8130000000001</v>
      </c>
      <c r="N636" t="s">
        <v>88</v>
      </c>
      <c r="P636" s="5">
        <v>0</v>
      </c>
      <c r="Q636" t="s">
        <v>1319</v>
      </c>
      <c r="R636" t="s">
        <v>1320</v>
      </c>
      <c r="S636" s="5">
        <v>20.38</v>
      </c>
      <c r="T636" s="3">
        <v>45781</v>
      </c>
      <c r="U636" s="3">
        <v>45787</v>
      </c>
      <c r="V636" t="s">
        <v>74</v>
      </c>
      <c r="W636">
        <f t="shared" si="47"/>
        <v>1348.8223500000001</v>
      </c>
      <c r="X636">
        <f t="shared" si="48"/>
        <v>1494.54</v>
      </c>
      <c r="Y636">
        <f t="shared" si="49"/>
        <v>145.71764999999982</v>
      </c>
      <c r="Z636" s="8" t="str">
        <f t="shared" si="46"/>
        <v>Medium</v>
      </c>
      <c r="AA636" s="12">
        <f>DATE(YEAR(Table1[[#This Row],[OrderDate]]),MONTH(Table1[[#This Row],[OrderDate]]),1)</f>
        <v>45778</v>
      </c>
    </row>
    <row r="637" spans="1:27" x14ac:dyDescent="0.3">
      <c r="A637" s="3">
        <v>45668</v>
      </c>
      <c r="B637" t="s">
        <v>9</v>
      </c>
      <c r="C637" t="s">
        <v>33</v>
      </c>
      <c r="D637" t="str">
        <f>TRIM(Table1[[#This Row],[Product]])</f>
        <v>Phone</v>
      </c>
      <c r="E637" t="str">
        <f>PROPER(Table1[[#This Row],[Column1]])</f>
        <v>Phone</v>
      </c>
      <c r="F637" s="8" t="str">
        <f t="shared" si="45"/>
        <v>Technology</v>
      </c>
      <c r="G637" s="5">
        <v>20</v>
      </c>
      <c r="H637">
        <v>400.05</v>
      </c>
      <c r="I637" t="s">
        <v>81</v>
      </c>
      <c r="J637" t="s">
        <v>58</v>
      </c>
      <c r="K637" s="7">
        <v>0.1</v>
      </c>
      <c r="L637" t="s">
        <v>23</v>
      </c>
      <c r="M637" s="5">
        <v>7200.9000000000005</v>
      </c>
      <c r="N637" t="s">
        <v>85</v>
      </c>
      <c r="O637" t="s">
        <v>71</v>
      </c>
      <c r="P637" s="5">
        <v>0</v>
      </c>
      <c r="Q637" t="s">
        <v>1321</v>
      </c>
      <c r="R637" t="s">
        <v>1322</v>
      </c>
      <c r="S637" s="5">
        <v>24.41</v>
      </c>
      <c r="T637" s="3">
        <v>45668</v>
      </c>
      <c r="U637" s="3">
        <v>45670</v>
      </c>
      <c r="V637" t="s">
        <v>63</v>
      </c>
      <c r="W637">
        <f t="shared" si="47"/>
        <v>6480.81</v>
      </c>
      <c r="X637">
        <f t="shared" si="48"/>
        <v>8001</v>
      </c>
      <c r="Y637">
        <f t="shared" si="49"/>
        <v>1520.1899999999996</v>
      </c>
      <c r="Z637" s="8" t="str">
        <f t="shared" si="46"/>
        <v>Medium</v>
      </c>
      <c r="AA637" s="12">
        <f>DATE(YEAR(Table1[[#This Row],[OrderDate]]),MONTH(Table1[[#This Row],[OrderDate]]),1)</f>
        <v>45658</v>
      </c>
    </row>
    <row r="638" spans="1:27" x14ac:dyDescent="0.3">
      <c r="A638" s="3">
        <v>45768</v>
      </c>
      <c r="B638" t="s">
        <v>13</v>
      </c>
      <c r="C638" t="s">
        <v>34</v>
      </c>
      <c r="D638" t="str">
        <f>TRIM(Table1[[#This Row],[Product]])</f>
        <v>Printer</v>
      </c>
      <c r="E638" t="str">
        <f>PROPER(Table1[[#This Row],[Column1]])</f>
        <v>Printer</v>
      </c>
      <c r="F638" s="8" t="str">
        <f t="shared" si="45"/>
        <v>Office Supplies</v>
      </c>
      <c r="G638" s="5">
        <v>1</v>
      </c>
      <c r="H638">
        <v>130.87</v>
      </c>
      <c r="I638" t="s">
        <v>57</v>
      </c>
      <c r="J638" t="s">
        <v>65</v>
      </c>
      <c r="K638" s="7">
        <v>0.05</v>
      </c>
      <c r="L638" t="s">
        <v>23</v>
      </c>
      <c r="M638" s="5">
        <v>124.3265</v>
      </c>
      <c r="N638" t="s">
        <v>59</v>
      </c>
      <c r="O638" t="s">
        <v>71</v>
      </c>
      <c r="P638" s="5">
        <v>0</v>
      </c>
      <c r="Q638" t="s">
        <v>1323</v>
      </c>
      <c r="R638" t="s">
        <v>1324</v>
      </c>
      <c r="S638" s="5">
        <v>43.21</v>
      </c>
      <c r="T638" s="3">
        <v>45768</v>
      </c>
      <c r="U638" s="3">
        <v>45771</v>
      </c>
      <c r="V638" t="s">
        <v>70</v>
      </c>
      <c r="W638">
        <f t="shared" si="47"/>
        <v>118.11017499999998</v>
      </c>
      <c r="X638">
        <f t="shared" si="48"/>
        <v>130.87</v>
      </c>
      <c r="Y638">
        <f t="shared" si="49"/>
        <v>12.759825000000021</v>
      </c>
      <c r="Z638" s="8" t="str">
        <f t="shared" si="46"/>
        <v>Medium</v>
      </c>
      <c r="AA638" s="12">
        <f>DATE(YEAR(Table1[[#This Row],[OrderDate]]),MONTH(Table1[[#This Row],[OrderDate]]),1)</f>
        <v>45748</v>
      </c>
    </row>
    <row r="639" spans="1:27" x14ac:dyDescent="0.3">
      <c r="A639" s="3">
        <v>45273</v>
      </c>
      <c r="B639" t="s">
        <v>7</v>
      </c>
      <c r="C639" t="s">
        <v>35</v>
      </c>
      <c r="D639" t="str">
        <f>TRIM(Table1[[#This Row],[Product]])</f>
        <v>Tablet</v>
      </c>
      <c r="E639" t="str">
        <f>PROPER(Table1[[#This Row],[Column1]])</f>
        <v>Tablet</v>
      </c>
      <c r="F639" s="8" t="str">
        <f t="shared" si="45"/>
        <v>Technology</v>
      </c>
      <c r="G639" s="5">
        <v>11</v>
      </c>
      <c r="H639">
        <v>133.08000000000001</v>
      </c>
      <c r="I639" t="s">
        <v>64</v>
      </c>
      <c r="J639" t="s">
        <v>58</v>
      </c>
      <c r="K639" s="7">
        <v>0.15</v>
      </c>
      <c r="L639" t="s">
        <v>27</v>
      </c>
      <c r="M639" s="5">
        <v>1244.298</v>
      </c>
      <c r="N639" t="s">
        <v>82</v>
      </c>
      <c r="O639" t="s">
        <v>71</v>
      </c>
      <c r="P639" s="5">
        <v>0</v>
      </c>
      <c r="Q639" t="s">
        <v>1325</v>
      </c>
      <c r="R639" t="s">
        <v>1326</v>
      </c>
      <c r="S639" s="5">
        <v>44.61</v>
      </c>
      <c r="T639" s="3">
        <v>45273</v>
      </c>
      <c r="U639" s="3">
        <v>45282</v>
      </c>
      <c r="V639" t="s">
        <v>77</v>
      </c>
      <c r="W639">
        <f t="shared" si="47"/>
        <v>1057.6532999999999</v>
      </c>
      <c r="X639">
        <f t="shared" si="48"/>
        <v>1463.88</v>
      </c>
      <c r="Y639">
        <f t="shared" si="49"/>
        <v>406.22670000000016</v>
      </c>
      <c r="Z639" s="8" t="str">
        <f t="shared" si="46"/>
        <v>High</v>
      </c>
      <c r="AA639" s="12">
        <f>DATE(YEAR(Table1[[#This Row],[OrderDate]]),MONTH(Table1[[#This Row],[OrderDate]]),1)</f>
        <v>45261</v>
      </c>
    </row>
    <row r="640" spans="1:27" x14ac:dyDescent="0.3">
      <c r="A640" s="3">
        <v>45329</v>
      </c>
      <c r="B640" t="s">
        <v>9</v>
      </c>
      <c r="C640" t="s">
        <v>29</v>
      </c>
      <c r="D640" t="str">
        <f>TRIM(Table1[[#This Row],[Product]])</f>
        <v>Chair</v>
      </c>
      <c r="E640" t="str">
        <f>PROPER(Table1[[#This Row],[Column1]])</f>
        <v>Chair</v>
      </c>
      <c r="F640" s="8" t="str">
        <f t="shared" si="45"/>
        <v>Furniture</v>
      </c>
      <c r="G640" s="5">
        <v>13</v>
      </c>
      <c r="H640">
        <v>448.68</v>
      </c>
      <c r="I640" t="s">
        <v>57</v>
      </c>
      <c r="J640" t="s">
        <v>58</v>
      </c>
      <c r="K640" s="7">
        <v>0.1</v>
      </c>
      <c r="L640" t="s">
        <v>23</v>
      </c>
      <c r="M640" s="5">
        <v>5249.5559999999996</v>
      </c>
      <c r="N640" t="s">
        <v>82</v>
      </c>
      <c r="O640" t="s">
        <v>60</v>
      </c>
      <c r="P640" s="5">
        <v>1</v>
      </c>
      <c r="Q640" t="s">
        <v>1327</v>
      </c>
      <c r="R640" t="s">
        <v>1328</v>
      </c>
      <c r="S640" s="5">
        <v>16.82</v>
      </c>
      <c r="T640" s="3">
        <v>45329</v>
      </c>
      <c r="U640" s="3">
        <v>45333</v>
      </c>
      <c r="V640" t="s">
        <v>63</v>
      </c>
      <c r="W640">
        <f t="shared" si="47"/>
        <v>4724.6003999999994</v>
      </c>
      <c r="X640">
        <f t="shared" si="48"/>
        <v>5832.84</v>
      </c>
      <c r="Y640">
        <f t="shared" si="49"/>
        <v>1108.2396000000008</v>
      </c>
      <c r="Z640" s="8" t="str">
        <f t="shared" si="46"/>
        <v>Medium</v>
      </c>
      <c r="AA640" s="12">
        <f>DATE(YEAR(Table1[[#This Row],[OrderDate]]),MONTH(Table1[[#This Row],[OrderDate]]),1)</f>
        <v>45323</v>
      </c>
    </row>
    <row r="641" spans="1:27" x14ac:dyDescent="0.3">
      <c r="A641" s="3">
        <v>45406</v>
      </c>
      <c r="B641" t="s">
        <v>11</v>
      </c>
      <c r="C641" t="s">
        <v>35</v>
      </c>
      <c r="D641" t="str">
        <f>TRIM(Table1[[#This Row],[Product]])</f>
        <v>Tablet</v>
      </c>
      <c r="E641" t="str">
        <f>PROPER(Table1[[#This Row],[Column1]])</f>
        <v>Tablet</v>
      </c>
      <c r="F641" s="8" t="str">
        <f t="shared" si="45"/>
        <v>Technology</v>
      </c>
      <c r="G641" s="5">
        <v>19</v>
      </c>
      <c r="H641">
        <v>36.229999999999997</v>
      </c>
      <c r="I641" t="s">
        <v>57</v>
      </c>
      <c r="J641" t="s">
        <v>58</v>
      </c>
      <c r="K641" s="7">
        <v>0</v>
      </c>
      <c r="L641" t="s">
        <v>23</v>
      </c>
      <c r="M641" s="5">
        <v>688.36999999999989</v>
      </c>
      <c r="N641" t="s">
        <v>85</v>
      </c>
      <c r="O641" t="s">
        <v>71</v>
      </c>
      <c r="P641" s="5">
        <v>0</v>
      </c>
      <c r="Q641" t="s">
        <v>1329</v>
      </c>
      <c r="R641" t="s">
        <v>1330</v>
      </c>
      <c r="S641" s="5">
        <v>33.94</v>
      </c>
      <c r="T641" s="3">
        <v>45406</v>
      </c>
      <c r="U641" s="3">
        <v>45409</v>
      </c>
      <c r="V641" t="s">
        <v>74</v>
      </c>
      <c r="W641">
        <f t="shared" si="47"/>
        <v>688.36999999999989</v>
      </c>
      <c r="X641">
        <f t="shared" si="48"/>
        <v>688.36999999999989</v>
      </c>
      <c r="Y641">
        <f t="shared" si="49"/>
        <v>0</v>
      </c>
      <c r="Z641" s="8" t="str">
        <f t="shared" si="46"/>
        <v>No Discount</v>
      </c>
      <c r="AA641" s="12">
        <f>DATE(YEAR(Table1[[#This Row],[OrderDate]]),MONTH(Table1[[#This Row],[OrderDate]]),1)</f>
        <v>45383</v>
      </c>
    </row>
    <row r="642" spans="1:27" x14ac:dyDescent="0.3">
      <c r="A642" s="3">
        <v>45180</v>
      </c>
      <c r="B642" t="s">
        <v>16</v>
      </c>
      <c r="C642" t="s">
        <v>29</v>
      </c>
      <c r="D642" t="str">
        <f>TRIM(Table1[[#This Row],[Product]])</f>
        <v>Chair</v>
      </c>
      <c r="E642" t="str">
        <f>PROPER(Table1[[#This Row],[Column1]])</f>
        <v>Chair</v>
      </c>
      <c r="F642" s="8" t="str">
        <f t="shared" ref="F642:F705" si="50">IF(OR(E642="Chair",E642="Desk"),"Furniture",IF(OR(E642="Laptop",E642="Monitor",E642="Phone",E642="Tablet"),"Technology",IF(E642="Printer","Office Supplies","Other")))</f>
        <v>Furniture</v>
      </c>
      <c r="G642" s="5">
        <v>14</v>
      </c>
      <c r="H642">
        <v>113.77</v>
      </c>
      <c r="I642" t="s">
        <v>78</v>
      </c>
      <c r="J642" t="s">
        <v>65</v>
      </c>
      <c r="K642" s="7">
        <v>0</v>
      </c>
      <c r="L642" t="s">
        <v>25</v>
      </c>
      <c r="M642" s="5">
        <v>1592.78</v>
      </c>
      <c r="N642" t="s">
        <v>88</v>
      </c>
      <c r="O642" t="s">
        <v>60</v>
      </c>
      <c r="P642" s="5">
        <v>0</v>
      </c>
      <c r="Q642" t="s">
        <v>1331</v>
      </c>
      <c r="R642" t="s">
        <v>745</v>
      </c>
      <c r="S642" s="5">
        <v>25.35</v>
      </c>
      <c r="T642" s="3">
        <v>45180</v>
      </c>
      <c r="U642" s="3">
        <v>45185</v>
      </c>
      <c r="V642" t="s">
        <v>95</v>
      </c>
      <c r="W642">
        <f t="shared" si="47"/>
        <v>1592.78</v>
      </c>
      <c r="X642">
        <f t="shared" si="48"/>
        <v>1592.78</v>
      </c>
      <c r="Y642">
        <f t="shared" si="49"/>
        <v>0</v>
      </c>
      <c r="Z642" s="8" t="str">
        <f t="shared" ref="Z642:Z705" si="51">IF(K642=0,"No Discount",IF(K642&lt;5%,"Low",IF(K642&lt;15%,"Medium","High")))</f>
        <v>No Discount</v>
      </c>
      <c r="AA642" s="12">
        <f>DATE(YEAR(Table1[[#This Row],[OrderDate]]),MONTH(Table1[[#This Row],[OrderDate]]),1)</f>
        <v>45170</v>
      </c>
    </row>
    <row r="643" spans="1:27" x14ac:dyDescent="0.3">
      <c r="A643" s="3">
        <v>45817</v>
      </c>
      <c r="B643" t="s">
        <v>7</v>
      </c>
      <c r="C643" t="s">
        <v>34</v>
      </c>
      <c r="D643" t="str">
        <f>TRIM(Table1[[#This Row],[Product]])</f>
        <v>Printer</v>
      </c>
      <c r="E643" t="str">
        <f>PROPER(Table1[[#This Row],[Column1]])</f>
        <v>Printer</v>
      </c>
      <c r="F643" s="8" t="str">
        <f t="shared" si="50"/>
        <v>Office Supplies</v>
      </c>
      <c r="G643" s="5">
        <v>2</v>
      </c>
      <c r="H643">
        <v>89.6</v>
      </c>
      <c r="I643" t="s">
        <v>64</v>
      </c>
      <c r="J643" t="s">
        <v>65</v>
      </c>
      <c r="K643" s="7">
        <v>0</v>
      </c>
      <c r="L643" t="s">
        <v>23</v>
      </c>
      <c r="M643" s="5">
        <v>179.2</v>
      </c>
      <c r="N643" t="s">
        <v>66</v>
      </c>
      <c r="O643" t="s">
        <v>60</v>
      </c>
      <c r="P643" s="5">
        <v>0</v>
      </c>
      <c r="Q643" t="s">
        <v>1332</v>
      </c>
      <c r="R643" t="s">
        <v>1333</v>
      </c>
      <c r="S643" s="5">
        <v>23.69</v>
      </c>
      <c r="T643" s="3">
        <v>45817</v>
      </c>
      <c r="U643" s="3">
        <v>45820</v>
      </c>
      <c r="V643" t="s">
        <v>77</v>
      </c>
      <c r="W643">
        <f t="shared" ref="W643:W706" si="52">M643*(1-K643)</f>
        <v>179.2</v>
      </c>
      <c r="X643">
        <f t="shared" ref="X643:X706" si="53">G643*H643</f>
        <v>179.2</v>
      </c>
      <c r="Y643">
        <f t="shared" ref="Y643:Y706" si="54">X643-W643</f>
        <v>0</v>
      </c>
      <c r="Z643" s="8" t="str">
        <f t="shared" si="51"/>
        <v>No Discount</v>
      </c>
      <c r="AA643" s="12">
        <f>DATE(YEAR(Table1[[#This Row],[OrderDate]]),MONTH(Table1[[#This Row],[OrderDate]]),1)</f>
        <v>45809</v>
      </c>
    </row>
    <row r="644" spans="1:27" x14ac:dyDescent="0.3">
      <c r="A644" s="3">
        <v>45814</v>
      </c>
      <c r="B644" t="s">
        <v>9</v>
      </c>
      <c r="C644" t="s">
        <v>30</v>
      </c>
      <c r="D644" t="str">
        <f>TRIM(Table1[[#This Row],[Product]])</f>
        <v>Desk</v>
      </c>
      <c r="E644" t="str">
        <f>PROPER(Table1[[#This Row],[Column1]])</f>
        <v>Desk</v>
      </c>
      <c r="F644" s="8" t="str">
        <f t="shared" si="50"/>
        <v>Furniture</v>
      </c>
      <c r="G644" s="5">
        <v>3</v>
      </c>
      <c r="H644">
        <v>391.92</v>
      </c>
      <c r="I644" t="s">
        <v>64</v>
      </c>
      <c r="J644" t="s">
        <v>58</v>
      </c>
      <c r="K644" s="7">
        <v>0.15</v>
      </c>
      <c r="L644" t="s">
        <v>18</v>
      </c>
      <c r="M644" s="5">
        <v>999.39599999999996</v>
      </c>
      <c r="N644" t="s">
        <v>85</v>
      </c>
      <c r="O644" t="s">
        <v>67</v>
      </c>
      <c r="P644" s="5">
        <v>0</v>
      </c>
      <c r="Q644" t="s">
        <v>1334</v>
      </c>
      <c r="R644" t="s">
        <v>1335</v>
      </c>
      <c r="S644" s="5">
        <v>9.86</v>
      </c>
      <c r="T644" s="3">
        <v>45814</v>
      </c>
      <c r="U644" s="3">
        <v>45824</v>
      </c>
      <c r="V644" t="s">
        <v>63</v>
      </c>
      <c r="W644">
        <f t="shared" si="52"/>
        <v>849.48659999999995</v>
      </c>
      <c r="X644">
        <f t="shared" si="53"/>
        <v>1175.76</v>
      </c>
      <c r="Y644">
        <f t="shared" si="54"/>
        <v>326.27340000000004</v>
      </c>
      <c r="Z644" s="8" t="str">
        <f t="shared" si="51"/>
        <v>High</v>
      </c>
      <c r="AA644" s="12">
        <f>DATE(YEAR(Table1[[#This Row],[OrderDate]]),MONTH(Table1[[#This Row],[OrderDate]]),1)</f>
        <v>45809</v>
      </c>
    </row>
    <row r="645" spans="1:27" x14ac:dyDescent="0.3">
      <c r="A645" s="3">
        <v>45649</v>
      </c>
      <c r="B645" t="s">
        <v>13</v>
      </c>
      <c r="C645" t="s">
        <v>29</v>
      </c>
      <c r="D645" t="str">
        <f>TRIM(Table1[[#This Row],[Product]])</f>
        <v>Chair</v>
      </c>
      <c r="E645" t="str">
        <f>PROPER(Table1[[#This Row],[Column1]])</f>
        <v>Chair</v>
      </c>
      <c r="F645" s="8" t="str">
        <f t="shared" si="50"/>
        <v>Furniture</v>
      </c>
      <c r="G645" s="5">
        <v>10</v>
      </c>
      <c r="H645">
        <v>418.93</v>
      </c>
      <c r="I645" t="s">
        <v>78</v>
      </c>
      <c r="J645" t="s">
        <v>58</v>
      </c>
      <c r="K645" s="7">
        <v>0.1</v>
      </c>
      <c r="L645" t="s">
        <v>19</v>
      </c>
      <c r="M645" s="5">
        <v>3770.37</v>
      </c>
      <c r="N645" t="s">
        <v>82</v>
      </c>
      <c r="O645" t="s">
        <v>60</v>
      </c>
      <c r="P645" s="5">
        <v>0</v>
      </c>
      <c r="Q645" t="s">
        <v>1336</v>
      </c>
      <c r="R645" t="s">
        <v>1337</v>
      </c>
      <c r="S645" s="5">
        <v>45.63</v>
      </c>
      <c r="T645" s="3">
        <v>45649</v>
      </c>
      <c r="U645" s="3">
        <v>45654</v>
      </c>
      <c r="V645" t="s">
        <v>70</v>
      </c>
      <c r="W645">
        <f t="shared" si="52"/>
        <v>3393.3330000000001</v>
      </c>
      <c r="X645">
        <f t="shared" si="53"/>
        <v>4189.3</v>
      </c>
      <c r="Y645">
        <f t="shared" si="54"/>
        <v>795.9670000000001</v>
      </c>
      <c r="Z645" s="8" t="str">
        <f t="shared" si="51"/>
        <v>Medium</v>
      </c>
      <c r="AA645" s="12">
        <f>DATE(YEAR(Table1[[#This Row],[OrderDate]]),MONTH(Table1[[#This Row],[OrderDate]]),1)</f>
        <v>45627</v>
      </c>
    </row>
    <row r="646" spans="1:27" x14ac:dyDescent="0.3">
      <c r="A646" s="3">
        <v>45165</v>
      </c>
      <c r="B646" t="s">
        <v>9</v>
      </c>
      <c r="C646" t="s">
        <v>32</v>
      </c>
      <c r="D646" t="str">
        <f>TRIM(Table1[[#This Row],[Product]])</f>
        <v>Monitor</v>
      </c>
      <c r="E646" t="str">
        <f>PROPER(Table1[[#This Row],[Column1]])</f>
        <v>Monitor</v>
      </c>
      <c r="F646" s="8" t="str">
        <f t="shared" si="50"/>
        <v>Technology</v>
      </c>
      <c r="G646" s="5">
        <v>12</v>
      </c>
      <c r="H646">
        <v>303.08999999999997</v>
      </c>
      <c r="I646" t="s">
        <v>57</v>
      </c>
      <c r="J646" t="s">
        <v>58</v>
      </c>
      <c r="K646" s="7">
        <v>0</v>
      </c>
      <c r="L646" t="s">
        <v>18</v>
      </c>
      <c r="M646" s="5">
        <v>3637.08</v>
      </c>
      <c r="N646" t="s">
        <v>66</v>
      </c>
      <c r="O646" t="s">
        <v>71</v>
      </c>
      <c r="P646" s="5">
        <v>1</v>
      </c>
      <c r="Q646" t="s">
        <v>1338</v>
      </c>
      <c r="R646" t="s">
        <v>1339</v>
      </c>
      <c r="S646" s="5">
        <v>5.48</v>
      </c>
      <c r="T646" s="3">
        <v>45165</v>
      </c>
      <c r="U646" s="3">
        <v>45172</v>
      </c>
      <c r="V646" t="s">
        <v>63</v>
      </c>
      <c r="W646">
        <f t="shared" si="52"/>
        <v>3637.08</v>
      </c>
      <c r="X646">
        <f t="shared" si="53"/>
        <v>3637.08</v>
      </c>
      <c r="Y646">
        <f t="shared" si="54"/>
        <v>0</v>
      </c>
      <c r="Z646" s="8" t="str">
        <f t="shared" si="51"/>
        <v>No Discount</v>
      </c>
      <c r="AA646" s="12">
        <f>DATE(YEAR(Table1[[#This Row],[OrderDate]]),MONTH(Table1[[#This Row],[OrderDate]]),1)</f>
        <v>45139</v>
      </c>
    </row>
    <row r="647" spans="1:27" x14ac:dyDescent="0.3">
      <c r="A647" s="3">
        <v>44935</v>
      </c>
      <c r="B647" t="s">
        <v>9</v>
      </c>
      <c r="C647" t="s">
        <v>32</v>
      </c>
      <c r="D647" t="str">
        <f>TRIM(Table1[[#This Row],[Product]])</f>
        <v>Monitor</v>
      </c>
      <c r="E647" t="str">
        <f>PROPER(Table1[[#This Row],[Column1]])</f>
        <v>Monitor</v>
      </c>
      <c r="F647" s="8" t="str">
        <f t="shared" si="50"/>
        <v>Technology</v>
      </c>
      <c r="G647" s="5">
        <v>10</v>
      </c>
      <c r="H647">
        <v>209.95</v>
      </c>
      <c r="I647" t="s">
        <v>64</v>
      </c>
      <c r="J647" t="s">
        <v>58</v>
      </c>
      <c r="K647" s="7">
        <v>0.1</v>
      </c>
      <c r="L647" t="s">
        <v>25</v>
      </c>
      <c r="M647" s="5">
        <v>1889.55</v>
      </c>
      <c r="N647" t="s">
        <v>88</v>
      </c>
      <c r="O647" t="s">
        <v>71</v>
      </c>
      <c r="P647" s="5">
        <v>0</v>
      </c>
      <c r="Q647" t="s">
        <v>1340</v>
      </c>
      <c r="R647" t="s">
        <v>1341</v>
      </c>
      <c r="S647" s="5">
        <v>10.99</v>
      </c>
      <c r="T647" s="3">
        <v>44935</v>
      </c>
      <c r="U647" s="3">
        <v>44939</v>
      </c>
      <c r="V647" t="s">
        <v>63</v>
      </c>
      <c r="W647">
        <f t="shared" si="52"/>
        <v>1700.595</v>
      </c>
      <c r="X647">
        <f t="shared" si="53"/>
        <v>2099.5</v>
      </c>
      <c r="Y647">
        <f t="shared" si="54"/>
        <v>398.90499999999997</v>
      </c>
      <c r="Z647" s="8" t="str">
        <f t="shared" si="51"/>
        <v>Medium</v>
      </c>
      <c r="AA647" s="12">
        <f>DATE(YEAR(Table1[[#This Row],[OrderDate]]),MONTH(Table1[[#This Row],[OrderDate]]),1)</f>
        <v>44927</v>
      </c>
    </row>
    <row r="648" spans="1:27" x14ac:dyDescent="0.3">
      <c r="A648" s="3">
        <v>45769</v>
      </c>
      <c r="B648" t="s">
        <v>9</v>
      </c>
      <c r="C648" t="s">
        <v>31</v>
      </c>
      <c r="D648" t="str">
        <f>TRIM(Table1[[#This Row],[Product]])</f>
        <v>Laptop</v>
      </c>
      <c r="E648" t="str">
        <f>PROPER(Table1[[#This Row],[Column1]])</f>
        <v>Laptop</v>
      </c>
      <c r="F648" s="8" t="str">
        <f t="shared" si="50"/>
        <v>Technology</v>
      </c>
      <c r="G648" s="5">
        <v>8</v>
      </c>
      <c r="H648">
        <v>283.63</v>
      </c>
      <c r="I648" t="s">
        <v>78</v>
      </c>
      <c r="J648" t="s">
        <v>58</v>
      </c>
      <c r="K648" s="7">
        <v>0.1</v>
      </c>
      <c r="L648" t="s">
        <v>18</v>
      </c>
      <c r="M648" s="5">
        <v>2042.136</v>
      </c>
      <c r="N648" t="s">
        <v>88</v>
      </c>
      <c r="O648" t="s">
        <v>67</v>
      </c>
      <c r="P648" s="5">
        <v>0</v>
      </c>
      <c r="Q648" t="s">
        <v>1342</v>
      </c>
      <c r="R648" t="s">
        <v>1343</v>
      </c>
      <c r="S648" s="5">
        <v>49.91</v>
      </c>
      <c r="T648" s="3">
        <v>45769</v>
      </c>
      <c r="U648" s="3">
        <v>45772</v>
      </c>
      <c r="V648" t="s">
        <v>63</v>
      </c>
      <c r="W648">
        <f t="shared" si="52"/>
        <v>1837.9223999999999</v>
      </c>
      <c r="X648">
        <f t="shared" si="53"/>
        <v>2269.04</v>
      </c>
      <c r="Y648">
        <f t="shared" si="54"/>
        <v>431.11760000000004</v>
      </c>
      <c r="Z648" s="8" t="str">
        <f t="shared" si="51"/>
        <v>Medium</v>
      </c>
      <c r="AA648" s="12">
        <f>DATE(YEAR(Table1[[#This Row],[OrderDate]]),MONTH(Table1[[#This Row],[OrderDate]]),1)</f>
        <v>45748</v>
      </c>
    </row>
    <row r="649" spans="1:27" x14ac:dyDescent="0.3">
      <c r="A649" s="3">
        <v>45175</v>
      </c>
      <c r="B649" t="s">
        <v>13</v>
      </c>
      <c r="C649" t="s">
        <v>33</v>
      </c>
      <c r="D649" t="str">
        <f>TRIM(Table1[[#This Row],[Product]])</f>
        <v>Phone</v>
      </c>
      <c r="E649" t="str">
        <f>PROPER(Table1[[#This Row],[Column1]])</f>
        <v>Phone</v>
      </c>
      <c r="F649" s="8" t="str">
        <f t="shared" si="50"/>
        <v>Technology</v>
      </c>
      <c r="G649" s="5">
        <v>7</v>
      </c>
      <c r="H649">
        <v>18.36</v>
      </c>
      <c r="I649" t="s">
        <v>81</v>
      </c>
      <c r="J649" t="s">
        <v>65</v>
      </c>
      <c r="K649" s="7">
        <v>0.1</v>
      </c>
      <c r="L649" t="s">
        <v>18</v>
      </c>
      <c r="M649" s="5">
        <v>115.66800000000001</v>
      </c>
      <c r="N649" t="s">
        <v>59</v>
      </c>
      <c r="P649" s="5">
        <v>0</v>
      </c>
      <c r="Q649" t="s">
        <v>1344</v>
      </c>
      <c r="R649" t="s">
        <v>1345</v>
      </c>
      <c r="S649" s="5">
        <v>48.92</v>
      </c>
      <c r="T649" s="3">
        <v>45175</v>
      </c>
      <c r="U649" s="3">
        <v>45180</v>
      </c>
      <c r="V649" t="s">
        <v>70</v>
      </c>
      <c r="W649">
        <f t="shared" si="52"/>
        <v>104.10120000000001</v>
      </c>
      <c r="X649">
        <f t="shared" si="53"/>
        <v>128.51999999999998</v>
      </c>
      <c r="Y649">
        <f t="shared" si="54"/>
        <v>24.418799999999976</v>
      </c>
      <c r="Z649" s="8" t="str">
        <f t="shared" si="51"/>
        <v>Medium</v>
      </c>
      <c r="AA649" s="12">
        <f>DATE(YEAR(Table1[[#This Row],[OrderDate]]),MONTH(Table1[[#This Row],[OrderDate]]),1)</f>
        <v>45170</v>
      </c>
    </row>
    <row r="650" spans="1:27" x14ac:dyDescent="0.3">
      <c r="A650" s="3">
        <v>44947</v>
      </c>
      <c r="B650" t="s">
        <v>9</v>
      </c>
      <c r="C650" t="s">
        <v>32</v>
      </c>
      <c r="D650" t="str">
        <f>TRIM(Table1[[#This Row],[Product]])</f>
        <v>Monitor</v>
      </c>
      <c r="E650" t="str">
        <f>PROPER(Table1[[#This Row],[Column1]])</f>
        <v>Monitor</v>
      </c>
      <c r="F650" s="8" t="str">
        <f t="shared" si="50"/>
        <v>Technology</v>
      </c>
      <c r="G650" s="5">
        <v>9</v>
      </c>
      <c r="H650">
        <v>475.38</v>
      </c>
      <c r="I650" t="s">
        <v>64</v>
      </c>
      <c r="J650" t="s">
        <v>58</v>
      </c>
      <c r="K650" s="7">
        <v>0.1</v>
      </c>
      <c r="L650" t="s">
        <v>21</v>
      </c>
      <c r="M650" s="5">
        <v>3850.578</v>
      </c>
      <c r="N650" t="s">
        <v>85</v>
      </c>
      <c r="O650" t="s">
        <v>67</v>
      </c>
      <c r="P650" s="5">
        <v>0</v>
      </c>
      <c r="Q650" t="s">
        <v>1346</v>
      </c>
      <c r="R650" t="s">
        <v>1347</v>
      </c>
      <c r="S650" s="5">
        <v>39.979999999999997</v>
      </c>
      <c r="T650" s="3">
        <v>44947</v>
      </c>
      <c r="U650" s="3">
        <v>44953</v>
      </c>
      <c r="V650" t="s">
        <v>63</v>
      </c>
      <c r="W650">
        <f t="shared" si="52"/>
        <v>3465.5201999999999</v>
      </c>
      <c r="X650">
        <f t="shared" si="53"/>
        <v>4278.42</v>
      </c>
      <c r="Y650">
        <f t="shared" si="54"/>
        <v>812.89980000000014</v>
      </c>
      <c r="Z650" s="8" t="str">
        <f t="shared" si="51"/>
        <v>Medium</v>
      </c>
      <c r="AA650" s="12">
        <f>DATE(YEAR(Table1[[#This Row],[OrderDate]]),MONTH(Table1[[#This Row],[OrderDate]]),1)</f>
        <v>44927</v>
      </c>
    </row>
    <row r="651" spans="1:27" x14ac:dyDescent="0.3">
      <c r="A651" s="3">
        <v>45408</v>
      </c>
      <c r="B651" t="s">
        <v>7</v>
      </c>
      <c r="C651" t="s">
        <v>29</v>
      </c>
      <c r="D651" t="str">
        <f>TRIM(Table1[[#This Row],[Product]])</f>
        <v>Chair</v>
      </c>
      <c r="E651" t="str">
        <f>PROPER(Table1[[#This Row],[Column1]])</f>
        <v>Chair</v>
      </c>
      <c r="F651" s="8" t="str">
        <f t="shared" si="50"/>
        <v>Furniture</v>
      </c>
      <c r="G651" s="5">
        <v>12</v>
      </c>
      <c r="H651">
        <v>591.91999999999996</v>
      </c>
      <c r="I651" t="s">
        <v>81</v>
      </c>
      <c r="J651" t="s">
        <v>65</v>
      </c>
      <c r="K651" s="7">
        <v>0</v>
      </c>
      <c r="L651" t="s">
        <v>25</v>
      </c>
      <c r="M651" s="5">
        <v>7103.0399999999991</v>
      </c>
      <c r="N651" t="s">
        <v>85</v>
      </c>
      <c r="O651" t="s">
        <v>67</v>
      </c>
      <c r="P651" s="5">
        <v>0</v>
      </c>
      <c r="Q651" t="s">
        <v>1348</v>
      </c>
      <c r="R651" t="s">
        <v>1349</v>
      </c>
      <c r="S651" s="5">
        <v>25.2</v>
      </c>
      <c r="T651" s="3">
        <v>45408</v>
      </c>
      <c r="U651" s="3">
        <v>45418</v>
      </c>
      <c r="V651" t="s">
        <v>77</v>
      </c>
      <c r="W651">
        <f t="shared" si="52"/>
        <v>7103.0399999999991</v>
      </c>
      <c r="X651">
        <f t="shared" si="53"/>
        <v>7103.0399999999991</v>
      </c>
      <c r="Y651">
        <f t="shared" si="54"/>
        <v>0</v>
      </c>
      <c r="Z651" s="8" t="str">
        <f t="shared" si="51"/>
        <v>No Discount</v>
      </c>
      <c r="AA651" s="12">
        <f>DATE(YEAR(Table1[[#This Row],[OrderDate]]),MONTH(Table1[[#This Row],[OrderDate]]),1)</f>
        <v>45383</v>
      </c>
    </row>
    <row r="652" spans="1:27" x14ac:dyDescent="0.3">
      <c r="A652" s="3">
        <v>45104</v>
      </c>
      <c r="B652" t="s">
        <v>11</v>
      </c>
      <c r="C652" t="s">
        <v>33</v>
      </c>
      <c r="D652" t="str">
        <f>TRIM(Table1[[#This Row],[Product]])</f>
        <v>Phone</v>
      </c>
      <c r="E652" t="str">
        <f>PROPER(Table1[[#This Row],[Column1]])</f>
        <v>Phone</v>
      </c>
      <c r="F652" s="8" t="str">
        <f t="shared" si="50"/>
        <v>Technology</v>
      </c>
      <c r="G652" s="5">
        <v>7</v>
      </c>
      <c r="H652">
        <v>93.23</v>
      </c>
      <c r="I652" t="s">
        <v>57</v>
      </c>
      <c r="J652" t="s">
        <v>65</v>
      </c>
      <c r="K652" s="7">
        <v>0.05</v>
      </c>
      <c r="L652" t="s">
        <v>18</v>
      </c>
      <c r="M652" s="5">
        <v>619.97950000000003</v>
      </c>
      <c r="N652" t="s">
        <v>82</v>
      </c>
      <c r="O652" t="s">
        <v>60</v>
      </c>
      <c r="P652" s="5">
        <v>1</v>
      </c>
      <c r="Q652" t="s">
        <v>1350</v>
      </c>
      <c r="R652" t="s">
        <v>1351</v>
      </c>
      <c r="S652" s="5">
        <v>6.47</v>
      </c>
      <c r="T652" s="3">
        <v>45104</v>
      </c>
      <c r="U652" s="3">
        <v>45107</v>
      </c>
      <c r="V652" t="s">
        <v>74</v>
      </c>
      <c r="W652">
        <f t="shared" si="52"/>
        <v>588.98052500000006</v>
      </c>
      <c r="X652">
        <f t="shared" si="53"/>
        <v>652.61</v>
      </c>
      <c r="Y652">
        <f t="shared" si="54"/>
        <v>63.629474999999957</v>
      </c>
      <c r="Z652" s="8" t="str">
        <f t="shared" si="51"/>
        <v>Medium</v>
      </c>
      <c r="AA652" s="12">
        <f>DATE(YEAR(Table1[[#This Row],[OrderDate]]),MONTH(Table1[[#This Row],[OrderDate]]),1)</f>
        <v>45078</v>
      </c>
    </row>
    <row r="653" spans="1:27" x14ac:dyDescent="0.3">
      <c r="A653" s="3">
        <v>44927</v>
      </c>
      <c r="B653" t="s">
        <v>9</v>
      </c>
      <c r="C653" t="s">
        <v>35</v>
      </c>
      <c r="D653" t="str">
        <f>TRIM(Table1[[#This Row],[Product]])</f>
        <v>Tablet</v>
      </c>
      <c r="E653" t="str">
        <f>PROPER(Table1[[#This Row],[Column1]])</f>
        <v>Tablet</v>
      </c>
      <c r="F653" s="8" t="str">
        <f t="shared" si="50"/>
        <v>Technology</v>
      </c>
      <c r="G653" s="5">
        <v>15</v>
      </c>
      <c r="H653">
        <v>298.70999999999998</v>
      </c>
      <c r="I653" t="s">
        <v>78</v>
      </c>
      <c r="J653" t="s">
        <v>65</v>
      </c>
      <c r="K653" s="7">
        <v>0</v>
      </c>
      <c r="L653" t="s">
        <v>19</v>
      </c>
      <c r="M653" s="5">
        <v>4480.6499999999996</v>
      </c>
      <c r="N653" t="s">
        <v>85</v>
      </c>
      <c r="O653" t="s">
        <v>67</v>
      </c>
      <c r="P653" s="5">
        <v>0</v>
      </c>
      <c r="Q653" t="s">
        <v>1352</v>
      </c>
      <c r="R653" t="s">
        <v>1353</v>
      </c>
      <c r="S653" s="5">
        <v>11.38</v>
      </c>
      <c r="T653" s="3">
        <v>44927</v>
      </c>
      <c r="U653" s="3">
        <v>44934</v>
      </c>
      <c r="V653" t="s">
        <v>63</v>
      </c>
      <c r="W653">
        <f t="shared" si="52"/>
        <v>4480.6499999999996</v>
      </c>
      <c r="X653">
        <f t="shared" si="53"/>
        <v>4480.6499999999996</v>
      </c>
      <c r="Y653">
        <f t="shared" si="54"/>
        <v>0</v>
      </c>
      <c r="Z653" s="8" t="str">
        <f t="shared" si="51"/>
        <v>No Discount</v>
      </c>
      <c r="AA653" s="12">
        <f>DATE(YEAR(Table1[[#This Row],[OrderDate]]),MONTH(Table1[[#This Row],[OrderDate]]),1)</f>
        <v>44927</v>
      </c>
    </row>
    <row r="654" spans="1:27" x14ac:dyDescent="0.3">
      <c r="A654" s="3">
        <v>45290</v>
      </c>
      <c r="B654" t="s">
        <v>16</v>
      </c>
      <c r="C654" t="s">
        <v>35</v>
      </c>
      <c r="D654" t="str">
        <f>TRIM(Table1[[#This Row],[Product]])</f>
        <v>Tablet</v>
      </c>
      <c r="E654" t="str">
        <f>PROPER(Table1[[#This Row],[Column1]])</f>
        <v>Tablet</v>
      </c>
      <c r="F654" s="8" t="str">
        <f t="shared" si="50"/>
        <v>Technology</v>
      </c>
      <c r="G654" s="5">
        <v>15</v>
      </c>
      <c r="H654">
        <v>52.37</v>
      </c>
      <c r="I654" t="s">
        <v>64</v>
      </c>
      <c r="J654" t="s">
        <v>65</v>
      </c>
      <c r="K654" s="7">
        <v>0.15</v>
      </c>
      <c r="L654" t="s">
        <v>23</v>
      </c>
      <c r="M654" s="5">
        <v>667.71749999999997</v>
      </c>
      <c r="N654" t="s">
        <v>59</v>
      </c>
      <c r="O654" t="s">
        <v>67</v>
      </c>
      <c r="P654" s="5">
        <v>0</v>
      </c>
      <c r="Q654" t="s">
        <v>1354</v>
      </c>
      <c r="R654" t="s">
        <v>1355</v>
      </c>
      <c r="S654" s="5">
        <v>8.93</v>
      </c>
      <c r="T654" s="3">
        <v>45290</v>
      </c>
      <c r="U654" s="3">
        <v>45293</v>
      </c>
      <c r="V654" t="s">
        <v>95</v>
      </c>
      <c r="W654">
        <f t="shared" si="52"/>
        <v>567.55987499999992</v>
      </c>
      <c r="X654">
        <f t="shared" si="53"/>
        <v>785.55</v>
      </c>
      <c r="Y654">
        <f t="shared" si="54"/>
        <v>217.99012500000003</v>
      </c>
      <c r="Z654" s="8" t="str">
        <f t="shared" si="51"/>
        <v>High</v>
      </c>
      <c r="AA654" s="12">
        <f>DATE(YEAR(Table1[[#This Row],[OrderDate]]),MONTH(Table1[[#This Row],[OrderDate]]),1)</f>
        <v>45261</v>
      </c>
    </row>
    <row r="655" spans="1:27" x14ac:dyDescent="0.3">
      <c r="A655" s="3">
        <v>44948</v>
      </c>
      <c r="B655" t="s">
        <v>7</v>
      </c>
      <c r="C655" t="s">
        <v>33</v>
      </c>
      <c r="D655" t="str">
        <f>TRIM(Table1[[#This Row],[Product]])</f>
        <v>Phone</v>
      </c>
      <c r="E655" t="str">
        <f>PROPER(Table1[[#This Row],[Column1]])</f>
        <v>Phone</v>
      </c>
      <c r="F655" s="8" t="str">
        <f t="shared" si="50"/>
        <v>Technology</v>
      </c>
      <c r="G655" s="5">
        <v>6</v>
      </c>
      <c r="H655">
        <v>104.19</v>
      </c>
      <c r="I655" t="s">
        <v>78</v>
      </c>
      <c r="J655" t="s">
        <v>65</v>
      </c>
      <c r="K655" s="7">
        <v>0.1</v>
      </c>
      <c r="L655" t="s">
        <v>23</v>
      </c>
      <c r="M655" s="5">
        <v>562.62599999999998</v>
      </c>
      <c r="N655" t="s">
        <v>59</v>
      </c>
      <c r="P655" s="5">
        <v>0</v>
      </c>
      <c r="Q655" t="s">
        <v>1356</v>
      </c>
      <c r="R655" t="s">
        <v>1357</v>
      </c>
      <c r="S655" s="5">
        <v>8.6199999999999992</v>
      </c>
      <c r="T655" s="3">
        <v>44948</v>
      </c>
      <c r="U655" s="3">
        <v>44950</v>
      </c>
      <c r="V655" t="s">
        <v>77</v>
      </c>
      <c r="W655">
        <f t="shared" si="52"/>
        <v>506.36340000000001</v>
      </c>
      <c r="X655">
        <f t="shared" si="53"/>
        <v>625.14</v>
      </c>
      <c r="Y655">
        <f t="shared" si="54"/>
        <v>118.77659999999997</v>
      </c>
      <c r="Z655" s="8" t="str">
        <f t="shared" si="51"/>
        <v>Medium</v>
      </c>
      <c r="AA655" s="12">
        <f>DATE(YEAR(Table1[[#This Row],[OrderDate]]),MONTH(Table1[[#This Row],[OrderDate]]),1)</f>
        <v>44927</v>
      </c>
    </row>
    <row r="656" spans="1:27" x14ac:dyDescent="0.3">
      <c r="A656" s="3">
        <v>45500</v>
      </c>
      <c r="B656" t="s">
        <v>13</v>
      </c>
      <c r="C656" t="s">
        <v>31</v>
      </c>
      <c r="D656" t="str">
        <f>TRIM(Table1[[#This Row],[Product]])</f>
        <v>Laptop</v>
      </c>
      <c r="E656" t="str">
        <f>PROPER(Table1[[#This Row],[Column1]])</f>
        <v>Laptop</v>
      </c>
      <c r="F656" s="8" t="str">
        <f t="shared" si="50"/>
        <v>Technology</v>
      </c>
      <c r="G656" s="5">
        <v>8</v>
      </c>
      <c r="H656">
        <v>493.09</v>
      </c>
      <c r="I656" t="s">
        <v>64</v>
      </c>
      <c r="J656" t="s">
        <v>65</v>
      </c>
      <c r="K656" s="7">
        <v>0.05</v>
      </c>
      <c r="L656" t="s">
        <v>23</v>
      </c>
      <c r="M656" s="5">
        <v>3747.483999999999</v>
      </c>
      <c r="N656" t="s">
        <v>82</v>
      </c>
      <c r="O656" t="s">
        <v>60</v>
      </c>
      <c r="P656" s="5">
        <v>0</v>
      </c>
      <c r="Q656" t="s">
        <v>1358</v>
      </c>
      <c r="R656" t="s">
        <v>1359</v>
      </c>
      <c r="S656" s="5">
        <v>11.49</v>
      </c>
      <c r="T656" s="3">
        <v>45500</v>
      </c>
      <c r="U656" s="3">
        <v>45509</v>
      </c>
      <c r="V656" t="s">
        <v>70</v>
      </c>
      <c r="W656">
        <f t="shared" si="52"/>
        <v>3560.1097999999988</v>
      </c>
      <c r="X656">
        <f t="shared" si="53"/>
        <v>3944.72</v>
      </c>
      <c r="Y656">
        <f t="shared" si="54"/>
        <v>384.61020000000099</v>
      </c>
      <c r="Z656" s="8" t="str">
        <f t="shared" si="51"/>
        <v>Medium</v>
      </c>
      <c r="AA656" s="12">
        <f>DATE(YEAR(Table1[[#This Row],[OrderDate]]),MONTH(Table1[[#This Row],[OrderDate]]),1)</f>
        <v>45474</v>
      </c>
    </row>
    <row r="657" spans="1:27" x14ac:dyDescent="0.3">
      <c r="A657" s="3">
        <v>45306</v>
      </c>
      <c r="B657" t="s">
        <v>13</v>
      </c>
      <c r="C657" t="s">
        <v>29</v>
      </c>
      <c r="D657" t="str">
        <f>TRIM(Table1[[#This Row],[Product]])</f>
        <v>Chair</v>
      </c>
      <c r="E657" t="str">
        <f>PROPER(Table1[[#This Row],[Column1]])</f>
        <v>Chair</v>
      </c>
      <c r="F657" s="8" t="str">
        <f t="shared" si="50"/>
        <v>Furniture</v>
      </c>
      <c r="G657" s="5">
        <v>6</v>
      </c>
      <c r="H657">
        <v>291.58</v>
      </c>
      <c r="I657" t="s">
        <v>57</v>
      </c>
      <c r="J657" t="s">
        <v>58</v>
      </c>
      <c r="K657" s="7">
        <v>0</v>
      </c>
      <c r="L657" t="s">
        <v>27</v>
      </c>
      <c r="M657" s="5">
        <v>1749.48</v>
      </c>
      <c r="N657" t="s">
        <v>82</v>
      </c>
      <c r="O657" t="s">
        <v>60</v>
      </c>
      <c r="P657" s="5">
        <v>0</v>
      </c>
      <c r="Q657" t="s">
        <v>1360</v>
      </c>
      <c r="R657" t="s">
        <v>1361</v>
      </c>
      <c r="S657" s="5">
        <v>30.25</v>
      </c>
      <c r="T657" s="3">
        <v>45306</v>
      </c>
      <c r="U657" s="3">
        <v>45308</v>
      </c>
      <c r="V657" t="s">
        <v>70</v>
      </c>
      <c r="W657">
        <f t="shared" si="52"/>
        <v>1749.48</v>
      </c>
      <c r="X657">
        <f t="shared" si="53"/>
        <v>1749.48</v>
      </c>
      <c r="Y657">
        <f t="shared" si="54"/>
        <v>0</v>
      </c>
      <c r="Z657" s="8" t="str">
        <f t="shared" si="51"/>
        <v>No Discount</v>
      </c>
      <c r="AA657" s="12">
        <f>DATE(YEAR(Table1[[#This Row],[OrderDate]]),MONTH(Table1[[#This Row],[OrderDate]]),1)</f>
        <v>45292</v>
      </c>
    </row>
    <row r="658" spans="1:27" x14ac:dyDescent="0.3">
      <c r="A658" s="3">
        <v>45295</v>
      </c>
      <c r="B658" t="s">
        <v>16</v>
      </c>
      <c r="C658" t="s">
        <v>35</v>
      </c>
      <c r="D658" t="str">
        <f>TRIM(Table1[[#This Row],[Product]])</f>
        <v>Tablet</v>
      </c>
      <c r="E658" t="str">
        <f>PROPER(Table1[[#This Row],[Column1]])</f>
        <v>Tablet</v>
      </c>
      <c r="F658" s="8" t="str">
        <f t="shared" si="50"/>
        <v>Technology</v>
      </c>
      <c r="G658" s="5">
        <v>1</v>
      </c>
      <c r="H658">
        <v>103.13</v>
      </c>
      <c r="I658" t="s">
        <v>57</v>
      </c>
      <c r="J658" t="s">
        <v>58</v>
      </c>
      <c r="K658" s="7">
        <v>0</v>
      </c>
      <c r="L658" t="s">
        <v>19</v>
      </c>
      <c r="M658" s="5">
        <v>103.13</v>
      </c>
      <c r="N658" t="s">
        <v>59</v>
      </c>
      <c r="O658" t="s">
        <v>60</v>
      </c>
      <c r="P658" s="5">
        <v>0</v>
      </c>
      <c r="Q658" t="s">
        <v>1362</v>
      </c>
      <c r="R658" t="s">
        <v>1363</v>
      </c>
      <c r="S658" s="5">
        <v>42.38</v>
      </c>
      <c r="T658" s="3">
        <v>45295</v>
      </c>
      <c r="U658" s="3">
        <v>45305</v>
      </c>
      <c r="V658" t="s">
        <v>95</v>
      </c>
      <c r="W658">
        <f t="shared" si="52"/>
        <v>103.13</v>
      </c>
      <c r="X658">
        <f t="shared" si="53"/>
        <v>103.13</v>
      </c>
      <c r="Y658">
        <f t="shared" si="54"/>
        <v>0</v>
      </c>
      <c r="Z658" s="8" t="str">
        <f t="shared" si="51"/>
        <v>No Discount</v>
      </c>
      <c r="AA658" s="12">
        <f>DATE(YEAR(Table1[[#This Row],[OrderDate]]),MONTH(Table1[[#This Row],[OrderDate]]),1)</f>
        <v>45292</v>
      </c>
    </row>
    <row r="659" spans="1:27" x14ac:dyDescent="0.3">
      <c r="A659" s="3">
        <v>44966</v>
      </c>
      <c r="B659" t="s">
        <v>9</v>
      </c>
      <c r="C659" t="s">
        <v>32</v>
      </c>
      <c r="D659" t="str">
        <f>TRIM(Table1[[#This Row],[Product]])</f>
        <v>Monitor</v>
      </c>
      <c r="E659" t="str">
        <f>PROPER(Table1[[#This Row],[Column1]])</f>
        <v>Monitor</v>
      </c>
      <c r="F659" s="8" t="str">
        <f t="shared" si="50"/>
        <v>Technology</v>
      </c>
      <c r="G659" s="5">
        <v>1</v>
      </c>
      <c r="H659">
        <v>541.9</v>
      </c>
      <c r="I659" t="s">
        <v>64</v>
      </c>
      <c r="J659" t="s">
        <v>65</v>
      </c>
      <c r="K659" s="7">
        <v>0.05</v>
      </c>
      <c r="L659" t="s">
        <v>25</v>
      </c>
      <c r="M659" s="5">
        <v>514.80499999999995</v>
      </c>
      <c r="N659" t="s">
        <v>88</v>
      </c>
      <c r="O659" t="s">
        <v>71</v>
      </c>
      <c r="P659" s="5">
        <v>0</v>
      </c>
      <c r="Q659" t="s">
        <v>1364</v>
      </c>
      <c r="R659" t="s">
        <v>791</v>
      </c>
      <c r="S659" s="5">
        <v>40.35</v>
      </c>
      <c r="T659" s="3">
        <v>44966</v>
      </c>
      <c r="U659" s="3">
        <v>44976</v>
      </c>
      <c r="V659" t="s">
        <v>63</v>
      </c>
      <c r="W659">
        <f t="shared" si="52"/>
        <v>489.06474999999995</v>
      </c>
      <c r="X659">
        <f t="shared" si="53"/>
        <v>541.9</v>
      </c>
      <c r="Y659">
        <f t="shared" si="54"/>
        <v>52.83525000000003</v>
      </c>
      <c r="Z659" s="8" t="str">
        <f t="shared" si="51"/>
        <v>Medium</v>
      </c>
      <c r="AA659" s="12">
        <f>DATE(YEAR(Table1[[#This Row],[OrderDate]]),MONTH(Table1[[#This Row],[OrderDate]]),1)</f>
        <v>44958</v>
      </c>
    </row>
    <row r="660" spans="1:27" x14ac:dyDescent="0.3">
      <c r="A660" s="3">
        <v>45463</v>
      </c>
      <c r="B660" t="s">
        <v>11</v>
      </c>
      <c r="C660" t="s">
        <v>33</v>
      </c>
      <c r="D660" t="str">
        <f>TRIM(Table1[[#This Row],[Product]])</f>
        <v>Phone</v>
      </c>
      <c r="E660" t="str">
        <f>PROPER(Table1[[#This Row],[Column1]])</f>
        <v>Phone</v>
      </c>
      <c r="F660" s="8" t="str">
        <f t="shared" si="50"/>
        <v>Technology</v>
      </c>
      <c r="G660" s="5">
        <v>11</v>
      </c>
      <c r="H660">
        <v>303.08999999999997</v>
      </c>
      <c r="I660" t="s">
        <v>81</v>
      </c>
      <c r="J660" t="s">
        <v>58</v>
      </c>
      <c r="K660" s="7">
        <v>0.1</v>
      </c>
      <c r="L660" t="s">
        <v>23</v>
      </c>
      <c r="M660" s="5">
        <v>3000.5909999999999</v>
      </c>
      <c r="N660" t="s">
        <v>59</v>
      </c>
      <c r="O660" t="s">
        <v>67</v>
      </c>
      <c r="P660" s="5">
        <v>0</v>
      </c>
      <c r="Q660" t="s">
        <v>1365</v>
      </c>
      <c r="R660" t="s">
        <v>1366</v>
      </c>
      <c r="S660" s="5">
        <v>21.88</v>
      </c>
      <c r="T660" s="3">
        <v>45463</v>
      </c>
      <c r="U660" s="3">
        <v>45467</v>
      </c>
      <c r="V660" t="s">
        <v>74</v>
      </c>
      <c r="W660">
        <f t="shared" si="52"/>
        <v>2700.5319</v>
      </c>
      <c r="X660">
        <f t="shared" si="53"/>
        <v>3333.99</v>
      </c>
      <c r="Y660">
        <f t="shared" si="54"/>
        <v>633.45809999999983</v>
      </c>
      <c r="Z660" s="8" t="str">
        <f t="shared" si="51"/>
        <v>Medium</v>
      </c>
      <c r="AA660" s="12">
        <f>DATE(YEAR(Table1[[#This Row],[OrderDate]]),MONTH(Table1[[#This Row],[OrderDate]]),1)</f>
        <v>45444</v>
      </c>
    </row>
    <row r="661" spans="1:27" x14ac:dyDescent="0.3">
      <c r="A661" s="3">
        <v>44978</v>
      </c>
      <c r="B661" t="s">
        <v>7</v>
      </c>
      <c r="C661" t="s">
        <v>30</v>
      </c>
      <c r="D661" t="str">
        <f>TRIM(Table1[[#This Row],[Product]])</f>
        <v>Desk</v>
      </c>
      <c r="E661" t="str">
        <f>PROPER(Table1[[#This Row],[Column1]])</f>
        <v>Desk</v>
      </c>
      <c r="F661" s="8" t="str">
        <f t="shared" si="50"/>
        <v>Furniture</v>
      </c>
      <c r="G661" s="5">
        <v>11</v>
      </c>
      <c r="H661">
        <v>61.81</v>
      </c>
      <c r="I661" t="s">
        <v>78</v>
      </c>
      <c r="J661" t="s">
        <v>65</v>
      </c>
      <c r="K661" s="7">
        <v>0.05</v>
      </c>
      <c r="L661" t="s">
        <v>19</v>
      </c>
      <c r="M661" s="5">
        <v>645.91450000000009</v>
      </c>
      <c r="N661" t="s">
        <v>66</v>
      </c>
      <c r="O661" t="s">
        <v>71</v>
      </c>
      <c r="P661" s="5">
        <v>0</v>
      </c>
      <c r="Q661" t="s">
        <v>1367</v>
      </c>
      <c r="R661" t="s">
        <v>1368</v>
      </c>
      <c r="S661" s="5">
        <v>47.95</v>
      </c>
      <c r="T661" s="3">
        <v>44978</v>
      </c>
      <c r="U661" s="3">
        <v>44988</v>
      </c>
      <c r="V661" t="s">
        <v>77</v>
      </c>
      <c r="W661">
        <f t="shared" si="52"/>
        <v>613.61877500000003</v>
      </c>
      <c r="X661">
        <f t="shared" si="53"/>
        <v>679.91000000000008</v>
      </c>
      <c r="Y661">
        <f t="shared" si="54"/>
        <v>66.291225000000054</v>
      </c>
      <c r="Z661" s="8" t="str">
        <f t="shared" si="51"/>
        <v>Medium</v>
      </c>
      <c r="AA661" s="12">
        <f>DATE(YEAR(Table1[[#This Row],[OrderDate]]),MONTH(Table1[[#This Row],[OrderDate]]),1)</f>
        <v>44958</v>
      </c>
    </row>
    <row r="662" spans="1:27" x14ac:dyDescent="0.3">
      <c r="A662" s="3">
        <v>45154</v>
      </c>
      <c r="B662" t="s">
        <v>7</v>
      </c>
      <c r="C662" t="s">
        <v>30</v>
      </c>
      <c r="D662" t="str">
        <f>TRIM(Table1[[#This Row],[Product]])</f>
        <v>Desk</v>
      </c>
      <c r="E662" t="str">
        <f>PROPER(Table1[[#This Row],[Column1]])</f>
        <v>Desk</v>
      </c>
      <c r="F662" s="8" t="str">
        <f t="shared" si="50"/>
        <v>Furniture</v>
      </c>
      <c r="G662" s="5">
        <v>8</v>
      </c>
      <c r="H662">
        <v>355.15</v>
      </c>
      <c r="I662" t="s">
        <v>57</v>
      </c>
      <c r="J662" t="s">
        <v>65</v>
      </c>
      <c r="K662" s="7">
        <v>0.1</v>
      </c>
      <c r="L662" t="s">
        <v>21</v>
      </c>
      <c r="M662" s="5">
        <v>2557.08</v>
      </c>
      <c r="N662" t="s">
        <v>59</v>
      </c>
      <c r="P662" s="5">
        <v>1</v>
      </c>
      <c r="Q662" t="s">
        <v>1369</v>
      </c>
      <c r="R662" t="s">
        <v>1370</v>
      </c>
      <c r="S662" s="5">
        <v>38.590000000000003</v>
      </c>
      <c r="T662" s="3">
        <v>45154</v>
      </c>
      <c r="U662" s="3">
        <v>45162</v>
      </c>
      <c r="V662" t="s">
        <v>77</v>
      </c>
      <c r="W662">
        <f t="shared" si="52"/>
        <v>2301.3719999999998</v>
      </c>
      <c r="X662">
        <f t="shared" si="53"/>
        <v>2841.2</v>
      </c>
      <c r="Y662">
        <f t="shared" si="54"/>
        <v>539.82799999999997</v>
      </c>
      <c r="Z662" s="8" t="str">
        <f t="shared" si="51"/>
        <v>Medium</v>
      </c>
      <c r="AA662" s="12">
        <f>DATE(YEAR(Table1[[#This Row],[OrderDate]]),MONTH(Table1[[#This Row],[OrderDate]]),1)</f>
        <v>45139</v>
      </c>
    </row>
    <row r="663" spans="1:27" x14ac:dyDescent="0.3">
      <c r="A663" s="3">
        <v>45233</v>
      </c>
      <c r="B663" t="s">
        <v>16</v>
      </c>
      <c r="C663" t="s">
        <v>32</v>
      </c>
      <c r="D663" t="str">
        <f>TRIM(Table1[[#This Row],[Product]])</f>
        <v>Monitor</v>
      </c>
      <c r="E663" t="str">
        <f>PROPER(Table1[[#This Row],[Column1]])</f>
        <v>Monitor</v>
      </c>
      <c r="F663" s="8" t="str">
        <f t="shared" si="50"/>
        <v>Technology</v>
      </c>
      <c r="G663" s="5">
        <v>11</v>
      </c>
      <c r="H663">
        <v>119.84</v>
      </c>
      <c r="I663" t="s">
        <v>81</v>
      </c>
      <c r="J663" t="s">
        <v>58</v>
      </c>
      <c r="K663" s="7">
        <v>0.1</v>
      </c>
      <c r="L663" t="s">
        <v>25</v>
      </c>
      <c r="M663" s="5">
        <v>1186.4159999999999</v>
      </c>
      <c r="N663" t="s">
        <v>59</v>
      </c>
      <c r="O663" t="s">
        <v>67</v>
      </c>
      <c r="P663" s="5">
        <v>0</v>
      </c>
      <c r="Q663" t="s">
        <v>1371</v>
      </c>
      <c r="R663" t="s">
        <v>1372</v>
      </c>
      <c r="S663" s="5">
        <v>16.64</v>
      </c>
      <c r="T663" s="3">
        <v>45233</v>
      </c>
      <c r="U663" s="3">
        <v>45241</v>
      </c>
      <c r="V663" t="s">
        <v>95</v>
      </c>
      <c r="W663">
        <f t="shared" si="52"/>
        <v>1067.7744</v>
      </c>
      <c r="X663">
        <f t="shared" si="53"/>
        <v>1318.24</v>
      </c>
      <c r="Y663">
        <f t="shared" si="54"/>
        <v>250.46559999999999</v>
      </c>
      <c r="Z663" s="8" t="str">
        <f t="shared" si="51"/>
        <v>Medium</v>
      </c>
      <c r="AA663" s="12">
        <f>DATE(YEAR(Table1[[#This Row],[OrderDate]]),MONTH(Table1[[#This Row],[OrderDate]]),1)</f>
        <v>45231</v>
      </c>
    </row>
    <row r="664" spans="1:27" x14ac:dyDescent="0.3">
      <c r="A664" s="3">
        <v>45408</v>
      </c>
      <c r="B664" t="s">
        <v>13</v>
      </c>
      <c r="C664" t="s">
        <v>31</v>
      </c>
      <c r="D664" t="str">
        <f>TRIM(Table1[[#This Row],[Product]])</f>
        <v>Laptop</v>
      </c>
      <c r="E664" t="str">
        <f>PROPER(Table1[[#This Row],[Column1]])</f>
        <v>Laptop</v>
      </c>
      <c r="F664" s="8" t="str">
        <f t="shared" si="50"/>
        <v>Technology</v>
      </c>
      <c r="G664" s="5">
        <v>16</v>
      </c>
      <c r="H664">
        <v>318.32</v>
      </c>
      <c r="I664" t="s">
        <v>78</v>
      </c>
      <c r="J664" t="s">
        <v>58</v>
      </c>
      <c r="K664" s="7">
        <v>0.05</v>
      </c>
      <c r="L664" t="s">
        <v>23</v>
      </c>
      <c r="M664" s="5">
        <v>4838.4639999999999</v>
      </c>
      <c r="N664" t="s">
        <v>82</v>
      </c>
      <c r="O664" t="s">
        <v>60</v>
      </c>
      <c r="P664" s="5">
        <v>0</v>
      </c>
      <c r="Q664" t="s">
        <v>1373</v>
      </c>
      <c r="R664" t="s">
        <v>1374</v>
      </c>
      <c r="S664" s="5">
        <v>40.78</v>
      </c>
      <c r="T664" s="3">
        <v>45408</v>
      </c>
      <c r="U664" s="3">
        <v>45413</v>
      </c>
      <c r="V664" t="s">
        <v>70</v>
      </c>
      <c r="W664">
        <f t="shared" si="52"/>
        <v>4596.5407999999998</v>
      </c>
      <c r="X664">
        <f t="shared" si="53"/>
        <v>5093.12</v>
      </c>
      <c r="Y664">
        <f t="shared" si="54"/>
        <v>496.57920000000013</v>
      </c>
      <c r="Z664" s="8" t="str">
        <f t="shared" si="51"/>
        <v>Medium</v>
      </c>
      <c r="AA664" s="12">
        <f>DATE(YEAR(Table1[[#This Row],[OrderDate]]),MONTH(Table1[[#This Row],[OrderDate]]),1)</f>
        <v>45383</v>
      </c>
    </row>
    <row r="665" spans="1:27" x14ac:dyDescent="0.3">
      <c r="A665" s="3">
        <v>45573</v>
      </c>
      <c r="B665" t="s">
        <v>13</v>
      </c>
      <c r="C665" t="s">
        <v>30</v>
      </c>
      <c r="D665" t="str">
        <f>TRIM(Table1[[#This Row],[Product]])</f>
        <v>Desk</v>
      </c>
      <c r="E665" t="str">
        <f>PROPER(Table1[[#This Row],[Column1]])</f>
        <v>Desk</v>
      </c>
      <c r="F665" s="8" t="str">
        <f t="shared" si="50"/>
        <v>Furniture</v>
      </c>
      <c r="G665" s="5">
        <v>9</v>
      </c>
      <c r="H665">
        <v>446.49</v>
      </c>
      <c r="I665" t="s">
        <v>81</v>
      </c>
      <c r="J665" t="s">
        <v>58</v>
      </c>
      <c r="K665" s="7">
        <v>0.15</v>
      </c>
      <c r="L665" t="s">
        <v>21</v>
      </c>
      <c r="M665" s="5">
        <v>3415.6484999999998</v>
      </c>
      <c r="N665" t="s">
        <v>88</v>
      </c>
      <c r="O665" t="s">
        <v>60</v>
      </c>
      <c r="P665" s="5">
        <v>0</v>
      </c>
      <c r="Q665" t="s">
        <v>1375</v>
      </c>
      <c r="R665" t="s">
        <v>1376</v>
      </c>
      <c r="S665" s="5">
        <v>5.77</v>
      </c>
      <c r="T665" s="3">
        <v>45573</v>
      </c>
      <c r="U665" s="3">
        <v>45582</v>
      </c>
      <c r="V665" t="s">
        <v>70</v>
      </c>
      <c r="W665">
        <f t="shared" si="52"/>
        <v>2903.3012249999997</v>
      </c>
      <c r="X665">
        <f t="shared" si="53"/>
        <v>4018.41</v>
      </c>
      <c r="Y665">
        <f t="shared" si="54"/>
        <v>1115.1087750000002</v>
      </c>
      <c r="Z665" s="8" t="str">
        <f t="shared" si="51"/>
        <v>High</v>
      </c>
      <c r="AA665" s="12">
        <f>DATE(YEAR(Table1[[#This Row],[OrderDate]]),MONTH(Table1[[#This Row],[OrderDate]]),1)</f>
        <v>45566</v>
      </c>
    </row>
    <row r="666" spans="1:27" x14ac:dyDescent="0.3">
      <c r="A666" s="3">
        <v>44935</v>
      </c>
      <c r="B666" t="s">
        <v>13</v>
      </c>
      <c r="C666" t="s">
        <v>30</v>
      </c>
      <c r="D666" t="str">
        <f>TRIM(Table1[[#This Row],[Product]])</f>
        <v>Desk</v>
      </c>
      <c r="E666" t="str">
        <f>PROPER(Table1[[#This Row],[Column1]])</f>
        <v>Desk</v>
      </c>
      <c r="F666" s="8" t="str">
        <f t="shared" si="50"/>
        <v>Furniture</v>
      </c>
      <c r="G666" s="5">
        <v>16</v>
      </c>
      <c r="H666">
        <v>258.82</v>
      </c>
      <c r="I666" t="s">
        <v>81</v>
      </c>
      <c r="J666" t="s">
        <v>65</v>
      </c>
      <c r="K666" s="7">
        <v>0.1</v>
      </c>
      <c r="L666" t="s">
        <v>23</v>
      </c>
      <c r="M666" s="5">
        <v>3727.0079999999998</v>
      </c>
      <c r="N666" t="s">
        <v>59</v>
      </c>
      <c r="O666" t="s">
        <v>67</v>
      </c>
      <c r="P666" s="5">
        <v>0</v>
      </c>
      <c r="Q666" t="s">
        <v>1377</v>
      </c>
      <c r="R666" t="s">
        <v>1378</v>
      </c>
      <c r="S666" s="5">
        <v>46.93</v>
      </c>
      <c r="T666" s="3">
        <v>44935</v>
      </c>
      <c r="U666" s="3">
        <v>44943</v>
      </c>
      <c r="V666" t="s">
        <v>70</v>
      </c>
      <c r="W666">
        <f t="shared" si="52"/>
        <v>3354.3071999999997</v>
      </c>
      <c r="X666">
        <f t="shared" si="53"/>
        <v>4141.12</v>
      </c>
      <c r="Y666">
        <f t="shared" si="54"/>
        <v>786.81280000000015</v>
      </c>
      <c r="Z666" s="8" t="str">
        <f t="shared" si="51"/>
        <v>Medium</v>
      </c>
      <c r="AA666" s="12">
        <f>DATE(YEAR(Table1[[#This Row],[OrderDate]]),MONTH(Table1[[#This Row],[OrderDate]]),1)</f>
        <v>44927</v>
      </c>
    </row>
    <row r="667" spans="1:27" x14ac:dyDescent="0.3">
      <c r="A667" s="3">
        <v>45285</v>
      </c>
      <c r="B667" t="s">
        <v>11</v>
      </c>
      <c r="C667" t="s">
        <v>34</v>
      </c>
      <c r="D667" t="str">
        <f>TRIM(Table1[[#This Row],[Product]])</f>
        <v>Printer</v>
      </c>
      <c r="E667" t="str">
        <f>PROPER(Table1[[#This Row],[Column1]])</f>
        <v>Printer</v>
      </c>
      <c r="F667" s="8" t="str">
        <f t="shared" si="50"/>
        <v>Office Supplies</v>
      </c>
      <c r="G667" s="5">
        <v>9</v>
      </c>
      <c r="H667">
        <v>272.68</v>
      </c>
      <c r="I667" t="s">
        <v>81</v>
      </c>
      <c r="J667" t="s">
        <v>58</v>
      </c>
      <c r="K667" s="7">
        <v>0.05</v>
      </c>
      <c r="L667" t="s">
        <v>25</v>
      </c>
      <c r="M667" s="5">
        <v>2331.4140000000002</v>
      </c>
      <c r="N667" t="s">
        <v>59</v>
      </c>
      <c r="O667" t="s">
        <v>67</v>
      </c>
      <c r="P667" s="5">
        <v>0</v>
      </c>
      <c r="Q667" t="s">
        <v>1379</v>
      </c>
      <c r="R667" t="s">
        <v>1380</v>
      </c>
      <c r="S667" s="5">
        <v>16.43</v>
      </c>
      <c r="T667" s="3">
        <v>45285</v>
      </c>
      <c r="U667" s="3">
        <v>45293</v>
      </c>
      <c r="V667" t="s">
        <v>74</v>
      </c>
      <c r="W667">
        <f t="shared" si="52"/>
        <v>2214.8433</v>
      </c>
      <c r="X667">
        <f t="shared" si="53"/>
        <v>2454.12</v>
      </c>
      <c r="Y667">
        <f t="shared" si="54"/>
        <v>239.27669999999989</v>
      </c>
      <c r="Z667" s="8" t="str">
        <f t="shared" si="51"/>
        <v>Medium</v>
      </c>
      <c r="AA667" s="12">
        <f>DATE(YEAR(Table1[[#This Row],[OrderDate]]),MONTH(Table1[[#This Row],[OrderDate]]),1)</f>
        <v>45261</v>
      </c>
    </row>
    <row r="668" spans="1:27" x14ac:dyDescent="0.3">
      <c r="A668" s="3">
        <v>45423</v>
      </c>
      <c r="B668" t="s">
        <v>7</v>
      </c>
      <c r="C668" t="s">
        <v>32</v>
      </c>
      <c r="D668" t="str">
        <f>TRIM(Table1[[#This Row],[Product]])</f>
        <v>Monitor</v>
      </c>
      <c r="E668" t="str">
        <f>PROPER(Table1[[#This Row],[Column1]])</f>
        <v>Monitor</v>
      </c>
      <c r="F668" s="8" t="str">
        <f t="shared" si="50"/>
        <v>Technology</v>
      </c>
      <c r="G668" s="5">
        <v>12</v>
      </c>
      <c r="H668">
        <v>438.77</v>
      </c>
      <c r="I668" t="s">
        <v>78</v>
      </c>
      <c r="J668" t="s">
        <v>65</v>
      </c>
      <c r="K668" s="7">
        <v>0</v>
      </c>
      <c r="L668" t="s">
        <v>25</v>
      </c>
      <c r="M668" s="5">
        <v>5265.24</v>
      </c>
      <c r="N668" t="s">
        <v>85</v>
      </c>
      <c r="O668" t="s">
        <v>67</v>
      </c>
      <c r="P668" s="5">
        <v>0</v>
      </c>
      <c r="Q668" t="s">
        <v>1381</v>
      </c>
      <c r="R668" t="s">
        <v>1382</v>
      </c>
      <c r="S668" s="5">
        <v>9.31</v>
      </c>
      <c r="T668" s="3">
        <v>45423</v>
      </c>
      <c r="U668" s="3">
        <v>45432</v>
      </c>
      <c r="V668" t="s">
        <v>77</v>
      </c>
      <c r="W668">
        <f t="shared" si="52"/>
        <v>5265.24</v>
      </c>
      <c r="X668">
        <f t="shared" si="53"/>
        <v>5265.24</v>
      </c>
      <c r="Y668">
        <f t="shared" si="54"/>
        <v>0</v>
      </c>
      <c r="Z668" s="8" t="str">
        <f t="shared" si="51"/>
        <v>No Discount</v>
      </c>
      <c r="AA668" s="12">
        <f>DATE(YEAR(Table1[[#This Row],[OrderDate]]),MONTH(Table1[[#This Row],[OrderDate]]),1)</f>
        <v>45413</v>
      </c>
    </row>
    <row r="669" spans="1:27" x14ac:dyDescent="0.3">
      <c r="A669" s="3">
        <v>45253</v>
      </c>
      <c r="B669" t="s">
        <v>16</v>
      </c>
      <c r="C669" t="s">
        <v>35</v>
      </c>
      <c r="D669" t="str">
        <f>TRIM(Table1[[#This Row],[Product]])</f>
        <v>Tablet</v>
      </c>
      <c r="E669" t="str">
        <f>PROPER(Table1[[#This Row],[Column1]])</f>
        <v>Tablet</v>
      </c>
      <c r="F669" s="8" t="str">
        <f t="shared" si="50"/>
        <v>Technology</v>
      </c>
      <c r="G669" s="5">
        <v>18</v>
      </c>
      <c r="H669">
        <v>267.63</v>
      </c>
      <c r="I669" t="s">
        <v>57</v>
      </c>
      <c r="J669" t="s">
        <v>65</v>
      </c>
      <c r="K669" s="7">
        <v>0</v>
      </c>
      <c r="L669" t="s">
        <v>21</v>
      </c>
      <c r="M669" s="5">
        <v>4817.34</v>
      </c>
      <c r="N669" t="s">
        <v>66</v>
      </c>
      <c r="O669" t="s">
        <v>67</v>
      </c>
      <c r="P669" s="5">
        <v>0</v>
      </c>
      <c r="Q669" t="s">
        <v>1383</v>
      </c>
      <c r="R669" t="s">
        <v>1384</v>
      </c>
      <c r="S669" s="5">
        <v>44.48</v>
      </c>
      <c r="T669" s="3">
        <v>45253</v>
      </c>
      <c r="U669" s="3">
        <v>45256</v>
      </c>
      <c r="V669" t="s">
        <v>95</v>
      </c>
      <c r="W669">
        <f t="shared" si="52"/>
        <v>4817.34</v>
      </c>
      <c r="X669">
        <f t="shared" si="53"/>
        <v>4817.34</v>
      </c>
      <c r="Y669">
        <f t="shared" si="54"/>
        <v>0</v>
      </c>
      <c r="Z669" s="8" t="str">
        <f t="shared" si="51"/>
        <v>No Discount</v>
      </c>
      <c r="AA669" s="12">
        <f>DATE(YEAR(Table1[[#This Row],[OrderDate]]),MONTH(Table1[[#This Row],[OrderDate]]),1)</f>
        <v>45231</v>
      </c>
    </row>
    <row r="670" spans="1:27" x14ac:dyDescent="0.3">
      <c r="A670" s="3">
        <v>45270</v>
      </c>
      <c r="B670" t="s">
        <v>7</v>
      </c>
      <c r="C670" t="s">
        <v>34</v>
      </c>
      <c r="D670" t="str">
        <f>TRIM(Table1[[#This Row],[Product]])</f>
        <v>Printer</v>
      </c>
      <c r="E670" t="str">
        <f>PROPER(Table1[[#This Row],[Column1]])</f>
        <v>Printer</v>
      </c>
      <c r="F670" s="8" t="str">
        <f t="shared" si="50"/>
        <v>Office Supplies</v>
      </c>
      <c r="G670" s="5">
        <v>6</v>
      </c>
      <c r="H670">
        <v>115.94</v>
      </c>
      <c r="I670" t="s">
        <v>64</v>
      </c>
      <c r="J670" t="s">
        <v>58</v>
      </c>
      <c r="K670" s="7">
        <v>0.05</v>
      </c>
      <c r="L670" t="s">
        <v>21</v>
      </c>
      <c r="M670" s="5">
        <v>660.85799999999995</v>
      </c>
      <c r="N670" t="s">
        <v>82</v>
      </c>
      <c r="O670" t="s">
        <v>67</v>
      </c>
      <c r="P670" s="5">
        <v>0</v>
      </c>
      <c r="Q670" t="s">
        <v>1385</v>
      </c>
      <c r="R670" t="s">
        <v>1386</v>
      </c>
      <c r="S670" s="5">
        <v>23.91</v>
      </c>
      <c r="T670" s="3">
        <v>45270</v>
      </c>
      <c r="U670" s="3">
        <v>45272</v>
      </c>
      <c r="V670" t="s">
        <v>77</v>
      </c>
      <c r="W670">
        <f t="shared" si="52"/>
        <v>627.81509999999992</v>
      </c>
      <c r="X670">
        <f t="shared" si="53"/>
        <v>695.64</v>
      </c>
      <c r="Y670">
        <f t="shared" si="54"/>
        <v>67.824900000000071</v>
      </c>
      <c r="Z670" s="8" t="str">
        <f t="shared" si="51"/>
        <v>Medium</v>
      </c>
      <c r="AA670" s="12">
        <f>DATE(YEAR(Table1[[#This Row],[OrderDate]]),MONTH(Table1[[#This Row],[OrderDate]]),1)</f>
        <v>45261</v>
      </c>
    </row>
    <row r="671" spans="1:27" x14ac:dyDescent="0.3">
      <c r="A671" s="3">
        <v>45325</v>
      </c>
      <c r="B671" t="s">
        <v>11</v>
      </c>
      <c r="C671" t="s">
        <v>34</v>
      </c>
      <c r="D671" t="str">
        <f>TRIM(Table1[[#This Row],[Product]])</f>
        <v>Printer</v>
      </c>
      <c r="E671" t="str">
        <f>PROPER(Table1[[#This Row],[Column1]])</f>
        <v>Printer</v>
      </c>
      <c r="F671" s="8" t="str">
        <f t="shared" si="50"/>
        <v>Office Supplies</v>
      </c>
      <c r="G671" s="5">
        <v>19</v>
      </c>
      <c r="H671">
        <v>275.77999999999997</v>
      </c>
      <c r="I671" t="s">
        <v>78</v>
      </c>
      <c r="J671" t="s">
        <v>65</v>
      </c>
      <c r="K671" s="7">
        <v>0</v>
      </c>
      <c r="L671" t="s">
        <v>27</v>
      </c>
      <c r="M671" s="5">
        <v>5239.82</v>
      </c>
      <c r="N671" t="s">
        <v>88</v>
      </c>
      <c r="O671" t="s">
        <v>67</v>
      </c>
      <c r="P671" s="5">
        <v>0</v>
      </c>
      <c r="Q671" t="s">
        <v>1387</v>
      </c>
      <c r="R671" t="s">
        <v>1388</v>
      </c>
      <c r="S671" s="5">
        <v>47</v>
      </c>
      <c r="T671" s="3">
        <v>45325</v>
      </c>
      <c r="U671" s="3">
        <v>45327</v>
      </c>
      <c r="V671" t="s">
        <v>74</v>
      </c>
      <c r="W671">
        <f t="shared" si="52"/>
        <v>5239.82</v>
      </c>
      <c r="X671">
        <f t="shared" si="53"/>
        <v>5239.82</v>
      </c>
      <c r="Y671">
        <f t="shared" si="54"/>
        <v>0</v>
      </c>
      <c r="Z671" s="8" t="str">
        <f t="shared" si="51"/>
        <v>No Discount</v>
      </c>
      <c r="AA671" s="12">
        <f>DATE(YEAR(Table1[[#This Row],[OrderDate]]),MONTH(Table1[[#This Row],[OrderDate]]),1)</f>
        <v>45323</v>
      </c>
    </row>
    <row r="672" spans="1:27" x14ac:dyDescent="0.3">
      <c r="A672" s="3">
        <v>45620</v>
      </c>
      <c r="B672" t="s">
        <v>7</v>
      </c>
      <c r="C672" t="s">
        <v>29</v>
      </c>
      <c r="D672" t="str">
        <f>TRIM(Table1[[#This Row],[Product]])</f>
        <v>Chair</v>
      </c>
      <c r="E672" t="str">
        <f>PROPER(Table1[[#This Row],[Column1]])</f>
        <v>Chair</v>
      </c>
      <c r="F672" s="8" t="str">
        <f t="shared" si="50"/>
        <v>Furniture</v>
      </c>
      <c r="G672" s="5">
        <v>12</v>
      </c>
      <c r="H672">
        <v>255.93</v>
      </c>
      <c r="I672" t="s">
        <v>57</v>
      </c>
      <c r="J672" t="s">
        <v>65</v>
      </c>
      <c r="K672" s="7">
        <v>0</v>
      </c>
      <c r="L672" t="s">
        <v>25</v>
      </c>
      <c r="M672" s="5">
        <v>3071.16</v>
      </c>
      <c r="N672" t="s">
        <v>88</v>
      </c>
      <c r="O672" t="s">
        <v>71</v>
      </c>
      <c r="P672" s="5">
        <v>0</v>
      </c>
      <c r="Q672" t="s">
        <v>1389</v>
      </c>
      <c r="R672" t="s">
        <v>1390</v>
      </c>
      <c r="S672" s="5">
        <v>23.74</v>
      </c>
      <c r="T672" s="3">
        <v>45620</v>
      </c>
      <c r="U672" s="3">
        <v>45630</v>
      </c>
      <c r="V672" t="s">
        <v>77</v>
      </c>
      <c r="W672">
        <f t="shared" si="52"/>
        <v>3071.16</v>
      </c>
      <c r="X672">
        <f t="shared" si="53"/>
        <v>3071.16</v>
      </c>
      <c r="Y672">
        <f t="shared" si="54"/>
        <v>0</v>
      </c>
      <c r="Z672" s="8" t="str">
        <f t="shared" si="51"/>
        <v>No Discount</v>
      </c>
      <c r="AA672" s="12">
        <f>DATE(YEAR(Table1[[#This Row],[OrderDate]]),MONTH(Table1[[#This Row],[OrderDate]]),1)</f>
        <v>45597</v>
      </c>
    </row>
    <row r="673" spans="1:27" x14ac:dyDescent="0.3">
      <c r="A673" s="3">
        <v>45357</v>
      </c>
      <c r="B673" t="s">
        <v>16</v>
      </c>
      <c r="C673" t="s">
        <v>33</v>
      </c>
      <c r="D673" t="str">
        <f>TRIM(Table1[[#This Row],[Product]])</f>
        <v>Phone</v>
      </c>
      <c r="E673" t="str">
        <f>PROPER(Table1[[#This Row],[Column1]])</f>
        <v>Phone</v>
      </c>
      <c r="F673" s="8" t="str">
        <f t="shared" si="50"/>
        <v>Technology</v>
      </c>
      <c r="G673" s="5">
        <v>1</v>
      </c>
      <c r="H673">
        <v>381.21</v>
      </c>
      <c r="I673" t="s">
        <v>81</v>
      </c>
      <c r="J673" t="s">
        <v>58</v>
      </c>
      <c r="K673" s="7">
        <v>0.15</v>
      </c>
      <c r="L673" t="s">
        <v>19</v>
      </c>
      <c r="M673" s="5">
        <v>324.02850000000001</v>
      </c>
      <c r="N673" t="s">
        <v>59</v>
      </c>
      <c r="P673" s="5">
        <v>0</v>
      </c>
      <c r="Q673" t="s">
        <v>1391</v>
      </c>
      <c r="R673" t="s">
        <v>1392</v>
      </c>
      <c r="S673" s="5">
        <v>9.9499999999999993</v>
      </c>
      <c r="T673" s="3">
        <v>45357</v>
      </c>
      <c r="U673" s="3">
        <v>45362</v>
      </c>
      <c r="V673" t="s">
        <v>95</v>
      </c>
      <c r="W673">
        <f t="shared" si="52"/>
        <v>275.42422499999998</v>
      </c>
      <c r="X673">
        <f t="shared" si="53"/>
        <v>381.21</v>
      </c>
      <c r="Y673">
        <f t="shared" si="54"/>
        <v>105.785775</v>
      </c>
      <c r="Z673" s="8" t="str">
        <f t="shared" si="51"/>
        <v>High</v>
      </c>
      <c r="AA673" s="12">
        <f>DATE(YEAR(Table1[[#This Row],[OrderDate]]),MONTH(Table1[[#This Row],[OrderDate]]),1)</f>
        <v>45352</v>
      </c>
    </row>
    <row r="674" spans="1:27" x14ac:dyDescent="0.3">
      <c r="A674" s="3">
        <v>45689</v>
      </c>
      <c r="B674" t="s">
        <v>13</v>
      </c>
      <c r="C674" t="s">
        <v>30</v>
      </c>
      <c r="D674" t="str">
        <f>TRIM(Table1[[#This Row],[Product]])</f>
        <v>Desk</v>
      </c>
      <c r="E674" t="str">
        <f>PROPER(Table1[[#This Row],[Column1]])</f>
        <v>Desk</v>
      </c>
      <c r="F674" s="8" t="str">
        <f t="shared" si="50"/>
        <v>Furniture</v>
      </c>
      <c r="G674" s="5">
        <v>5</v>
      </c>
      <c r="H674">
        <v>38.229999999999997</v>
      </c>
      <c r="I674" t="s">
        <v>78</v>
      </c>
      <c r="J674" t="s">
        <v>58</v>
      </c>
      <c r="K674" s="7">
        <v>0.15</v>
      </c>
      <c r="L674" t="s">
        <v>19</v>
      </c>
      <c r="M674" s="5">
        <v>162.47749999999999</v>
      </c>
      <c r="N674" t="s">
        <v>85</v>
      </c>
      <c r="P674" s="5">
        <v>0</v>
      </c>
      <c r="Q674" t="s">
        <v>1393</v>
      </c>
      <c r="R674" t="s">
        <v>1394</v>
      </c>
      <c r="S674" s="5">
        <v>21.06</v>
      </c>
      <c r="T674" s="3">
        <v>45689</v>
      </c>
      <c r="U674" s="3">
        <v>45699</v>
      </c>
      <c r="V674" t="s">
        <v>70</v>
      </c>
      <c r="W674">
        <f t="shared" si="52"/>
        <v>138.105875</v>
      </c>
      <c r="X674">
        <f t="shared" si="53"/>
        <v>191.14999999999998</v>
      </c>
      <c r="Y674">
        <f t="shared" si="54"/>
        <v>53.04412499999998</v>
      </c>
      <c r="Z674" s="8" t="str">
        <f t="shared" si="51"/>
        <v>High</v>
      </c>
      <c r="AA674" s="12">
        <f>DATE(YEAR(Table1[[#This Row],[OrderDate]]),MONTH(Table1[[#This Row],[OrderDate]]),1)</f>
        <v>45689</v>
      </c>
    </row>
    <row r="675" spans="1:27" x14ac:dyDescent="0.3">
      <c r="A675" s="3">
        <v>45447</v>
      </c>
      <c r="B675" t="s">
        <v>7</v>
      </c>
      <c r="C675" t="s">
        <v>31</v>
      </c>
      <c r="D675" t="str">
        <f>TRIM(Table1[[#This Row],[Product]])</f>
        <v>Laptop</v>
      </c>
      <c r="E675" t="str">
        <f>PROPER(Table1[[#This Row],[Column1]])</f>
        <v>Laptop</v>
      </c>
      <c r="F675" s="8" t="str">
        <f t="shared" si="50"/>
        <v>Technology</v>
      </c>
      <c r="G675" s="5">
        <v>7</v>
      </c>
      <c r="H675">
        <v>225.86</v>
      </c>
      <c r="I675" t="s">
        <v>57</v>
      </c>
      <c r="J675" t="s">
        <v>58</v>
      </c>
      <c r="K675" s="7">
        <v>0</v>
      </c>
      <c r="L675" t="s">
        <v>21</v>
      </c>
      <c r="M675" s="5">
        <v>1581.02</v>
      </c>
      <c r="N675" t="s">
        <v>85</v>
      </c>
      <c r="P675" s="5">
        <v>0</v>
      </c>
      <c r="Q675" t="s">
        <v>1395</v>
      </c>
      <c r="R675" t="s">
        <v>1396</v>
      </c>
      <c r="S675" s="5">
        <v>24.48</v>
      </c>
      <c r="T675" s="3">
        <v>45447</v>
      </c>
      <c r="U675" s="3">
        <v>45452</v>
      </c>
      <c r="V675" t="s">
        <v>77</v>
      </c>
      <c r="W675">
        <f t="shared" si="52"/>
        <v>1581.02</v>
      </c>
      <c r="X675">
        <f t="shared" si="53"/>
        <v>1581.02</v>
      </c>
      <c r="Y675">
        <f t="shared" si="54"/>
        <v>0</v>
      </c>
      <c r="Z675" s="8" t="str">
        <f t="shared" si="51"/>
        <v>No Discount</v>
      </c>
      <c r="AA675" s="12">
        <f>DATE(YEAR(Table1[[#This Row],[OrderDate]]),MONTH(Table1[[#This Row],[OrderDate]]),1)</f>
        <v>45444</v>
      </c>
    </row>
    <row r="676" spans="1:27" x14ac:dyDescent="0.3">
      <c r="A676" s="3">
        <v>45144</v>
      </c>
      <c r="B676" t="s">
        <v>7</v>
      </c>
      <c r="C676" t="s">
        <v>30</v>
      </c>
      <c r="D676" t="str">
        <f>TRIM(Table1[[#This Row],[Product]])</f>
        <v>Desk</v>
      </c>
      <c r="E676" t="str">
        <f>PROPER(Table1[[#This Row],[Column1]])</f>
        <v>Desk</v>
      </c>
      <c r="F676" s="8" t="str">
        <f t="shared" si="50"/>
        <v>Furniture</v>
      </c>
      <c r="G676" s="5">
        <v>8</v>
      </c>
      <c r="H676">
        <v>548.02</v>
      </c>
      <c r="I676" t="s">
        <v>81</v>
      </c>
      <c r="J676" t="s">
        <v>65</v>
      </c>
      <c r="K676" s="7">
        <v>0.05</v>
      </c>
      <c r="L676" t="s">
        <v>25</v>
      </c>
      <c r="M676" s="5">
        <v>4164.9519999999993</v>
      </c>
      <c r="N676" t="s">
        <v>59</v>
      </c>
      <c r="P676" s="5">
        <v>0</v>
      </c>
      <c r="Q676" t="s">
        <v>1397</v>
      </c>
      <c r="R676" t="s">
        <v>1398</v>
      </c>
      <c r="S676" s="5">
        <v>33.4</v>
      </c>
      <c r="T676" s="3">
        <v>45144</v>
      </c>
      <c r="U676" s="3">
        <v>45151</v>
      </c>
      <c r="V676" t="s">
        <v>77</v>
      </c>
      <c r="W676">
        <f t="shared" si="52"/>
        <v>3956.7043999999992</v>
      </c>
      <c r="X676">
        <f t="shared" si="53"/>
        <v>4384.16</v>
      </c>
      <c r="Y676">
        <f t="shared" si="54"/>
        <v>427.45560000000069</v>
      </c>
      <c r="Z676" s="8" t="str">
        <f t="shared" si="51"/>
        <v>Medium</v>
      </c>
      <c r="AA676" s="12">
        <f>DATE(YEAR(Table1[[#This Row],[OrderDate]]),MONTH(Table1[[#This Row],[OrderDate]]),1)</f>
        <v>45139</v>
      </c>
    </row>
    <row r="677" spans="1:27" x14ac:dyDescent="0.3">
      <c r="A677" s="3">
        <v>45107</v>
      </c>
      <c r="B677" t="s">
        <v>16</v>
      </c>
      <c r="C677" t="s">
        <v>34</v>
      </c>
      <c r="D677" t="str">
        <f>TRIM(Table1[[#This Row],[Product]])</f>
        <v>Printer</v>
      </c>
      <c r="E677" t="str">
        <f>PROPER(Table1[[#This Row],[Column1]])</f>
        <v>Printer</v>
      </c>
      <c r="F677" s="8" t="str">
        <f t="shared" si="50"/>
        <v>Office Supplies</v>
      </c>
      <c r="G677" s="5">
        <v>18</v>
      </c>
      <c r="H677">
        <v>485.3</v>
      </c>
      <c r="I677" t="s">
        <v>81</v>
      </c>
      <c r="J677" t="s">
        <v>58</v>
      </c>
      <c r="K677" s="7">
        <v>0.05</v>
      </c>
      <c r="L677" t="s">
        <v>19</v>
      </c>
      <c r="M677" s="5">
        <v>8298.6299999999992</v>
      </c>
      <c r="N677" t="s">
        <v>85</v>
      </c>
      <c r="O677" t="s">
        <v>60</v>
      </c>
      <c r="P677" s="5">
        <v>1</v>
      </c>
      <c r="Q677" t="s">
        <v>1399</v>
      </c>
      <c r="R677" t="s">
        <v>1400</v>
      </c>
      <c r="S677" s="5">
        <v>47.77</v>
      </c>
      <c r="T677" s="3">
        <v>45107</v>
      </c>
      <c r="U677" s="3">
        <v>45112</v>
      </c>
      <c r="V677" t="s">
        <v>95</v>
      </c>
      <c r="W677">
        <f t="shared" si="52"/>
        <v>7883.6984999999986</v>
      </c>
      <c r="X677">
        <f t="shared" si="53"/>
        <v>8735.4</v>
      </c>
      <c r="Y677">
        <f t="shared" si="54"/>
        <v>851.70150000000103</v>
      </c>
      <c r="Z677" s="8" t="str">
        <f t="shared" si="51"/>
        <v>Medium</v>
      </c>
      <c r="AA677" s="12">
        <f>DATE(YEAR(Table1[[#This Row],[OrderDate]]),MONTH(Table1[[#This Row],[OrderDate]]),1)</f>
        <v>45078</v>
      </c>
    </row>
    <row r="678" spans="1:27" x14ac:dyDescent="0.3">
      <c r="A678" s="3">
        <v>44972</v>
      </c>
      <c r="B678" t="s">
        <v>16</v>
      </c>
      <c r="C678" t="s">
        <v>34</v>
      </c>
      <c r="D678" t="str">
        <f>TRIM(Table1[[#This Row],[Product]])</f>
        <v>Printer</v>
      </c>
      <c r="E678" t="str">
        <f>PROPER(Table1[[#This Row],[Column1]])</f>
        <v>Printer</v>
      </c>
      <c r="F678" s="8" t="str">
        <f t="shared" si="50"/>
        <v>Office Supplies</v>
      </c>
      <c r="G678" s="5">
        <v>19</v>
      </c>
      <c r="H678">
        <v>414.31</v>
      </c>
      <c r="I678" t="s">
        <v>64</v>
      </c>
      <c r="J678" t="s">
        <v>65</v>
      </c>
      <c r="K678" s="7">
        <v>0.1</v>
      </c>
      <c r="L678" t="s">
        <v>25</v>
      </c>
      <c r="M678" s="5">
        <v>7084.701</v>
      </c>
      <c r="N678" t="s">
        <v>82</v>
      </c>
      <c r="O678" t="s">
        <v>67</v>
      </c>
      <c r="P678" s="5">
        <v>0</v>
      </c>
      <c r="Q678" t="s">
        <v>1401</v>
      </c>
      <c r="R678" t="s">
        <v>1402</v>
      </c>
      <c r="S678" s="5">
        <v>17.43</v>
      </c>
      <c r="T678" s="3">
        <v>44972</v>
      </c>
      <c r="U678" s="3">
        <v>44976</v>
      </c>
      <c r="V678" t="s">
        <v>95</v>
      </c>
      <c r="W678">
        <f t="shared" si="52"/>
        <v>6376.2309000000005</v>
      </c>
      <c r="X678">
        <f t="shared" si="53"/>
        <v>7871.89</v>
      </c>
      <c r="Y678">
        <f t="shared" si="54"/>
        <v>1495.6590999999999</v>
      </c>
      <c r="Z678" s="8" t="str">
        <f t="shared" si="51"/>
        <v>Medium</v>
      </c>
      <c r="AA678" s="12">
        <f>DATE(YEAR(Table1[[#This Row],[OrderDate]]),MONTH(Table1[[#This Row],[OrderDate]]),1)</f>
        <v>44958</v>
      </c>
    </row>
    <row r="679" spans="1:27" x14ac:dyDescent="0.3">
      <c r="A679" s="3">
        <v>45314</v>
      </c>
      <c r="B679" t="s">
        <v>11</v>
      </c>
      <c r="C679" t="s">
        <v>34</v>
      </c>
      <c r="D679" t="str">
        <f>TRIM(Table1[[#This Row],[Product]])</f>
        <v>Printer</v>
      </c>
      <c r="E679" t="str">
        <f>PROPER(Table1[[#This Row],[Column1]])</f>
        <v>Printer</v>
      </c>
      <c r="F679" s="8" t="str">
        <f t="shared" si="50"/>
        <v>Office Supplies</v>
      </c>
      <c r="G679" s="5">
        <v>8</v>
      </c>
      <c r="H679">
        <v>50.72</v>
      </c>
      <c r="I679" t="s">
        <v>64</v>
      </c>
      <c r="J679" t="s">
        <v>58</v>
      </c>
      <c r="K679" s="7">
        <v>0.05</v>
      </c>
      <c r="L679" t="s">
        <v>21</v>
      </c>
      <c r="M679" s="5">
        <v>385.47199999999998</v>
      </c>
      <c r="N679" t="s">
        <v>85</v>
      </c>
      <c r="P679" s="5">
        <v>0</v>
      </c>
      <c r="Q679" t="s">
        <v>1403</v>
      </c>
      <c r="R679" t="s">
        <v>1404</v>
      </c>
      <c r="S679" s="5">
        <v>12.35</v>
      </c>
      <c r="T679" s="3">
        <v>45314</v>
      </c>
      <c r="U679" s="3">
        <v>45321</v>
      </c>
      <c r="V679" t="s">
        <v>74</v>
      </c>
      <c r="W679">
        <f t="shared" si="52"/>
        <v>366.19839999999994</v>
      </c>
      <c r="X679">
        <f t="shared" si="53"/>
        <v>405.76</v>
      </c>
      <c r="Y679">
        <f t="shared" si="54"/>
        <v>39.561600000000055</v>
      </c>
      <c r="Z679" s="8" t="str">
        <f t="shared" si="51"/>
        <v>Medium</v>
      </c>
      <c r="AA679" s="12">
        <f>DATE(YEAR(Table1[[#This Row],[OrderDate]]),MONTH(Table1[[#This Row],[OrderDate]]),1)</f>
        <v>45292</v>
      </c>
    </row>
    <row r="680" spans="1:27" x14ac:dyDescent="0.3">
      <c r="A680" s="3">
        <v>45596</v>
      </c>
      <c r="B680" t="s">
        <v>11</v>
      </c>
      <c r="C680" t="s">
        <v>35</v>
      </c>
      <c r="D680" t="str">
        <f>TRIM(Table1[[#This Row],[Product]])</f>
        <v>Tablet</v>
      </c>
      <c r="E680" t="str">
        <f>PROPER(Table1[[#This Row],[Column1]])</f>
        <v>Tablet</v>
      </c>
      <c r="F680" s="8" t="str">
        <f t="shared" si="50"/>
        <v>Technology</v>
      </c>
      <c r="G680" s="5">
        <v>17</v>
      </c>
      <c r="H680">
        <v>83.26</v>
      </c>
      <c r="I680" t="s">
        <v>64</v>
      </c>
      <c r="J680" t="s">
        <v>58</v>
      </c>
      <c r="K680" s="7">
        <v>0.15</v>
      </c>
      <c r="L680" t="s">
        <v>25</v>
      </c>
      <c r="M680" s="5">
        <v>1203.107</v>
      </c>
      <c r="N680" t="s">
        <v>88</v>
      </c>
      <c r="O680" t="s">
        <v>67</v>
      </c>
      <c r="P680" s="5">
        <v>0</v>
      </c>
      <c r="Q680" t="s">
        <v>1405</v>
      </c>
      <c r="R680" t="s">
        <v>1406</v>
      </c>
      <c r="S680" s="5">
        <v>42.68</v>
      </c>
      <c r="T680" s="3">
        <v>45596</v>
      </c>
      <c r="U680" s="3">
        <v>45602</v>
      </c>
      <c r="V680" t="s">
        <v>74</v>
      </c>
      <c r="W680">
        <f t="shared" si="52"/>
        <v>1022.64095</v>
      </c>
      <c r="X680">
        <f t="shared" si="53"/>
        <v>1415.42</v>
      </c>
      <c r="Y680">
        <f t="shared" si="54"/>
        <v>392.7790500000001</v>
      </c>
      <c r="Z680" s="8" t="str">
        <f t="shared" si="51"/>
        <v>High</v>
      </c>
      <c r="AA680" s="12">
        <f>DATE(YEAR(Table1[[#This Row],[OrderDate]]),MONTH(Table1[[#This Row],[OrderDate]]),1)</f>
        <v>45566</v>
      </c>
    </row>
    <row r="681" spans="1:27" x14ac:dyDescent="0.3">
      <c r="A681" s="3">
        <v>45279</v>
      </c>
      <c r="B681" t="s">
        <v>7</v>
      </c>
      <c r="C681" t="s">
        <v>30</v>
      </c>
      <c r="D681" t="str">
        <f>TRIM(Table1[[#This Row],[Product]])</f>
        <v>Desk</v>
      </c>
      <c r="E681" t="str">
        <f>PROPER(Table1[[#This Row],[Column1]])</f>
        <v>Desk</v>
      </c>
      <c r="F681" s="8" t="str">
        <f t="shared" si="50"/>
        <v>Furniture</v>
      </c>
      <c r="G681" s="5">
        <v>20</v>
      </c>
      <c r="H681">
        <v>51.85</v>
      </c>
      <c r="I681" t="s">
        <v>78</v>
      </c>
      <c r="J681" t="s">
        <v>58</v>
      </c>
      <c r="K681" s="7">
        <v>0.15</v>
      </c>
      <c r="L681" t="s">
        <v>21</v>
      </c>
      <c r="M681" s="5">
        <v>881.44999999999993</v>
      </c>
      <c r="N681" t="s">
        <v>88</v>
      </c>
      <c r="P681" s="5">
        <v>0</v>
      </c>
      <c r="Q681" t="s">
        <v>1407</v>
      </c>
      <c r="R681" t="s">
        <v>1408</v>
      </c>
      <c r="S681" s="5">
        <v>33.159999999999997</v>
      </c>
      <c r="T681" s="3">
        <v>45279</v>
      </c>
      <c r="U681" s="3">
        <v>45281</v>
      </c>
      <c r="V681" t="s">
        <v>77</v>
      </c>
      <c r="W681">
        <f t="shared" si="52"/>
        <v>749.23249999999996</v>
      </c>
      <c r="X681">
        <f t="shared" si="53"/>
        <v>1037</v>
      </c>
      <c r="Y681">
        <f t="shared" si="54"/>
        <v>287.76750000000004</v>
      </c>
      <c r="Z681" s="8" t="str">
        <f t="shared" si="51"/>
        <v>High</v>
      </c>
      <c r="AA681" s="12">
        <f>DATE(YEAR(Table1[[#This Row],[OrderDate]]),MONTH(Table1[[#This Row],[OrderDate]]),1)</f>
        <v>45261</v>
      </c>
    </row>
    <row r="682" spans="1:27" x14ac:dyDescent="0.3">
      <c r="A682" s="3">
        <v>45111</v>
      </c>
      <c r="B682" t="s">
        <v>13</v>
      </c>
      <c r="C682" t="s">
        <v>35</v>
      </c>
      <c r="D682" t="str">
        <f>TRIM(Table1[[#This Row],[Product]])</f>
        <v>Tablet</v>
      </c>
      <c r="E682" t="str">
        <f>PROPER(Table1[[#This Row],[Column1]])</f>
        <v>Tablet</v>
      </c>
      <c r="F682" s="8" t="str">
        <f t="shared" si="50"/>
        <v>Technology</v>
      </c>
      <c r="G682" s="5">
        <v>12</v>
      </c>
      <c r="H682">
        <v>122.51</v>
      </c>
      <c r="I682" t="s">
        <v>57</v>
      </c>
      <c r="J682" t="s">
        <v>58</v>
      </c>
      <c r="K682" s="7">
        <v>0.05</v>
      </c>
      <c r="L682" t="s">
        <v>23</v>
      </c>
      <c r="M682" s="5">
        <v>1396.614</v>
      </c>
      <c r="N682" t="s">
        <v>66</v>
      </c>
      <c r="O682" t="s">
        <v>71</v>
      </c>
      <c r="P682" s="5">
        <v>0</v>
      </c>
      <c r="Q682" t="s">
        <v>1409</v>
      </c>
      <c r="R682" t="s">
        <v>645</v>
      </c>
      <c r="S682" s="5">
        <v>43.47</v>
      </c>
      <c r="T682" s="3">
        <v>45111</v>
      </c>
      <c r="U682" s="3">
        <v>45113</v>
      </c>
      <c r="V682" t="s">
        <v>70</v>
      </c>
      <c r="W682">
        <f t="shared" si="52"/>
        <v>1326.7833000000001</v>
      </c>
      <c r="X682">
        <f t="shared" si="53"/>
        <v>1470.1200000000001</v>
      </c>
      <c r="Y682">
        <f t="shared" si="54"/>
        <v>143.33670000000006</v>
      </c>
      <c r="Z682" s="8" t="str">
        <f t="shared" si="51"/>
        <v>Medium</v>
      </c>
      <c r="AA682" s="12">
        <f>DATE(YEAR(Table1[[#This Row],[OrderDate]]),MONTH(Table1[[#This Row],[OrderDate]]),1)</f>
        <v>45108</v>
      </c>
    </row>
    <row r="683" spans="1:27" x14ac:dyDescent="0.3">
      <c r="A683" s="3">
        <v>45428</v>
      </c>
      <c r="B683" t="s">
        <v>9</v>
      </c>
      <c r="C683" t="s">
        <v>31</v>
      </c>
      <c r="D683" t="str">
        <f>TRIM(Table1[[#This Row],[Product]])</f>
        <v>Laptop</v>
      </c>
      <c r="E683" t="str">
        <f>PROPER(Table1[[#This Row],[Column1]])</f>
        <v>Laptop</v>
      </c>
      <c r="F683" s="8" t="str">
        <f t="shared" si="50"/>
        <v>Technology</v>
      </c>
      <c r="G683" s="5">
        <v>11</v>
      </c>
      <c r="H683">
        <v>222.13</v>
      </c>
      <c r="I683" t="s">
        <v>81</v>
      </c>
      <c r="J683" t="s">
        <v>58</v>
      </c>
      <c r="K683" s="7">
        <v>0.15</v>
      </c>
      <c r="L683" t="s">
        <v>25</v>
      </c>
      <c r="M683" s="5">
        <v>2076.9155000000001</v>
      </c>
      <c r="N683" t="s">
        <v>88</v>
      </c>
      <c r="O683" t="s">
        <v>71</v>
      </c>
      <c r="P683" s="5">
        <v>1</v>
      </c>
      <c r="Q683" t="s">
        <v>1410</v>
      </c>
      <c r="R683" t="s">
        <v>1411</v>
      </c>
      <c r="S683" s="5">
        <v>9.8800000000000008</v>
      </c>
      <c r="T683" s="3">
        <v>45428</v>
      </c>
      <c r="U683" s="3">
        <v>45430</v>
      </c>
      <c r="V683" t="s">
        <v>63</v>
      </c>
      <c r="W683">
        <f t="shared" si="52"/>
        <v>1765.3781750000001</v>
      </c>
      <c r="X683">
        <f t="shared" si="53"/>
        <v>2443.4299999999998</v>
      </c>
      <c r="Y683">
        <f t="shared" si="54"/>
        <v>678.05182499999978</v>
      </c>
      <c r="Z683" s="8" t="str">
        <f t="shared" si="51"/>
        <v>High</v>
      </c>
      <c r="AA683" s="12">
        <f>DATE(YEAR(Table1[[#This Row],[OrderDate]]),MONTH(Table1[[#This Row],[OrderDate]]),1)</f>
        <v>45413</v>
      </c>
    </row>
    <row r="684" spans="1:27" x14ac:dyDescent="0.3">
      <c r="A684" s="3">
        <v>45185</v>
      </c>
      <c r="B684" t="s">
        <v>11</v>
      </c>
      <c r="C684" t="s">
        <v>32</v>
      </c>
      <c r="D684" t="str">
        <f>TRIM(Table1[[#This Row],[Product]])</f>
        <v>Monitor</v>
      </c>
      <c r="E684" t="str">
        <f>PROPER(Table1[[#This Row],[Column1]])</f>
        <v>Monitor</v>
      </c>
      <c r="F684" s="8" t="str">
        <f t="shared" si="50"/>
        <v>Technology</v>
      </c>
      <c r="G684" s="5">
        <v>8</v>
      </c>
      <c r="H684">
        <v>204.84</v>
      </c>
      <c r="I684" t="s">
        <v>78</v>
      </c>
      <c r="J684" t="s">
        <v>65</v>
      </c>
      <c r="K684" s="7">
        <v>0</v>
      </c>
      <c r="L684" t="s">
        <v>19</v>
      </c>
      <c r="M684" s="5">
        <v>1638.72</v>
      </c>
      <c r="N684" t="s">
        <v>88</v>
      </c>
      <c r="P684" s="5">
        <v>0</v>
      </c>
      <c r="Q684" t="s">
        <v>1412</v>
      </c>
      <c r="R684" t="s">
        <v>1413</v>
      </c>
      <c r="S684" s="5">
        <v>43.4</v>
      </c>
      <c r="T684" s="3">
        <v>45185</v>
      </c>
      <c r="U684" s="3">
        <v>45190</v>
      </c>
      <c r="V684" t="s">
        <v>74</v>
      </c>
      <c r="W684">
        <f t="shared" si="52"/>
        <v>1638.72</v>
      </c>
      <c r="X684">
        <f t="shared" si="53"/>
        <v>1638.72</v>
      </c>
      <c r="Y684">
        <f t="shared" si="54"/>
        <v>0</v>
      </c>
      <c r="Z684" s="8" t="str">
        <f t="shared" si="51"/>
        <v>No Discount</v>
      </c>
      <c r="AA684" s="12">
        <f>DATE(YEAR(Table1[[#This Row],[OrderDate]]),MONTH(Table1[[#This Row],[OrderDate]]),1)</f>
        <v>45170</v>
      </c>
    </row>
    <row r="685" spans="1:27" x14ac:dyDescent="0.3">
      <c r="A685" s="3">
        <v>45618</v>
      </c>
      <c r="B685" t="s">
        <v>9</v>
      </c>
      <c r="C685" t="s">
        <v>29</v>
      </c>
      <c r="D685" t="str">
        <f>TRIM(Table1[[#This Row],[Product]])</f>
        <v>Chair</v>
      </c>
      <c r="E685" t="str">
        <f>PROPER(Table1[[#This Row],[Column1]])</f>
        <v>Chair</v>
      </c>
      <c r="F685" s="8" t="str">
        <f t="shared" si="50"/>
        <v>Furniture</v>
      </c>
      <c r="G685" s="5">
        <v>3</v>
      </c>
      <c r="H685">
        <v>536.97</v>
      </c>
      <c r="I685" t="s">
        <v>78</v>
      </c>
      <c r="J685" t="s">
        <v>58</v>
      </c>
      <c r="K685" s="7">
        <v>0</v>
      </c>
      <c r="L685" t="s">
        <v>21</v>
      </c>
      <c r="M685" s="5">
        <v>1610.91</v>
      </c>
      <c r="N685" t="s">
        <v>85</v>
      </c>
      <c r="P685" s="5">
        <v>0</v>
      </c>
      <c r="Q685" t="s">
        <v>1414</v>
      </c>
      <c r="R685" t="s">
        <v>1415</v>
      </c>
      <c r="S685" s="5">
        <v>13.86</v>
      </c>
      <c r="T685" s="3">
        <v>45618</v>
      </c>
      <c r="U685" s="3">
        <v>45627</v>
      </c>
      <c r="V685" t="s">
        <v>63</v>
      </c>
      <c r="W685">
        <f t="shared" si="52"/>
        <v>1610.91</v>
      </c>
      <c r="X685">
        <f t="shared" si="53"/>
        <v>1610.91</v>
      </c>
      <c r="Y685">
        <f t="shared" si="54"/>
        <v>0</v>
      </c>
      <c r="Z685" s="8" t="str">
        <f t="shared" si="51"/>
        <v>No Discount</v>
      </c>
      <c r="AA685" s="12">
        <f>DATE(YEAR(Table1[[#This Row],[OrderDate]]),MONTH(Table1[[#This Row],[OrderDate]]),1)</f>
        <v>45597</v>
      </c>
    </row>
    <row r="686" spans="1:27" x14ac:dyDescent="0.3">
      <c r="A686" s="3">
        <v>45395</v>
      </c>
      <c r="B686" t="s">
        <v>16</v>
      </c>
      <c r="C686" t="s">
        <v>29</v>
      </c>
      <c r="D686" t="str">
        <f>TRIM(Table1[[#This Row],[Product]])</f>
        <v>Chair</v>
      </c>
      <c r="E686" t="str">
        <f>PROPER(Table1[[#This Row],[Column1]])</f>
        <v>Chair</v>
      </c>
      <c r="F686" s="8" t="str">
        <f t="shared" si="50"/>
        <v>Furniture</v>
      </c>
      <c r="G686" s="5">
        <v>15</v>
      </c>
      <c r="H686">
        <v>553.01</v>
      </c>
      <c r="I686" t="s">
        <v>64</v>
      </c>
      <c r="J686" t="s">
        <v>65</v>
      </c>
      <c r="K686" s="7">
        <v>0.1</v>
      </c>
      <c r="L686" t="s">
        <v>21</v>
      </c>
      <c r="M686" s="5">
        <v>7465.6350000000002</v>
      </c>
      <c r="N686" t="s">
        <v>82</v>
      </c>
      <c r="O686" t="s">
        <v>67</v>
      </c>
      <c r="P686" s="5">
        <v>1</v>
      </c>
      <c r="Q686" t="s">
        <v>1416</v>
      </c>
      <c r="R686" t="s">
        <v>1417</v>
      </c>
      <c r="S686" s="5">
        <v>23.3</v>
      </c>
      <c r="T686" s="3">
        <v>45395</v>
      </c>
      <c r="U686" s="3">
        <v>45403</v>
      </c>
      <c r="V686" t="s">
        <v>95</v>
      </c>
      <c r="W686">
        <f t="shared" si="52"/>
        <v>6719.0715</v>
      </c>
      <c r="X686">
        <f t="shared" si="53"/>
        <v>8295.15</v>
      </c>
      <c r="Y686">
        <f t="shared" si="54"/>
        <v>1576.0784999999996</v>
      </c>
      <c r="Z686" s="8" t="str">
        <f t="shared" si="51"/>
        <v>Medium</v>
      </c>
      <c r="AA686" s="12">
        <f>DATE(YEAR(Table1[[#This Row],[OrderDate]]),MONTH(Table1[[#This Row],[OrderDate]]),1)</f>
        <v>45383</v>
      </c>
    </row>
    <row r="687" spans="1:27" x14ac:dyDescent="0.3">
      <c r="A687" s="3">
        <v>45473</v>
      </c>
      <c r="B687" t="s">
        <v>13</v>
      </c>
      <c r="C687" t="s">
        <v>29</v>
      </c>
      <c r="D687" t="str">
        <f>TRIM(Table1[[#This Row],[Product]])</f>
        <v>Chair</v>
      </c>
      <c r="E687" t="str">
        <f>PROPER(Table1[[#This Row],[Column1]])</f>
        <v>Chair</v>
      </c>
      <c r="F687" s="8" t="str">
        <f t="shared" si="50"/>
        <v>Furniture</v>
      </c>
      <c r="G687" s="5">
        <v>20</v>
      </c>
      <c r="H687">
        <v>284.82</v>
      </c>
      <c r="I687" t="s">
        <v>81</v>
      </c>
      <c r="J687" t="s">
        <v>65</v>
      </c>
      <c r="K687" s="7">
        <v>0.1</v>
      </c>
      <c r="L687" t="s">
        <v>18</v>
      </c>
      <c r="M687" s="5">
        <v>5126.76</v>
      </c>
      <c r="N687" t="s">
        <v>82</v>
      </c>
      <c r="O687" t="s">
        <v>71</v>
      </c>
      <c r="P687" s="5">
        <v>1</v>
      </c>
      <c r="Q687" t="s">
        <v>1418</v>
      </c>
      <c r="R687" t="s">
        <v>1419</v>
      </c>
      <c r="S687" s="5">
        <v>27</v>
      </c>
      <c r="T687" s="3">
        <v>45473</v>
      </c>
      <c r="U687" s="3">
        <v>45479</v>
      </c>
      <c r="V687" t="s">
        <v>70</v>
      </c>
      <c r="W687">
        <f t="shared" si="52"/>
        <v>4614.0840000000007</v>
      </c>
      <c r="X687">
        <f t="shared" si="53"/>
        <v>5696.4</v>
      </c>
      <c r="Y687">
        <f t="shared" si="54"/>
        <v>1082.3159999999989</v>
      </c>
      <c r="Z687" s="8" t="str">
        <f t="shared" si="51"/>
        <v>Medium</v>
      </c>
      <c r="AA687" s="12">
        <f>DATE(YEAR(Table1[[#This Row],[OrderDate]]),MONTH(Table1[[#This Row],[OrderDate]]),1)</f>
        <v>45444</v>
      </c>
    </row>
    <row r="688" spans="1:27" x14ac:dyDescent="0.3">
      <c r="A688" s="3">
        <v>45533</v>
      </c>
      <c r="B688" t="s">
        <v>11</v>
      </c>
      <c r="C688" t="s">
        <v>30</v>
      </c>
      <c r="D688" t="str">
        <f>TRIM(Table1[[#This Row],[Product]])</f>
        <v>Desk</v>
      </c>
      <c r="E688" t="str">
        <f>PROPER(Table1[[#This Row],[Column1]])</f>
        <v>Desk</v>
      </c>
      <c r="F688" s="8" t="str">
        <f t="shared" si="50"/>
        <v>Furniture</v>
      </c>
      <c r="G688" s="5">
        <v>18</v>
      </c>
      <c r="H688">
        <v>523.87</v>
      </c>
      <c r="I688" t="s">
        <v>78</v>
      </c>
      <c r="J688" t="s">
        <v>65</v>
      </c>
      <c r="K688" s="7">
        <v>0.15</v>
      </c>
      <c r="L688" t="s">
        <v>23</v>
      </c>
      <c r="M688" s="5">
        <v>8015.2109999999993</v>
      </c>
      <c r="N688" t="s">
        <v>66</v>
      </c>
      <c r="O688" t="s">
        <v>71</v>
      </c>
      <c r="P688" s="5">
        <v>0</v>
      </c>
      <c r="Q688" t="s">
        <v>1420</v>
      </c>
      <c r="R688" t="s">
        <v>1421</v>
      </c>
      <c r="S688" s="5">
        <v>42.63</v>
      </c>
      <c r="T688" s="3">
        <v>45533</v>
      </c>
      <c r="U688" s="3">
        <v>45537</v>
      </c>
      <c r="V688" t="s">
        <v>74</v>
      </c>
      <c r="W688">
        <f t="shared" si="52"/>
        <v>6812.9293499999994</v>
      </c>
      <c r="X688">
        <f t="shared" si="53"/>
        <v>9429.66</v>
      </c>
      <c r="Y688">
        <f t="shared" si="54"/>
        <v>2616.7306500000004</v>
      </c>
      <c r="Z688" s="8" t="str">
        <f t="shared" si="51"/>
        <v>High</v>
      </c>
      <c r="AA688" s="12">
        <f>DATE(YEAR(Table1[[#This Row],[OrderDate]]),MONTH(Table1[[#This Row],[OrderDate]]),1)</f>
        <v>45505</v>
      </c>
    </row>
    <row r="689" spans="1:27" x14ac:dyDescent="0.3">
      <c r="A689" s="3">
        <v>45286</v>
      </c>
      <c r="B689" t="s">
        <v>7</v>
      </c>
      <c r="C689" t="s">
        <v>30</v>
      </c>
      <c r="D689" t="str">
        <f>TRIM(Table1[[#This Row],[Product]])</f>
        <v>Desk</v>
      </c>
      <c r="E689" t="str">
        <f>PROPER(Table1[[#This Row],[Column1]])</f>
        <v>Desk</v>
      </c>
      <c r="F689" s="8" t="str">
        <f t="shared" si="50"/>
        <v>Furniture</v>
      </c>
      <c r="G689" s="5">
        <v>3</v>
      </c>
      <c r="H689">
        <v>232.13</v>
      </c>
      <c r="I689" t="s">
        <v>57</v>
      </c>
      <c r="J689" t="s">
        <v>65</v>
      </c>
      <c r="K689" s="7">
        <v>0.1</v>
      </c>
      <c r="L689" t="s">
        <v>23</v>
      </c>
      <c r="M689" s="5">
        <v>626.75099999999998</v>
      </c>
      <c r="N689" t="s">
        <v>88</v>
      </c>
      <c r="P689" s="5">
        <v>1</v>
      </c>
      <c r="Q689" t="s">
        <v>1422</v>
      </c>
      <c r="R689" t="s">
        <v>1423</v>
      </c>
      <c r="S689" s="5">
        <v>46.65</v>
      </c>
      <c r="T689" s="3">
        <v>45286</v>
      </c>
      <c r="U689" s="3">
        <v>45291</v>
      </c>
      <c r="V689" t="s">
        <v>77</v>
      </c>
      <c r="W689">
        <f t="shared" si="52"/>
        <v>564.07590000000005</v>
      </c>
      <c r="X689">
        <f t="shared" si="53"/>
        <v>696.39</v>
      </c>
      <c r="Y689">
        <f t="shared" si="54"/>
        <v>132.31409999999994</v>
      </c>
      <c r="Z689" s="8" t="str">
        <f t="shared" si="51"/>
        <v>Medium</v>
      </c>
      <c r="AA689" s="12">
        <f>DATE(YEAR(Table1[[#This Row],[OrderDate]]),MONTH(Table1[[#This Row],[OrderDate]]),1)</f>
        <v>45261</v>
      </c>
    </row>
    <row r="690" spans="1:27" x14ac:dyDescent="0.3">
      <c r="A690" s="3">
        <v>45687</v>
      </c>
      <c r="B690" t="s">
        <v>11</v>
      </c>
      <c r="C690" t="s">
        <v>33</v>
      </c>
      <c r="D690" t="str">
        <f>TRIM(Table1[[#This Row],[Product]])</f>
        <v>Phone</v>
      </c>
      <c r="E690" t="str">
        <f>PROPER(Table1[[#This Row],[Column1]])</f>
        <v>Phone</v>
      </c>
      <c r="F690" s="8" t="str">
        <f t="shared" si="50"/>
        <v>Technology</v>
      </c>
      <c r="G690" s="5">
        <v>17</v>
      </c>
      <c r="H690">
        <v>179.32</v>
      </c>
      <c r="I690" t="s">
        <v>64</v>
      </c>
      <c r="J690" t="s">
        <v>65</v>
      </c>
      <c r="K690" s="7">
        <v>0.1</v>
      </c>
      <c r="L690" t="s">
        <v>19</v>
      </c>
      <c r="M690" s="5">
        <v>2743.596</v>
      </c>
      <c r="N690" t="s">
        <v>85</v>
      </c>
      <c r="O690" t="s">
        <v>67</v>
      </c>
      <c r="P690" s="5">
        <v>1</v>
      </c>
      <c r="Q690" t="s">
        <v>1424</v>
      </c>
      <c r="R690" t="s">
        <v>1425</v>
      </c>
      <c r="S690" s="5">
        <v>26.74</v>
      </c>
      <c r="T690" s="3">
        <v>45687</v>
      </c>
      <c r="U690" s="3">
        <v>45694</v>
      </c>
      <c r="V690" t="s">
        <v>74</v>
      </c>
      <c r="W690">
        <f t="shared" si="52"/>
        <v>2469.2364000000002</v>
      </c>
      <c r="X690">
        <f t="shared" si="53"/>
        <v>3048.44</v>
      </c>
      <c r="Y690">
        <f t="shared" si="54"/>
        <v>579.20359999999982</v>
      </c>
      <c r="Z690" s="8" t="str">
        <f t="shared" si="51"/>
        <v>Medium</v>
      </c>
      <c r="AA690" s="12">
        <f>DATE(YEAR(Table1[[#This Row],[OrderDate]]),MONTH(Table1[[#This Row],[OrderDate]]),1)</f>
        <v>45658</v>
      </c>
    </row>
    <row r="691" spans="1:27" x14ac:dyDescent="0.3">
      <c r="A691" s="3">
        <v>45063</v>
      </c>
      <c r="B691" t="s">
        <v>13</v>
      </c>
      <c r="C691" t="s">
        <v>29</v>
      </c>
      <c r="D691" t="str">
        <f>TRIM(Table1[[#This Row],[Product]])</f>
        <v>Chair</v>
      </c>
      <c r="E691" t="str">
        <f>PROPER(Table1[[#This Row],[Column1]])</f>
        <v>Chair</v>
      </c>
      <c r="F691" s="8" t="str">
        <f t="shared" si="50"/>
        <v>Furniture</v>
      </c>
      <c r="G691" s="5">
        <v>1</v>
      </c>
      <c r="H691">
        <v>396.35</v>
      </c>
      <c r="I691" t="s">
        <v>57</v>
      </c>
      <c r="J691" t="s">
        <v>65</v>
      </c>
      <c r="K691" s="7">
        <v>0.15</v>
      </c>
      <c r="L691" t="s">
        <v>27</v>
      </c>
      <c r="M691" s="5">
        <v>336.89749999999998</v>
      </c>
      <c r="N691" t="s">
        <v>85</v>
      </c>
      <c r="O691" t="s">
        <v>67</v>
      </c>
      <c r="P691" s="5">
        <v>1</v>
      </c>
      <c r="Q691" t="s">
        <v>1426</v>
      </c>
      <c r="R691" t="s">
        <v>1427</v>
      </c>
      <c r="S691" s="5">
        <v>19.89</v>
      </c>
      <c r="T691" s="3">
        <v>45063</v>
      </c>
      <c r="U691" s="3">
        <v>45071</v>
      </c>
      <c r="V691" t="s">
        <v>70</v>
      </c>
      <c r="W691">
        <f t="shared" si="52"/>
        <v>286.36287499999997</v>
      </c>
      <c r="X691">
        <f t="shared" si="53"/>
        <v>396.35</v>
      </c>
      <c r="Y691">
        <f t="shared" si="54"/>
        <v>109.98712500000005</v>
      </c>
      <c r="Z691" s="8" t="str">
        <f t="shared" si="51"/>
        <v>High</v>
      </c>
      <c r="AA691" s="12">
        <f>DATE(YEAR(Table1[[#This Row],[OrderDate]]),MONTH(Table1[[#This Row],[OrderDate]]),1)</f>
        <v>45047</v>
      </c>
    </row>
    <row r="692" spans="1:27" x14ac:dyDescent="0.3">
      <c r="A692" s="3">
        <v>45318</v>
      </c>
      <c r="B692" t="s">
        <v>7</v>
      </c>
      <c r="C692" t="s">
        <v>30</v>
      </c>
      <c r="D692" t="str">
        <f>TRIM(Table1[[#This Row],[Product]])</f>
        <v>Desk</v>
      </c>
      <c r="E692" t="str">
        <f>PROPER(Table1[[#This Row],[Column1]])</f>
        <v>Desk</v>
      </c>
      <c r="F692" s="8" t="str">
        <f t="shared" si="50"/>
        <v>Furniture</v>
      </c>
      <c r="G692" s="5">
        <v>17</v>
      </c>
      <c r="H692">
        <v>108.48</v>
      </c>
      <c r="I692" t="s">
        <v>64</v>
      </c>
      <c r="J692" t="s">
        <v>58</v>
      </c>
      <c r="K692" s="7">
        <v>0.1</v>
      </c>
      <c r="L692" t="s">
        <v>21</v>
      </c>
      <c r="M692" s="5">
        <v>1659.7439999999999</v>
      </c>
      <c r="N692" t="s">
        <v>59</v>
      </c>
      <c r="P692" s="5">
        <v>1</v>
      </c>
      <c r="Q692" t="s">
        <v>1428</v>
      </c>
      <c r="R692" t="s">
        <v>1429</v>
      </c>
      <c r="S692" s="5">
        <v>48.9</v>
      </c>
      <c r="T692" s="3">
        <v>45318</v>
      </c>
      <c r="U692" s="3">
        <v>45327</v>
      </c>
      <c r="V692" t="s">
        <v>77</v>
      </c>
      <c r="W692">
        <f t="shared" si="52"/>
        <v>1493.7695999999999</v>
      </c>
      <c r="X692">
        <f t="shared" si="53"/>
        <v>1844.16</v>
      </c>
      <c r="Y692">
        <f t="shared" si="54"/>
        <v>350.39040000000023</v>
      </c>
      <c r="Z692" s="8" t="str">
        <f t="shared" si="51"/>
        <v>Medium</v>
      </c>
      <c r="AA692" s="12">
        <f>DATE(YEAR(Table1[[#This Row],[OrderDate]]),MONTH(Table1[[#This Row],[OrderDate]]),1)</f>
        <v>45292</v>
      </c>
    </row>
    <row r="693" spans="1:27" x14ac:dyDescent="0.3">
      <c r="A693" s="3">
        <v>45803</v>
      </c>
      <c r="B693" t="s">
        <v>9</v>
      </c>
      <c r="C693" t="s">
        <v>34</v>
      </c>
      <c r="D693" t="str">
        <f>TRIM(Table1[[#This Row],[Product]])</f>
        <v>Printer</v>
      </c>
      <c r="E693" t="str">
        <f>PROPER(Table1[[#This Row],[Column1]])</f>
        <v>Printer</v>
      </c>
      <c r="F693" s="8" t="str">
        <f t="shared" si="50"/>
        <v>Office Supplies</v>
      </c>
      <c r="G693" s="5">
        <v>10</v>
      </c>
      <c r="H693">
        <v>149.66999999999999</v>
      </c>
      <c r="I693" t="s">
        <v>81</v>
      </c>
      <c r="J693" t="s">
        <v>65</v>
      </c>
      <c r="K693" s="7">
        <v>0.1</v>
      </c>
      <c r="L693" t="s">
        <v>21</v>
      </c>
      <c r="M693" s="5">
        <v>1347.03</v>
      </c>
      <c r="N693" t="s">
        <v>88</v>
      </c>
      <c r="O693" t="s">
        <v>60</v>
      </c>
      <c r="P693" s="5">
        <v>1</v>
      </c>
      <c r="Q693" t="s">
        <v>1430</v>
      </c>
      <c r="R693" t="s">
        <v>1431</v>
      </c>
      <c r="S693" s="5">
        <v>49.67</v>
      </c>
      <c r="T693" s="3">
        <v>45803</v>
      </c>
      <c r="U693" s="3">
        <v>45810</v>
      </c>
      <c r="V693" t="s">
        <v>63</v>
      </c>
      <c r="W693">
        <f t="shared" si="52"/>
        <v>1212.327</v>
      </c>
      <c r="X693">
        <f t="shared" si="53"/>
        <v>1496.6999999999998</v>
      </c>
      <c r="Y693">
        <f t="shared" si="54"/>
        <v>284.37299999999982</v>
      </c>
      <c r="Z693" s="8" t="str">
        <f t="shared" si="51"/>
        <v>Medium</v>
      </c>
      <c r="AA693" s="12">
        <f>DATE(YEAR(Table1[[#This Row],[OrderDate]]),MONTH(Table1[[#This Row],[OrderDate]]),1)</f>
        <v>45778</v>
      </c>
    </row>
    <row r="694" spans="1:27" x14ac:dyDescent="0.3">
      <c r="A694" s="3">
        <v>45725</v>
      </c>
      <c r="B694" t="s">
        <v>11</v>
      </c>
      <c r="C694" t="s">
        <v>33</v>
      </c>
      <c r="D694" t="str">
        <f>TRIM(Table1[[#This Row],[Product]])</f>
        <v>Phone</v>
      </c>
      <c r="E694" t="str">
        <f>PROPER(Table1[[#This Row],[Column1]])</f>
        <v>Phone</v>
      </c>
      <c r="F694" s="8" t="str">
        <f t="shared" si="50"/>
        <v>Technology</v>
      </c>
      <c r="G694" s="5">
        <v>1</v>
      </c>
      <c r="H694">
        <v>506.41</v>
      </c>
      <c r="I694" t="s">
        <v>81</v>
      </c>
      <c r="J694" t="s">
        <v>58</v>
      </c>
      <c r="K694" s="7">
        <v>0</v>
      </c>
      <c r="L694" t="s">
        <v>19</v>
      </c>
      <c r="M694" s="5">
        <v>506.41</v>
      </c>
      <c r="N694" t="s">
        <v>88</v>
      </c>
      <c r="P694" s="5">
        <v>0</v>
      </c>
      <c r="Q694" t="s">
        <v>1432</v>
      </c>
      <c r="R694" t="s">
        <v>1433</v>
      </c>
      <c r="S694" s="5">
        <v>17.899999999999999</v>
      </c>
      <c r="T694" s="3">
        <v>45725</v>
      </c>
      <c r="U694" s="3">
        <v>45733</v>
      </c>
      <c r="V694" t="s">
        <v>74</v>
      </c>
      <c r="W694">
        <f t="shared" si="52"/>
        <v>506.41</v>
      </c>
      <c r="X694">
        <f t="shared" si="53"/>
        <v>506.41</v>
      </c>
      <c r="Y694">
        <f t="shared" si="54"/>
        <v>0</v>
      </c>
      <c r="Z694" s="8" t="str">
        <f t="shared" si="51"/>
        <v>No Discount</v>
      </c>
      <c r="AA694" s="12">
        <f>DATE(YEAR(Table1[[#This Row],[OrderDate]]),MONTH(Table1[[#This Row],[OrderDate]]),1)</f>
        <v>45717</v>
      </c>
    </row>
    <row r="695" spans="1:27" x14ac:dyDescent="0.3">
      <c r="A695" s="3">
        <v>45344</v>
      </c>
      <c r="B695" t="s">
        <v>16</v>
      </c>
      <c r="C695" t="s">
        <v>35</v>
      </c>
      <c r="D695" t="str">
        <f>TRIM(Table1[[#This Row],[Product]])</f>
        <v>Tablet</v>
      </c>
      <c r="E695" t="str">
        <f>PROPER(Table1[[#This Row],[Column1]])</f>
        <v>Tablet</v>
      </c>
      <c r="F695" s="8" t="str">
        <f t="shared" si="50"/>
        <v>Technology</v>
      </c>
      <c r="G695" s="5">
        <v>6</v>
      </c>
      <c r="H695">
        <v>345.9</v>
      </c>
      <c r="I695" t="s">
        <v>57</v>
      </c>
      <c r="J695" t="s">
        <v>65</v>
      </c>
      <c r="K695" s="7">
        <v>0.15</v>
      </c>
      <c r="L695" t="s">
        <v>27</v>
      </c>
      <c r="M695" s="5">
        <v>1764.09</v>
      </c>
      <c r="N695" t="s">
        <v>82</v>
      </c>
      <c r="O695" t="s">
        <v>71</v>
      </c>
      <c r="P695" s="5">
        <v>0</v>
      </c>
      <c r="Q695" t="s">
        <v>1434</v>
      </c>
      <c r="R695" t="s">
        <v>1435</v>
      </c>
      <c r="S695" s="5">
        <v>30.58</v>
      </c>
      <c r="T695" s="3">
        <v>45344</v>
      </c>
      <c r="U695" s="3">
        <v>45354</v>
      </c>
      <c r="V695" t="s">
        <v>95</v>
      </c>
      <c r="W695">
        <f t="shared" si="52"/>
        <v>1499.4765</v>
      </c>
      <c r="X695">
        <f t="shared" si="53"/>
        <v>2075.3999999999996</v>
      </c>
      <c r="Y695">
        <f t="shared" si="54"/>
        <v>575.92349999999965</v>
      </c>
      <c r="Z695" s="8" t="str">
        <f t="shared" si="51"/>
        <v>High</v>
      </c>
      <c r="AA695" s="12">
        <f>DATE(YEAR(Table1[[#This Row],[OrderDate]]),MONTH(Table1[[#This Row],[OrderDate]]),1)</f>
        <v>45323</v>
      </c>
    </row>
    <row r="696" spans="1:27" x14ac:dyDescent="0.3">
      <c r="A696" s="3">
        <v>45691</v>
      </c>
      <c r="B696" t="s">
        <v>9</v>
      </c>
      <c r="C696" t="s">
        <v>35</v>
      </c>
      <c r="D696" t="str">
        <f>TRIM(Table1[[#This Row],[Product]])</f>
        <v>Tablet</v>
      </c>
      <c r="E696" t="str">
        <f>PROPER(Table1[[#This Row],[Column1]])</f>
        <v>Tablet</v>
      </c>
      <c r="F696" s="8" t="str">
        <f t="shared" si="50"/>
        <v>Technology</v>
      </c>
      <c r="G696" s="5">
        <v>15</v>
      </c>
      <c r="H696">
        <v>342.04</v>
      </c>
      <c r="I696" t="s">
        <v>78</v>
      </c>
      <c r="J696" t="s">
        <v>65</v>
      </c>
      <c r="K696" s="7">
        <v>0.15</v>
      </c>
      <c r="L696" t="s">
        <v>23</v>
      </c>
      <c r="M696" s="5">
        <v>4361.01</v>
      </c>
      <c r="N696" t="s">
        <v>66</v>
      </c>
      <c r="O696" t="s">
        <v>71</v>
      </c>
      <c r="P696" s="5">
        <v>0</v>
      </c>
      <c r="Q696" t="s">
        <v>1436</v>
      </c>
      <c r="R696" t="s">
        <v>1437</v>
      </c>
      <c r="S696" s="5">
        <v>44.91</v>
      </c>
      <c r="T696" s="3">
        <v>45691</v>
      </c>
      <c r="U696" s="3">
        <v>45696</v>
      </c>
      <c r="V696" t="s">
        <v>63</v>
      </c>
      <c r="W696">
        <f t="shared" si="52"/>
        <v>3706.8585000000003</v>
      </c>
      <c r="X696">
        <f t="shared" si="53"/>
        <v>5130.6000000000004</v>
      </c>
      <c r="Y696">
        <f t="shared" si="54"/>
        <v>1423.7415000000001</v>
      </c>
      <c r="Z696" s="8" t="str">
        <f t="shared" si="51"/>
        <v>High</v>
      </c>
      <c r="AA696" s="12">
        <f>DATE(YEAR(Table1[[#This Row],[OrderDate]]),MONTH(Table1[[#This Row],[OrderDate]]),1)</f>
        <v>45689</v>
      </c>
    </row>
    <row r="697" spans="1:27" x14ac:dyDescent="0.3">
      <c r="A697" s="3">
        <v>45300</v>
      </c>
      <c r="B697" t="s">
        <v>7</v>
      </c>
      <c r="C697" t="s">
        <v>34</v>
      </c>
      <c r="D697" t="str">
        <f>TRIM(Table1[[#This Row],[Product]])</f>
        <v>Printer</v>
      </c>
      <c r="E697" t="str">
        <f>PROPER(Table1[[#This Row],[Column1]])</f>
        <v>Printer</v>
      </c>
      <c r="F697" s="8" t="str">
        <f t="shared" si="50"/>
        <v>Office Supplies</v>
      </c>
      <c r="G697" s="5">
        <v>11</v>
      </c>
      <c r="H697">
        <v>404.88</v>
      </c>
      <c r="I697" t="s">
        <v>64</v>
      </c>
      <c r="J697" t="s">
        <v>58</v>
      </c>
      <c r="K697" s="7">
        <v>0.05</v>
      </c>
      <c r="L697" t="s">
        <v>18</v>
      </c>
      <c r="M697" s="5">
        <v>4230.9960000000001</v>
      </c>
      <c r="N697" t="s">
        <v>66</v>
      </c>
      <c r="O697" t="s">
        <v>67</v>
      </c>
      <c r="P697" s="5">
        <v>0</v>
      </c>
      <c r="Q697" t="s">
        <v>1438</v>
      </c>
      <c r="R697" t="s">
        <v>1439</v>
      </c>
      <c r="S697" s="5">
        <v>18.920000000000002</v>
      </c>
      <c r="T697" s="3">
        <v>45300</v>
      </c>
      <c r="U697" s="3">
        <v>45307</v>
      </c>
      <c r="V697" t="s">
        <v>77</v>
      </c>
      <c r="W697">
        <f t="shared" si="52"/>
        <v>4019.4461999999999</v>
      </c>
      <c r="X697">
        <f t="shared" si="53"/>
        <v>4453.68</v>
      </c>
      <c r="Y697">
        <f t="shared" si="54"/>
        <v>434.23380000000043</v>
      </c>
      <c r="Z697" s="8" t="str">
        <f t="shared" si="51"/>
        <v>Medium</v>
      </c>
      <c r="AA697" s="12">
        <f>DATE(YEAR(Table1[[#This Row],[OrderDate]]),MONTH(Table1[[#This Row],[OrderDate]]),1)</f>
        <v>45292</v>
      </c>
    </row>
    <row r="698" spans="1:27" x14ac:dyDescent="0.3">
      <c r="A698" s="3">
        <v>45782</v>
      </c>
      <c r="B698" t="s">
        <v>11</v>
      </c>
      <c r="C698" t="s">
        <v>30</v>
      </c>
      <c r="D698" t="str">
        <f>TRIM(Table1[[#This Row],[Product]])</f>
        <v>Desk</v>
      </c>
      <c r="E698" t="str">
        <f>PROPER(Table1[[#This Row],[Column1]])</f>
        <v>Desk</v>
      </c>
      <c r="F698" s="8" t="str">
        <f t="shared" si="50"/>
        <v>Furniture</v>
      </c>
      <c r="G698" s="5">
        <v>9</v>
      </c>
      <c r="H698">
        <v>292.45999999999998</v>
      </c>
      <c r="I698" t="s">
        <v>64</v>
      </c>
      <c r="J698" t="s">
        <v>58</v>
      </c>
      <c r="K698" s="7">
        <v>0.05</v>
      </c>
      <c r="L698" t="s">
        <v>21</v>
      </c>
      <c r="M698" s="5">
        <v>2500.5329999999999</v>
      </c>
      <c r="N698" t="s">
        <v>82</v>
      </c>
      <c r="P698" s="5">
        <v>0</v>
      </c>
      <c r="Q698" t="s">
        <v>1440</v>
      </c>
      <c r="R698" t="s">
        <v>1441</v>
      </c>
      <c r="S698" s="5">
        <v>34.26</v>
      </c>
      <c r="T698" s="3">
        <v>45782</v>
      </c>
      <c r="U698" s="3">
        <v>45791</v>
      </c>
      <c r="V698" t="s">
        <v>74</v>
      </c>
      <c r="W698">
        <f t="shared" si="52"/>
        <v>2375.5063499999997</v>
      </c>
      <c r="X698">
        <f t="shared" si="53"/>
        <v>2632.14</v>
      </c>
      <c r="Y698">
        <f t="shared" si="54"/>
        <v>256.63365000000022</v>
      </c>
      <c r="Z698" s="8" t="str">
        <f t="shared" si="51"/>
        <v>Medium</v>
      </c>
      <c r="AA698" s="12">
        <f>DATE(YEAR(Table1[[#This Row],[OrderDate]]),MONTH(Table1[[#This Row],[OrderDate]]),1)</f>
        <v>45778</v>
      </c>
    </row>
    <row r="699" spans="1:27" x14ac:dyDescent="0.3">
      <c r="A699" s="3">
        <v>45033</v>
      </c>
      <c r="B699" t="s">
        <v>7</v>
      </c>
      <c r="C699" t="s">
        <v>30</v>
      </c>
      <c r="D699" t="str">
        <f>TRIM(Table1[[#This Row],[Product]])</f>
        <v>Desk</v>
      </c>
      <c r="E699" t="str">
        <f>PROPER(Table1[[#This Row],[Column1]])</f>
        <v>Desk</v>
      </c>
      <c r="F699" s="8" t="str">
        <f t="shared" si="50"/>
        <v>Furniture</v>
      </c>
      <c r="G699" s="5">
        <v>5</v>
      </c>
      <c r="H699">
        <v>547.53</v>
      </c>
      <c r="I699" t="s">
        <v>64</v>
      </c>
      <c r="J699" t="s">
        <v>65</v>
      </c>
      <c r="K699" s="7">
        <v>0.1</v>
      </c>
      <c r="L699" t="s">
        <v>25</v>
      </c>
      <c r="M699" s="5">
        <v>2463.8850000000002</v>
      </c>
      <c r="N699" t="s">
        <v>85</v>
      </c>
      <c r="P699" s="5">
        <v>0</v>
      </c>
      <c r="Q699" t="s">
        <v>1442</v>
      </c>
      <c r="R699" t="s">
        <v>1443</v>
      </c>
      <c r="S699" s="5">
        <v>24.68</v>
      </c>
      <c r="T699" s="3">
        <v>45033</v>
      </c>
      <c r="U699" s="3">
        <v>45037</v>
      </c>
      <c r="V699" t="s">
        <v>77</v>
      </c>
      <c r="W699">
        <f t="shared" si="52"/>
        <v>2217.4965000000002</v>
      </c>
      <c r="X699">
        <f t="shared" si="53"/>
        <v>2737.6499999999996</v>
      </c>
      <c r="Y699">
        <f t="shared" si="54"/>
        <v>520.15349999999944</v>
      </c>
      <c r="Z699" s="8" t="str">
        <f t="shared" si="51"/>
        <v>Medium</v>
      </c>
      <c r="AA699" s="12">
        <f>DATE(YEAR(Table1[[#This Row],[OrderDate]]),MONTH(Table1[[#This Row],[OrderDate]]),1)</f>
        <v>45017</v>
      </c>
    </row>
    <row r="700" spans="1:27" x14ac:dyDescent="0.3">
      <c r="A700" s="3">
        <v>45459</v>
      </c>
      <c r="B700" t="s">
        <v>13</v>
      </c>
      <c r="C700" t="s">
        <v>30</v>
      </c>
      <c r="D700" t="str">
        <f>TRIM(Table1[[#This Row],[Product]])</f>
        <v>Desk</v>
      </c>
      <c r="E700" t="str">
        <f>PROPER(Table1[[#This Row],[Column1]])</f>
        <v>Desk</v>
      </c>
      <c r="F700" s="8" t="str">
        <f t="shared" si="50"/>
        <v>Furniture</v>
      </c>
      <c r="G700" s="5">
        <v>12</v>
      </c>
      <c r="H700">
        <v>348.88</v>
      </c>
      <c r="I700" t="s">
        <v>78</v>
      </c>
      <c r="J700" t="s">
        <v>58</v>
      </c>
      <c r="K700" s="7">
        <v>0</v>
      </c>
      <c r="L700" t="s">
        <v>18</v>
      </c>
      <c r="M700" s="5">
        <v>4186.5599999999986</v>
      </c>
      <c r="N700" t="s">
        <v>82</v>
      </c>
      <c r="O700" t="s">
        <v>67</v>
      </c>
      <c r="P700" s="5">
        <v>0</v>
      </c>
      <c r="Q700" t="s">
        <v>1444</v>
      </c>
      <c r="R700" t="s">
        <v>1445</v>
      </c>
      <c r="S700" s="5">
        <v>31.28</v>
      </c>
      <c r="T700" s="3">
        <v>45459</v>
      </c>
      <c r="U700" s="3">
        <v>45464</v>
      </c>
      <c r="V700" t="s">
        <v>70</v>
      </c>
      <c r="W700">
        <f t="shared" si="52"/>
        <v>4186.5599999999986</v>
      </c>
      <c r="X700">
        <f t="shared" si="53"/>
        <v>4186.5599999999995</v>
      </c>
      <c r="Y700">
        <f t="shared" si="54"/>
        <v>0</v>
      </c>
      <c r="Z700" s="8" t="str">
        <f t="shared" si="51"/>
        <v>No Discount</v>
      </c>
      <c r="AA700" s="12">
        <f>DATE(YEAR(Table1[[#This Row],[OrderDate]]),MONTH(Table1[[#This Row],[OrderDate]]),1)</f>
        <v>45444</v>
      </c>
    </row>
    <row r="701" spans="1:27" x14ac:dyDescent="0.3">
      <c r="A701" s="3">
        <v>45597</v>
      </c>
      <c r="B701" t="s">
        <v>13</v>
      </c>
      <c r="C701" t="s">
        <v>33</v>
      </c>
      <c r="D701" t="str">
        <f>TRIM(Table1[[#This Row],[Product]])</f>
        <v>Phone</v>
      </c>
      <c r="E701" t="str">
        <f>PROPER(Table1[[#This Row],[Column1]])</f>
        <v>Phone</v>
      </c>
      <c r="F701" s="8" t="str">
        <f t="shared" si="50"/>
        <v>Technology</v>
      </c>
      <c r="G701" s="5">
        <v>15</v>
      </c>
      <c r="H701">
        <v>486.03</v>
      </c>
      <c r="I701" t="s">
        <v>78</v>
      </c>
      <c r="J701" t="s">
        <v>58</v>
      </c>
      <c r="K701" s="7">
        <v>0</v>
      </c>
      <c r="L701" t="s">
        <v>18</v>
      </c>
      <c r="M701" s="5">
        <v>7290.45</v>
      </c>
      <c r="N701" t="s">
        <v>85</v>
      </c>
      <c r="O701" t="s">
        <v>71</v>
      </c>
      <c r="P701" s="5">
        <v>0</v>
      </c>
      <c r="Q701" t="s">
        <v>1446</v>
      </c>
      <c r="R701" t="s">
        <v>1447</v>
      </c>
      <c r="S701" s="5">
        <v>14.9</v>
      </c>
      <c r="T701" s="3">
        <v>45597</v>
      </c>
      <c r="U701" s="3">
        <v>45600</v>
      </c>
      <c r="V701" t="s">
        <v>70</v>
      </c>
      <c r="W701">
        <f t="shared" si="52"/>
        <v>7290.45</v>
      </c>
      <c r="X701">
        <f t="shared" si="53"/>
        <v>7290.45</v>
      </c>
      <c r="Y701">
        <f t="shared" si="54"/>
        <v>0</v>
      </c>
      <c r="Z701" s="8" t="str">
        <f t="shared" si="51"/>
        <v>No Discount</v>
      </c>
      <c r="AA701" s="12">
        <f>DATE(YEAR(Table1[[#This Row],[OrderDate]]),MONTH(Table1[[#This Row],[OrderDate]]),1)</f>
        <v>45597</v>
      </c>
    </row>
    <row r="702" spans="1:27" x14ac:dyDescent="0.3">
      <c r="A702" s="3">
        <v>45695</v>
      </c>
      <c r="B702" t="s">
        <v>9</v>
      </c>
      <c r="C702" t="s">
        <v>35</v>
      </c>
      <c r="D702" t="str">
        <f>TRIM(Table1[[#This Row],[Product]])</f>
        <v>Tablet</v>
      </c>
      <c r="E702" t="str">
        <f>PROPER(Table1[[#This Row],[Column1]])</f>
        <v>Tablet</v>
      </c>
      <c r="F702" s="8" t="str">
        <f t="shared" si="50"/>
        <v>Technology</v>
      </c>
      <c r="G702" s="5">
        <v>14</v>
      </c>
      <c r="H702">
        <v>159.09</v>
      </c>
      <c r="I702" t="s">
        <v>78</v>
      </c>
      <c r="J702" t="s">
        <v>65</v>
      </c>
      <c r="K702" s="7">
        <v>0.15</v>
      </c>
      <c r="L702" t="s">
        <v>19</v>
      </c>
      <c r="M702" s="5">
        <v>1893.171</v>
      </c>
      <c r="N702" t="s">
        <v>85</v>
      </c>
      <c r="O702" t="s">
        <v>60</v>
      </c>
      <c r="P702" s="5">
        <v>0</v>
      </c>
      <c r="Q702" t="s">
        <v>1448</v>
      </c>
      <c r="R702" t="s">
        <v>1449</v>
      </c>
      <c r="S702" s="5">
        <v>27.05</v>
      </c>
      <c r="T702" s="3">
        <v>45695</v>
      </c>
      <c r="U702" s="3">
        <v>45698</v>
      </c>
      <c r="V702" t="s">
        <v>63</v>
      </c>
      <c r="W702">
        <f t="shared" si="52"/>
        <v>1609.19535</v>
      </c>
      <c r="X702">
        <f t="shared" si="53"/>
        <v>2227.2600000000002</v>
      </c>
      <c r="Y702">
        <f t="shared" si="54"/>
        <v>618.06465000000026</v>
      </c>
      <c r="Z702" s="8" t="str">
        <f t="shared" si="51"/>
        <v>High</v>
      </c>
      <c r="AA702" s="12">
        <f>DATE(YEAR(Table1[[#This Row],[OrderDate]]),MONTH(Table1[[#This Row],[OrderDate]]),1)</f>
        <v>45689</v>
      </c>
    </row>
    <row r="703" spans="1:27" x14ac:dyDescent="0.3">
      <c r="A703" s="3">
        <v>45620</v>
      </c>
      <c r="B703" t="s">
        <v>13</v>
      </c>
      <c r="C703" t="s">
        <v>32</v>
      </c>
      <c r="D703" t="str">
        <f>TRIM(Table1[[#This Row],[Product]])</f>
        <v>Monitor</v>
      </c>
      <c r="E703" t="str">
        <f>PROPER(Table1[[#This Row],[Column1]])</f>
        <v>Monitor</v>
      </c>
      <c r="F703" s="8" t="str">
        <f t="shared" si="50"/>
        <v>Technology</v>
      </c>
      <c r="G703" s="5">
        <v>12</v>
      </c>
      <c r="H703">
        <v>173.79</v>
      </c>
      <c r="I703" t="s">
        <v>81</v>
      </c>
      <c r="J703" t="s">
        <v>65</v>
      </c>
      <c r="K703" s="7">
        <v>0.15</v>
      </c>
      <c r="L703" t="s">
        <v>25</v>
      </c>
      <c r="M703" s="5">
        <v>1772.6579999999999</v>
      </c>
      <c r="N703" t="s">
        <v>82</v>
      </c>
      <c r="P703" s="5">
        <v>0</v>
      </c>
      <c r="Q703" t="s">
        <v>1450</v>
      </c>
      <c r="R703" t="s">
        <v>1451</v>
      </c>
      <c r="S703" s="5">
        <v>21.23</v>
      </c>
      <c r="T703" s="3">
        <v>45620</v>
      </c>
      <c r="U703" s="3">
        <v>45630</v>
      </c>
      <c r="V703" t="s">
        <v>70</v>
      </c>
      <c r="W703">
        <f t="shared" si="52"/>
        <v>1506.7592999999999</v>
      </c>
      <c r="X703">
        <f t="shared" si="53"/>
        <v>2085.48</v>
      </c>
      <c r="Y703">
        <f t="shared" si="54"/>
        <v>578.72070000000008</v>
      </c>
      <c r="Z703" s="8" t="str">
        <f t="shared" si="51"/>
        <v>High</v>
      </c>
      <c r="AA703" s="12">
        <f>DATE(YEAR(Table1[[#This Row],[OrderDate]]),MONTH(Table1[[#This Row],[OrderDate]]),1)</f>
        <v>45597</v>
      </c>
    </row>
    <row r="704" spans="1:27" x14ac:dyDescent="0.3">
      <c r="A704" s="3">
        <v>45405</v>
      </c>
      <c r="B704" t="s">
        <v>7</v>
      </c>
      <c r="C704" t="s">
        <v>32</v>
      </c>
      <c r="D704" t="str">
        <f>TRIM(Table1[[#This Row],[Product]])</f>
        <v>Monitor</v>
      </c>
      <c r="E704" t="str">
        <f>PROPER(Table1[[#This Row],[Column1]])</f>
        <v>Monitor</v>
      </c>
      <c r="F704" s="8" t="str">
        <f t="shared" si="50"/>
        <v>Technology</v>
      </c>
      <c r="G704" s="5">
        <v>13</v>
      </c>
      <c r="H704">
        <v>439.75</v>
      </c>
      <c r="I704" t="s">
        <v>64</v>
      </c>
      <c r="J704" t="s">
        <v>58</v>
      </c>
      <c r="K704" s="7">
        <v>0</v>
      </c>
      <c r="L704" t="s">
        <v>27</v>
      </c>
      <c r="M704" s="5">
        <v>5716.75</v>
      </c>
      <c r="N704" t="s">
        <v>59</v>
      </c>
      <c r="P704" s="5">
        <v>1</v>
      </c>
      <c r="Q704" t="s">
        <v>1452</v>
      </c>
      <c r="R704" t="s">
        <v>677</v>
      </c>
      <c r="S704" s="5">
        <v>12.23</v>
      </c>
      <c r="T704" s="3">
        <v>45405</v>
      </c>
      <c r="U704" s="3">
        <v>45414</v>
      </c>
      <c r="V704" t="s">
        <v>77</v>
      </c>
      <c r="W704">
        <f t="shared" si="52"/>
        <v>5716.75</v>
      </c>
      <c r="X704">
        <f t="shared" si="53"/>
        <v>5716.75</v>
      </c>
      <c r="Y704">
        <f t="shared" si="54"/>
        <v>0</v>
      </c>
      <c r="Z704" s="8" t="str">
        <f t="shared" si="51"/>
        <v>No Discount</v>
      </c>
      <c r="AA704" s="12">
        <f>DATE(YEAR(Table1[[#This Row],[OrderDate]]),MONTH(Table1[[#This Row],[OrderDate]]),1)</f>
        <v>45383</v>
      </c>
    </row>
    <row r="705" spans="1:27" x14ac:dyDescent="0.3">
      <c r="A705" s="3">
        <v>45467</v>
      </c>
      <c r="B705" t="s">
        <v>9</v>
      </c>
      <c r="C705" t="s">
        <v>31</v>
      </c>
      <c r="D705" t="str">
        <f>TRIM(Table1[[#This Row],[Product]])</f>
        <v>Laptop</v>
      </c>
      <c r="E705" t="str">
        <f>PROPER(Table1[[#This Row],[Column1]])</f>
        <v>Laptop</v>
      </c>
      <c r="F705" s="8" t="str">
        <f t="shared" si="50"/>
        <v>Technology</v>
      </c>
      <c r="G705" s="5">
        <v>9</v>
      </c>
      <c r="H705">
        <v>265.43</v>
      </c>
      <c r="I705" t="s">
        <v>81</v>
      </c>
      <c r="J705" t="s">
        <v>58</v>
      </c>
      <c r="K705" s="7">
        <v>0.05</v>
      </c>
      <c r="L705" t="s">
        <v>25</v>
      </c>
      <c r="M705" s="5">
        <v>2269.4265</v>
      </c>
      <c r="N705" t="s">
        <v>82</v>
      </c>
      <c r="O705" t="s">
        <v>60</v>
      </c>
      <c r="P705" s="5">
        <v>0</v>
      </c>
      <c r="Q705" t="s">
        <v>1453</v>
      </c>
      <c r="R705" t="s">
        <v>1454</v>
      </c>
      <c r="S705" s="5">
        <v>40.18</v>
      </c>
      <c r="T705" s="3">
        <v>45467</v>
      </c>
      <c r="U705" s="3">
        <v>45470</v>
      </c>
      <c r="V705" t="s">
        <v>63</v>
      </c>
      <c r="W705">
        <f t="shared" si="52"/>
        <v>2155.9551750000001</v>
      </c>
      <c r="X705">
        <f t="shared" si="53"/>
        <v>2388.87</v>
      </c>
      <c r="Y705">
        <f t="shared" si="54"/>
        <v>232.91482499999984</v>
      </c>
      <c r="Z705" s="8" t="str">
        <f t="shared" si="51"/>
        <v>Medium</v>
      </c>
      <c r="AA705" s="12">
        <f>DATE(YEAR(Table1[[#This Row],[OrderDate]]),MONTH(Table1[[#This Row],[OrderDate]]),1)</f>
        <v>45444</v>
      </c>
    </row>
    <row r="706" spans="1:27" x14ac:dyDescent="0.3">
      <c r="A706" s="3">
        <v>45809</v>
      </c>
      <c r="B706" t="s">
        <v>16</v>
      </c>
      <c r="C706" t="s">
        <v>32</v>
      </c>
      <c r="D706" t="str">
        <f>TRIM(Table1[[#This Row],[Product]])</f>
        <v>Monitor</v>
      </c>
      <c r="E706" t="str">
        <f>PROPER(Table1[[#This Row],[Column1]])</f>
        <v>Monitor</v>
      </c>
      <c r="F706" s="8" t="str">
        <f t="shared" ref="F706:F769" si="55">IF(OR(E706="Chair",E706="Desk"),"Furniture",IF(OR(E706="Laptop",E706="Monitor",E706="Phone",E706="Tablet"),"Technology",IF(E706="Printer","Office Supplies","Other")))</f>
        <v>Technology</v>
      </c>
      <c r="G706" s="5">
        <v>12</v>
      </c>
      <c r="H706">
        <v>290.27999999999997</v>
      </c>
      <c r="I706" t="s">
        <v>57</v>
      </c>
      <c r="J706" t="s">
        <v>65</v>
      </c>
      <c r="K706" s="7">
        <v>0.1</v>
      </c>
      <c r="L706" t="s">
        <v>21</v>
      </c>
      <c r="M706" s="5">
        <v>3135.0239999999999</v>
      </c>
      <c r="N706" t="s">
        <v>88</v>
      </c>
      <c r="O706" t="s">
        <v>60</v>
      </c>
      <c r="P706" s="5">
        <v>1</v>
      </c>
      <c r="Q706" t="s">
        <v>1455</v>
      </c>
      <c r="R706" t="s">
        <v>1456</v>
      </c>
      <c r="S706" s="5">
        <v>5.55</v>
      </c>
      <c r="T706" s="3">
        <v>45809</v>
      </c>
      <c r="U706" s="3">
        <v>45815</v>
      </c>
      <c r="V706" t="s">
        <v>95</v>
      </c>
      <c r="W706">
        <f t="shared" si="52"/>
        <v>2821.5216</v>
      </c>
      <c r="X706">
        <f t="shared" si="53"/>
        <v>3483.3599999999997</v>
      </c>
      <c r="Y706">
        <f t="shared" si="54"/>
        <v>661.83839999999964</v>
      </c>
      <c r="Z706" s="8" t="str">
        <f t="shared" ref="Z706:Z769" si="56">IF(K706=0,"No Discount",IF(K706&lt;5%,"Low",IF(K706&lt;15%,"Medium","High")))</f>
        <v>Medium</v>
      </c>
      <c r="AA706" s="12">
        <f>DATE(YEAR(Table1[[#This Row],[OrderDate]]),MONTH(Table1[[#This Row],[OrderDate]]),1)</f>
        <v>45809</v>
      </c>
    </row>
    <row r="707" spans="1:27" x14ac:dyDescent="0.3">
      <c r="A707" s="3">
        <v>44997</v>
      </c>
      <c r="B707" t="s">
        <v>16</v>
      </c>
      <c r="C707" t="s">
        <v>35</v>
      </c>
      <c r="D707" t="str">
        <f>TRIM(Table1[[#This Row],[Product]])</f>
        <v>Tablet</v>
      </c>
      <c r="E707" t="str">
        <f>PROPER(Table1[[#This Row],[Column1]])</f>
        <v>Tablet</v>
      </c>
      <c r="F707" s="8" t="str">
        <f t="shared" si="55"/>
        <v>Technology</v>
      </c>
      <c r="G707" s="5">
        <v>6</v>
      </c>
      <c r="H707">
        <v>88.7</v>
      </c>
      <c r="I707" t="s">
        <v>57</v>
      </c>
      <c r="J707" t="s">
        <v>58</v>
      </c>
      <c r="K707" s="7">
        <v>0</v>
      </c>
      <c r="L707" t="s">
        <v>21</v>
      </c>
      <c r="M707" s="5">
        <v>532.20000000000005</v>
      </c>
      <c r="N707" t="s">
        <v>66</v>
      </c>
      <c r="P707" s="5">
        <v>0</v>
      </c>
      <c r="Q707" t="s">
        <v>1457</v>
      </c>
      <c r="R707" t="s">
        <v>1458</v>
      </c>
      <c r="S707" s="5">
        <v>16.98</v>
      </c>
      <c r="T707" s="3">
        <v>44997</v>
      </c>
      <c r="U707" s="3">
        <v>44999</v>
      </c>
      <c r="V707" t="s">
        <v>95</v>
      </c>
      <c r="W707">
        <f t="shared" ref="W707:W770" si="57">M707*(1-K707)</f>
        <v>532.20000000000005</v>
      </c>
      <c r="X707">
        <f t="shared" ref="X707:X770" si="58">G707*H707</f>
        <v>532.20000000000005</v>
      </c>
      <c r="Y707">
        <f t="shared" ref="Y707:Y770" si="59">X707-W707</f>
        <v>0</v>
      </c>
      <c r="Z707" s="8" t="str">
        <f t="shared" si="56"/>
        <v>No Discount</v>
      </c>
      <c r="AA707" s="12">
        <f>DATE(YEAR(Table1[[#This Row],[OrderDate]]),MONTH(Table1[[#This Row],[OrderDate]]),1)</f>
        <v>44986</v>
      </c>
    </row>
    <row r="708" spans="1:27" x14ac:dyDescent="0.3">
      <c r="A708" s="3">
        <v>45607</v>
      </c>
      <c r="B708" t="s">
        <v>7</v>
      </c>
      <c r="C708" t="s">
        <v>30</v>
      </c>
      <c r="D708" t="str">
        <f>TRIM(Table1[[#This Row],[Product]])</f>
        <v>Desk</v>
      </c>
      <c r="E708" t="str">
        <f>PROPER(Table1[[#This Row],[Column1]])</f>
        <v>Desk</v>
      </c>
      <c r="F708" s="8" t="str">
        <f t="shared" si="55"/>
        <v>Furniture</v>
      </c>
      <c r="G708" s="5">
        <v>2</v>
      </c>
      <c r="H708">
        <v>239.69</v>
      </c>
      <c r="I708" t="s">
        <v>78</v>
      </c>
      <c r="J708" t="s">
        <v>65</v>
      </c>
      <c r="K708" s="7">
        <v>0</v>
      </c>
      <c r="L708" t="s">
        <v>23</v>
      </c>
      <c r="M708" s="5">
        <v>479.38</v>
      </c>
      <c r="N708" t="s">
        <v>82</v>
      </c>
      <c r="O708" t="s">
        <v>71</v>
      </c>
      <c r="P708" s="5">
        <v>0</v>
      </c>
      <c r="Q708" t="s">
        <v>1459</v>
      </c>
      <c r="R708" t="s">
        <v>1460</v>
      </c>
      <c r="S708" s="5">
        <v>28.96</v>
      </c>
      <c r="T708" s="3">
        <v>45607</v>
      </c>
      <c r="U708" s="3">
        <v>45615</v>
      </c>
      <c r="V708" t="s">
        <v>77</v>
      </c>
      <c r="W708">
        <f t="shared" si="57"/>
        <v>479.38</v>
      </c>
      <c r="X708">
        <f t="shared" si="58"/>
        <v>479.38</v>
      </c>
      <c r="Y708">
        <f t="shared" si="59"/>
        <v>0</v>
      </c>
      <c r="Z708" s="8" t="str">
        <f t="shared" si="56"/>
        <v>No Discount</v>
      </c>
      <c r="AA708" s="12">
        <f>DATE(YEAR(Table1[[#This Row],[OrderDate]]),MONTH(Table1[[#This Row],[OrderDate]]),1)</f>
        <v>45597</v>
      </c>
    </row>
    <row r="709" spans="1:27" x14ac:dyDescent="0.3">
      <c r="A709" s="3">
        <v>45582</v>
      </c>
      <c r="B709" t="s">
        <v>7</v>
      </c>
      <c r="C709" t="s">
        <v>35</v>
      </c>
      <c r="D709" t="str">
        <f>TRIM(Table1[[#This Row],[Product]])</f>
        <v>Tablet</v>
      </c>
      <c r="E709" t="str">
        <f>PROPER(Table1[[#This Row],[Column1]])</f>
        <v>Tablet</v>
      </c>
      <c r="F709" s="8" t="str">
        <f t="shared" si="55"/>
        <v>Technology</v>
      </c>
      <c r="G709" s="5">
        <v>8</v>
      </c>
      <c r="H709">
        <v>39.79</v>
      </c>
      <c r="I709" t="s">
        <v>78</v>
      </c>
      <c r="J709" t="s">
        <v>65</v>
      </c>
      <c r="K709" s="7">
        <v>0.1</v>
      </c>
      <c r="L709" t="s">
        <v>19</v>
      </c>
      <c r="M709" s="5">
        <v>286.488</v>
      </c>
      <c r="N709" t="s">
        <v>82</v>
      </c>
      <c r="O709" t="s">
        <v>67</v>
      </c>
      <c r="P709" s="5">
        <v>0</v>
      </c>
      <c r="Q709" t="s">
        <v>1461</v>
      </c>
      <c r="R709" t="s">
        <v>1462</v>
      </c>
      <c r="S709" s="5">
        <v>46.16</v>
      </c>
      <c r="T709" s="3">
        <v>45582</v>
      </c>
      <c r="U709" s="3">
        <v>45591</v>
      </c>
      <c r="V709" t="s">
        <v>77</v>
      </c>
      <c r="W709">
        <f t="shared" si="57"/>
        <v>257.83920000000001</v>
      </c>
      <c r="X709">
        <f t="shared" si="58"/>
        <v>318.32</v>
      </c>
      <c r="Y709">
        <f t="shared" si="59"/>
        <v>60.480799999999988</v>
      </c>
      <c r="Z709" s="8" t="str">
        <f t="shared" si="56"/>
        <v>Medium</v>
      </c>
      <c r="AA709" s="12">
        <f>DATE(YEAR(Table1[[#This Row],[OrderDate]]),MONTH(Table1[[#This Row],[OrderDate]]),1)</f>
        <v>45566</v>
      </c>
    </row>
    <row r="710" spans="1:27" x14ac:dyDescent="0.3">
      <c r="A710" s="3">
        <v>45056</v>
      </c>
      <c r="B710" t="s">
        <v>9</v>
      </c>
      <c r="C710" t="s">
        <v>34</v>
      </c>
      <c r="D710" t="str">
        <f>TRIM(Table1[[#This Row],[Product]])</f>
        <v>Printer</v>
      </c>
      <c r="E710" t="str">
        <f>PROPER(Table1[[#This Row],[Column1]])</f>
        <v>Printer</v>
      </c>
      <c r="F710" s="8" t="str">
        <f t="shared" si="55"/>
        <v>Office Supplies</v>
      </c>
      <c r="G710" s="5">
        <v>18</v>
      </c>
      <c r="H710">
        <v>206.8</v>
      </c>
      <c r="I710" t="s">
        <v>64</v>
      </c>
      <c r="J710" t="s">
        <v>65</v>
      </c>
      <c r="K710" s="7">
        <v>0.05</v>
      </c>
      <c r="L710" t="s">
        <v>27</v>
      </c>
      <c r="M710" s="5">
        <v>3536.28</v>
      </c>
      <c r="N710" t="s">
        <v>85</v>
      </c>
      <c r="O710" t="s">
        <v>60</v>
      </c>
      <c r="P710" s="5">
        <v>1</v>
      </c>
      <c r="Q710" t="s">
        <v>1463</v>
      </c>
      <c r="R710" t="s">
        <v>1464</v>
      </c>
      <c r="S710" s="5">
        <v>39.25</v>
      </c>
      <c r="T710" s="3">
        <v>45056</v>
      </c>
      <c r="U710" s="3">
        <v>45059</v>
      </c>
      <c r="V710" t="s">
        <v>63</v>
      </c>
      <c r="W710">
        <f t="shared" si="57"/>
        <v>3359.4659999999999</v>
      </c>
      <c r="X710">
        <f t="shared" si="58"/>
        <v>3722.4</v>
      </c>
      <c r="Y710">
        <f t="shared" si="59"/>
        <v>362.9340000000002</v>
      </c>
      <c r="Z710" s="8" t="str">
        <f t="shared" si="56"/>
        <v>Medium</v>
      </c>
      <c r="AA710" s="12">
        <f>DATE(YEAR(Table1[[#This Row],[OrderDate]]),MONTH(Table1[[#This Row],[OrderDate]]),1)</f>
        <v>45047</v>
      </c>
    </row>
    <row r="711" spans="1:27" x14ac:dyDescent="0.3">
      <c r="A711" s="3">
        <v>45136</v>
      </c>
      <c r="B711" t="s">
        <v>9</v>
      </c>
      <c r="C711" t="s">
        <v>31</v>
      </c>
      <c r="D711" t="str">
        <f>TRIM(Table1[[#This Row],[Product]])</f>
        <v>Laptop</v>
      </c>
      <c r="E711" t="str">
        <f>PROPER(Table1[[#This Row],[Column1]])</f>
        <v>Laptop</v>
      </c>
      <c r="F711" s="8" t="str">
        <f t="shared" si="55"/>
        <v>Technology</v>
      </c>
      <c r="G711" s="5">
        <v>18</v>
      </c>
      <c r="H711">
        <v>175.81</v>
      </c>
      <c r="I711" t="s">
        <v>78</v>
      </c>
      <c r="J711" t="s">
        <v>65</v>
      </c>
      <c r="K711" s="7">
        <v>0</v>
      </c>
      <c r="L711" t="s">
        <v>25</v>
      </c>
      <c r="M711" s="5">
        <v>3164.58</v>
      </c>
      <c r="N711" t="s">
        <v>66</v>
      </c>
      <c r="O711" t="s">
        <v>71</v>
      </c>
      <c r="P711" s="5">
        <v>1</v>
      </c>
      <c r="Q711" t="s">
        <v>1465</v>
      </c>
      <c r="R711" t="s">
        <v>1466</v>
      </c>
      <c r="S711" s="5">
        <v>26.97</v>
      </c>
      <c r="T711" s="3">
        <v>45136</v>
      </c>
      <c r="U711" s="3">
        <v>45145</v>
      </c>
      <c r="V711" t="s">
        <v>63</v>
      </c>
      <c r="W711">
        <f t="shared" si="57"/>
        <v>3164.58</v>
      </c>
      <c r="X711">
        <f t="shared" si="58"/>
        <v>3164.58</v>
      </c>
      <c r="Y711">
        <f t="shared" si="59"/>
        <v>0</v>
      </c>
      <c r="Z711" s="8" t="str">
        <f t="shared" si="56"/>
        <v>No Discount</v>
      </c>
      <c r="AA711" s="12">
        <f>DATE(YEAR(Table1[[#This Row],[OrderDate]]),MONTH(Table1[[#This Row],[OrderDate]]),1)</f>
        <v>45108</v>
      </c>
    </row>
    <row r="712" spans="1:27" x14ac:dyDescent="0.3">
      <c r="A712" s="3">
        <v>45164</v>
      </c>
      <c r="B712" t="s">
        <v>7</v>
      </c>
      <c r="C712" t="s">
        <v>33</v>
      </c>
      <c r="D712" t="str">
        <f>TRIM(Table1[[#This Row],[Product]])</f>
        <v>Phone</v>
      </c>
      <c r="E712" t="str">
        <f>PROPER(Table1[[#This Row],[Column1]])</f>
        <v>Phone</v>
      </c>
      <c r="F712" s="8" t="str">
        <f t="shared" si="55"/>
        <v>Technology</v>
      </c>
      <c r="G712" s="5">
        <v>14</v>
      </c>
      <c r="H712">
        <v>547.36</v>
      </c>
      <c r="I712" t="s">
        <v>78</v>
      </c>
      <c r="J712" t="s">
        <v>65</v>
      </c>
      <c r="K712" s="7">
        <v>0.15</v>
      </c>
      <c r="L712" t="s">
        <v>23</v>
      </c>
      <c r="M712" s="5">
        <v>6513.5839999999998</v>
      </c>
      <c r="N712" t="s">
        <v>59</v>
      </c>
      <c r="O712" t="s">
        <v>60</v>
      </c>
      <c r="P712" s="5">
        <v>0</v>
      </c>
      <c r="Q712" t="s">
        <v>1467</v>
      </c>
      <c r="R712" t="s">
        <v>1468</v>
      </c>
      <c r="S712" s="5">
        <v>25.24</v>
      </c>
      <c r="T712" s="3">
        <v>45164</v>
      </c>
      <c r="U712" s="3">
        <v>45167</v>
      </c>
      <c r="V712" t="s">
        <v>77</v>
      </c>
      <c r="W712">
        <f t="shared" si="57"/>
        <v>5536.5463999999993</v>
      </c>
      <c r="X712">
        <f t="shared" si="58"/>
        <v>7663.04</v>
      </c>
      <c r="Y712">
        <f t="shared" si="59"/>
        <v>2126.4936000000007</v>
      </c>
      <c r="Z712" s="8" t="str">
        <f t="shared" si="56"/>
        <v>High</v>
      </c>
      <c r="AA712" s="12">
        <f>DATE(YEAR(Table1[[#This Row],[OrderDate]]),MONTH(Table1[[#This Row],[OrderDate]]),1)</f>
        <v>45139</v>
      </c>
    </row>
    <row r="713" spans="1:27" x14ac:dyDescent="0.3">
      <c r="A713" s="3">
        <v>45288</v>
      </c>
      <c r="B713" t="s">
        <v>9</v>
      </c>
      <c r="C713" t="s">
        <v>31</v>
      </c>
      <c r="D713" t="str">
        <f>TRIM(Table1[[#This Row],[Product]])</f>
        <v>Laptop</v>
      </c>
      <c r="E713" t="str">
        <f>PROPER(Table1[[#This Row],[Column1]])</f>
        <v>Laptop</v>
      </c>
      <c r="F713" s="8" t="str">
        <f t="shared" si="55"/>
        <v>Technology</v>
      </c>
      <c r="G713" s="5">
        <v>19</v>
      </c>
      <c r="H713">
        <v>374.8</v>
      </c>
      <c r="I713" t="s">
        <v>64</v>
      </c>
      <c r="J713" t="s">
        <v>65</v>
      </c>
      <c r="K713" s="7">
        <v>0.05</v>
      </c>
      <c r="L713" t="s">
        <v>21</v>
      </c>
      <c r="M713" s="5">
        <v>6765.1399999999994</v>
      </c>
      <c r="N713" t="s">
        <v>59</v>
      </c>
      <c r="O713" t="s">
        <v>71</v>
      </c>
      <c r="P713" s="5">
        <v>0</v>
      </c>
      <c r="Q713" t="s">
        <v>1469</v>
      </c>
      <c r="R713" t="s">
        <v>1470</v>
      </c>
      <c r="S713" s="5">
        <v>41.67</v>
      </c>
      <c r="T713" s="3">
        <v>45288</v>
      </c>
      <c r="U713" s="3">
        <v>45294</v>
      </c>
      <c r="V713" t="s">
        <v>63</v>
      </c>
      <c r="W713">
        <f t="shared" si="57"/>
        <v>6426.8829999999989</v>
      </c>
      <c r="X713">
        <f t="shared" si="58"/>
        <v>7121.2</v>
      </c>
      <c r="Y713">
        <f t="shared" si="59"/>
        <v>694.31700000000092</v>
      </c>
      <c r="Z713" s="8" t="str">
        <f t="shared" si="56"/>
        <v>Medium</v>
      </c>
      <c r="AA713" s="12">
        <f>DATE(YEAR(Table1[[#This Row],[OrderDate]]),MONTH(Table1[[#This Row],[OrderDate]]),1)</f>
        <v>45261</v>
      </c>
    </row>
    <row r="714" spans="1:27" x14ac:dyDescent="0.3">
      <c r="A714" s="3">
        <v>45726</v>
      </c>
      <c r="B714" t="s">
        <v>11</v>
      </c>
      <c r="C714" t="s">
        <v>35</v>
      </c>
      <c r="D714" t="str">
        <f>TRIM(Table1[[#This Row],[Product]])</f>
        <v>Tablet</v>
      </c>
      <c r="E714" t="str">
        <f>PROPER(Table1[[#This Row],[Column1]])</f>
        <v>Tablet</v>
      </c>
      <c r="F714" s="8" t="str">
        <f t="shared" si="55"/>
        <v>Technology</v>
      </c>
      <c r="G714" s="5">
        <v>9</v>
      </c>
      <c r="H714">
        <v>507.74</v>
      </c>
      <c r="I714" t="s">
        <v>81</v>
      </c>
      <c r="J714" t="s">
        <v>65</v>
      </c>
      <c r="K714" s="7">
        <v>0.15</v>
      </c>
      <c r="L714" t="s">
        <v>19</v>
      </c>
      <c r="M714" s="5">
        <v>3884.2109999999998</v>
      </c>
      <c r="N714" t="s">
        <v>88</v>
      </c>
      <c r="O714" t="s">
        <v>60</v>
      </c>
      <c r="P714" s="5">
        <v>1</v>
      </c>
      <c r="Q714" t="s">
        <v>1471</v>
      </c>
      <c r="R714" t="s">
        <v>1472</v>
      </c>
      <c r="S714" s="5">
        <v>22.08</v>
      </c>
      <c r="T714" s="3">
        <v>45726</v>
      </c>
      <c r="U714" s="3">
        <v>45733</v>
      </c>
      <c r="V714" t="s">
        <v>74</v>
      </c>
      <c r="W714">
        <f t="shared" si="57"/>
        <v>3301.5793499999995</v>
      </c>
      <c r="X714">
        <f t="shared" si="58"/>
        <v>4569.66</v>
      </c>
      <c r="Y714">
        <f t="shared" si="59"/>
        <v>1268.0806500000003</v>
      </c>
      <c r="Z714" s="8" t="str">
        <f t="shared" si="56"/>
        <v>High</v>
      </c>
      <c r="AA714" s="12">
        <f>DATE(YEAR(Table1[[#This Row],[OrderDate]]),MONTH(Table1[[#This Row],[OrderDate]]),1)</f>
        <v>45717</v>
      </c>
    </row>
    <row r="715" spans="1:27" x14ac:dyDescent="0.3">
      <c r="A715" s="3">
        <v>45178</v>
      </c>
      <c r="B715" t="s">
        <v>7</v>
      </c>
      <c r="C715" t="s">
        <v>30</v>
      </c>
      <c r="D715" t="str">
        <f>TRIM(Table1[[#This Row],[Product]])</f>
        <v>Desk</v>
      </c>
      <c r="E715" t="str">
        <f>PROPER(Table1[[#This Row],[Column1]])</f>
        <v>Desk</v>
      </c>
      <c r="F715" s="8" t="str">
        <f t="shared" si="55"/>
        <v>Furniture</v>
      </c>
      <c r="G715" s="5">
        <v>1</v>
      </c>
      <c r="H715">
        <v>223.56</v>
      </c>
      <c r="I715" t="s">
        <v>57</v>
      </c>
      <c r="J715" t="s">
        <v>58</v>
      </c>
      <c r="K715" s="7">
        <v>0.15</v>
      </c>
      <c r="L715" t="s">
        <v>19</v>
      </c>
      <c r="M715" s="5">
        <v>190.02600000000001</v>
      </c>
      <c r="N715" t="s">
        <v>82</v>
      </c>
      <c r="O715" t="s">
        <v>71</v>
      </c>
      <c r="P715" s="5">
        <v>0</v>
      </c>
      <c r="Q715" t="s">
        <v>1473</v>
      </c>
      <c r="R715" t="s">
        <v>1474</v>
      </c>
      <c r="S715" s="5">
        <v>37.840000000000003</v>
      </c>
      <c r="T715" s="3">
        <v>45178</v>
      </c>
      <c r="U715" s="3">
        <v>45183</v>
      </c>
      <c r="V715" t="s">
        <v>77</v>
      </c>
      <c r="W715">
        <f t="shared" si="57"/>
        <v>161.52209999999999</v>
      </c>
      <c r="X715">
        <f t="shared" si="58"/>
        <v>223.56</v>
      </c>
      <c r="Y715">
        <f t="shared" si="59"/>
        <v>62.037900000000008</v>
      </c>
      <c r="Z715" s="8" t="str">
        <f t="shared" si="56"/>
        <v>High</v>
      </c>
      <c r="AA715" s="12">
        <f>DATE(YEAR(Table1[[#This Row],[OrderDate]]),MONTH(Table1[[#This Row],[OrderDate]]),1)</f>
        <v>45170</v>
      </c>
    </row>
    <row r="716" spans="1:27" x14ac:dyDescent="0.3">
      <c r="A716" s="3">
        <v>45074</v>
      </c>
      <c r="B716" t="s">
        <v>11</v>
      </c>
      <c r="C716" t="s">
        <v>35</v>
      </c>
      <c r="D716" t="str">
        <f>TRIM(Table1[[#This Row],[Product]])</f>
        <v>Tablet</v>
      </c>
      <c r="E716" t="str">
        <f>PROPER(Table1[[#This Row],[Column1]])</f>
        <v>Tablet</v>
      </c>
      <c r="F716" s="8" t="str">
        <f t="shared" si="55"/>
        <v>Technology</v>
      </c>
      <c r="G716" s="5">
        <v>2</v>
      </c>
      <c r="H716">
        <v>294.27</v>
      </c>
      <c r="I716" t="s">
        <v>78</v>
      </c>
      <c r="J716" t="s">
        <v>65</v>
      </c>
      <c r="K716" s="7">
        <v>0.1</v>
      </c>
      <c r="L716" t="s">
        <v>23</v>
      </c>
      <c r="M716" s="5">
        <v>529.68600000000004</v>
      </c>
      <c r="N716" t="s">
        <v>66</v>
      </c>
      <c r="P716" s="5">
        <v>0</v>
      </c>
      <c r="Q716" t="s">
        <v>1475</v>
      </c>
      <c r="R716" t="s">
        <v>1476</v>
      </c>
      <c r="S716" s="5">
        <v>9.0500000000000007</v>
      </c>
      <c r="T716" s="3">
        <v>45074</v>
      </c>
      <c r="U716" s="3">
        <v>45078</v>
      </c>
      <c r="V716" t="s">
        <v>74</v>
      </c>
      <c r="W716">
        <f t="shared" si="57"/>
        <v>476.71740000000005</v>
      </c>
      <c r="X716">
        <f t="shared" si="58"/>
        <v>588.54</v>
      </c>
      <c r="Y716">
        <f t="shared" si="59"/>
        <v>111.82259999999991</v>
      </c>
      <c r="Z716" s="8" t="str">
        <f t="shared" si="56"/>
        <v>Medium</v>
      </c>
      <c r="AA716" s="12">
        <f>DATE(YEAR(Table1[[#This Row],[OrderDate]]),MONTH(Table1[[#This Row],[OrderDate]]),1)</f>
        <v>45047</v>
      </c>
    </row>
    <row r="717" spans="1:27" x14ac:dyDescent="0.3">
      <c r="A717" s="3">
        <v>45798</v>
      </c>
      <c r="B717" t="s">
        <v>16</v>
      </c>
      <c r="C717" t="s">
        <v>32</v>
      </c>
      <c r="D717" t="str">
        <f>TRIM(Table1[[#This Row],[Product]])</f>
        <v>Monitor</v>
      </c>
      <c r="E717" t="str">
        <f>PROPER(Table1[[#This Row],[Column1]])</f>
        <v>Monitor</v>
      </c>
      <c r="F717" s="8" t="str">
        <f t="shared" si="55"/>
        <v>Technology</v>
      </c>
      <c r="G717" s="5">
        <v>1</v>
      </c>
      <c r="H717">
        <v>319.49</v>
      </c>
      <c r="I717" t="s">
        <v>78</v>
      </c>
      <c r="J717" t="s">
        <v>58</v>
      </c>
      <c r="K717" s="7">
        <v>0.15</v>
      </c>
      <c r="L717" t="s">
        <v>23</v>
      </c>
      <c r="M717" s="5">
        <v>271.56650000000002</v>
      </c>
      <c r="N717" t="s">
        <v>59</v>
      </c>
      <c r="O717" t="s">
        <v>60</v>
      </c>
      <c r="P717" s="5">
        <v>1</v>
      </c>
      <c r="Q717" t="s">
        <v>1477</v>
      </c>
      <c r="R717" t="s">
        <v>1478</v>
      </c>
      <c r="S717" s="5">
        <v>18.100000000000001</v>
      </c>
      <c r="T717" s="3">
        <v>45798</v>
      </c>
      <c r="U717" s="3">
        <v>45808</v>
      </c>
      <c r="V717" t="s">
        <v>95</v>
      </c>
      <c r="W717">
        <f t="shared" si="57"/>
        <v>230.831525</v>
      </c>
      <c r="X717">
        <f t="shared" si="58"/>
        <v>319.49</v>
      </c>
      <c r="Y717">
        <f t="shared" si="59"/>
        <v>88.65847500000001</v>
      </c>
      <c r="Z717" s="8" t="str">
        <f t="shared" si="56"/>
        <v>High</v>
      </c>
      <c r="AA717" s="12">
        <f>DATE(YEAR(Table1[[#This Row],[OrderDate]]),MONTH(Table1[[#This Row],[OrderDate]]),1)</f>
        <v>45778</v>
      </c>
    </row>
    <row r="718" spans="1:27" x14ac:dyDescent="0.3">
      <c r="A718" s="3">
        <v>45199</v>
      </c>
      <c r="B718" t="s">
        <v>9</v>
      </c>
      <c r="C718" t="s">
        <v>31</v>
      </c>
      <c r="D718" t="str">
        <f>TRIM(Table1[[#This Row],[Product]])</f>
        <v>Laptop</v>
      </c>
      <c r="E718" t="str">
        <f>PROPER(Table1[[#This Row],[Column1]])</f>
        <v>Laptop</v>
      </c>
      <c r="F718" s="8" t="str">
        <f t="shared" si="55"/>
        <v>Technology</v>
      </c>
      <c r="G718" s="5">
        <v>14</v>
      </c>
      <c r="H718">
        <v>243.96</v>
      </c>
      <c r="I718" t="s">
        <v>81</v>
      </c>
      <c r="J718" t="s">
        <v>58</v>
      </c>
      <c r="K718" s="7">
        <v>0.05</v>
      </c>
      <c r="L718" t="s">
        <v>23</v>
      </c>
      <c r="M718" s="5">
        <v>3244.6680000000001</v>
      </c>
      <c r="N718" t="s">
        <v>59</v>
      </c>
      <c r="P718" s="5">
        <v>1</v>
      </c>
      <c r="Q718" t="s">
        <v>1479</v>
      </c>
      <c r="R718" t="s">
        <v>1480</v>
      </c>
      <c r="S718" s="5">
        <v>13.24</v>
      </c>
      <c r="T718" s="3">
        <v>45199</v>
      </c>
      <c r="U718" s="3">
        <v>45203</v>
      </c>
      <c r="V718" t="s">
        <v>63</v>
      </c>
      <c r="W718">
        <f t="shared" si="57"/>
        <v>3082.4346</v>
      </c>
      <c r="X718">
        <f t="shared" si="58"/>
        <v>3415.44</v>
      </c>
      <c r="Y718">
        <f t="shared" si="59"/>
        <v>333.00540000000001</v>
      </c>
      <c r="Z718" s="8" t="str">
        <f t="shared" si="56"/>
        <v>Medium</v>
      </c>
      <c r="AA718" s="12">
        <f>DATE(YEAR(Table1[[#This Row],[OrderDate]]),MONTH(Table1[[#This Row],[OrderDate]]),1)</f>
        <v>45170</v>
      </c>
    </row>
    <row r="719" spans="1:27" x14ac:dyDescent="0.3">
      <c r="A719" s="3">
        <v>45573</v>
      </c>
      <c r="B719" t="s">
        <v>13</v>
      </c>
      <c r="C719" t="s">
        <v>31</v>
      </c>
      <c r="D719" t="str">
        <f>TRIM(Table1[[#This Row],[Product]])</f>
        <v>Laptop</v>
      </c>
      <c r="E719" t="str">
        <f>PROPER(Table1[[#This Row],[Column1]])</f>
        <v>Laptop</v>
      </c>
      <c r="F719" s="8" t="str">
        <f t="shared" si="55"/>
        <v>Technology</v>
      </c>
      <c r="G719" s="5">
        <v>6</v>
      </c>
      <c r="H719">
        <v>48.48</v>
      </c>
      <c r="I719" t="s">
        <v>81</v>
      </c>
      <c r="J719" t="s">
        <v>65</v>
      </c>
      <c r="K719" s="7">
        <v>0.1</v>
      </c>
      <c r="L719" t="s">
        <v>23</v>
      </c>
      <c r="M719" s="5">
        <v>261.79199999999997</v>
      </c>
      <c r="N719" t="s">
        <v>59</v>
      </c>
      <c r="P719" s="5">
        <v>0</v>
      </c>
      <c r="Q719" t="s">
        <v>1481</v>
      </c>
      <c r="R719" t="s">
        <v>1482</v>
      </c>
      <c r="S719" s="5">
        <v>6.11</v>
      </c>
      <c r="T719" s="3">
        <v>45573</v>
      </c>
      <c r="U719" s="3">
        <v>45578</v>
      </c>
      <c r="V719" t="s">
        <v>70</v>
      </c>
      <c r="W719">
        <f t="shared" si="57"/>
        <v>235.61279999999999</v>
      </c>
      <c r="X719">
        <f t="shared" si="58"/>
        <v>290.88</v>
      </c>
      <c r="Y719">
        <f t="shared" si="59"/>
        <v>55.267200000000003</v>
      </c>
      <c r="Z719" s="8" t="str">
        <f t="shared" si="56"/>
        <v>Medium</v>
      </c>
      <c r="AA719" s="12">
        <f>DATE(YEAR(Table1[[#This Row],[OrderDate]]),MONTH(Table1[[#This Row],[OrderDate]]),1)</f>
        <v>45566</v>
      </c>
    </row>
    <row r="720" spans="1:27" x14ac:dyDescent="0.3">
      <c r="A720" s="3">
        <v>45030</v>
      </c>
      <c r="B720" t="s">
        <v>9</v>
      </c>
      <c r="C720" t="s">
        <v>31</v>
      </c>
      <c r="D720" t="str">
        <f>TRIM(Table1[[#This Row],[Product]])</f>
        <v>Laptop</v>
      </c>
      <c r="E720" t="str">
        <f>PROPER(Table1[[#This Row],[Column1]])</f>
        <v>Laptop</v>
      </c>
      <c r="F720" s="8" t="str">
        <f t="shared" si="55"/>
        <v>Technology</v>
      </c>
      <c r="G720" s="5">
        <v>20</v>
      </c>
      <c r="H720">
        <v>87.47</v>
      </c>
      <c r="I720" t="s">
        <v>57</v>
      </c>
      <c r="J720" t="s">
        <v>65</v>
      </c>
      <c r="K720" s="7">
        <v>0</v>
      </c>
      <c r="L720" t="s">
        <v>21</v>
      </c>
      <c r="M720" s="5">
        <v>1749.4</v>
      </c>
      <c r="N720" t="s">
        <v>59</v>
      </c>
      <c r="O720" t="s">
        <v>71</v>
      </c>
      <c r="P720" s="5">
        <v>0</v>
      </c>
      <c r="Q720" t="s">
        <v>1483</v>
      </c>
      <c r="R720" t="s">
        <v>1484</v>
      </c>
      <c r="S720" s="5">
        <v>48.48</v>
      </c>
      <c r="T720" s="3">
        <v>45030</v>
      </c>
      <c r="U720" s="3">
        <v>45039</v>
      </c>
      <c r="V720" t="s">
        <v>63</v>
      </c>
      <c r="W720">
        <f t="shared" si="57"/>
        <v>1749.4</v>
      </c>
      <c r="X720">
        <f t="shared" si="58"/>
        <v>1749.4</v>
      </c>
      <c r="Y720">
        <f t="shared" si="59"/>
        <v>0</v>
      </c>
      <c r="Z720" s="8" t="str">
        <f t="shared" si="56"/>
        <v>No Discount</v>
      </c>
      <c r="AA720" s="12">
        <f>DATE(YEAR(Table1[[#This Row],[OrderDate]]),MONTH(Table1[[#This Row],[OrderDate]]),1)</f>
        <v>45017</v>
      </c>
    </row>
    <row r="721" spans="1:27" x14ac:dyDescent="0.3">
      <c r="A721" s="3">
        <v>44990</v>
      </c>
      <c r="B721" t="s">
        <v>13</v>
      </c>
      <c r="C721" t="s">
        <v>32</v>
      </c>
      <c r="D721" t="str">
        <f>TRIM(Table1[[#This Row],[Product]])</f>
        <v>Monitor</v>
      </c>
      <c r="E721" t="str">
        <f>PROPER(Table1[[#This Row],[Column1]])</f>
        <v>Monitor</v>
      </c>
      <c r="F721" s="8" t="str">
        <f t="shared" si="55"/>
        <v>Technology</v>
      </c>
      <c r="G721" s="5">
        <v>17</v>
      </c>
      <c r="H721">
        <v>465.6</v>
      </c>
      <c r="I721" t="s">
        <v>78</v>
      </c>
      <c r="J721" t="s">
        <v>65</v>
      </c>
      <c r="K721" s="7">
        <v>0.1</v>
      </c>
      <c r="L721" t="s">
        <v>19</v>
      </c>
      <c r="M721" s="5">
        <v>7123.6800000000012</v>
      </c>
      <c r="N721" t="s">
        <v>85</v>
      </c>
      <c r="O721" t="s">
        <v>67</v>
      </c>
      <c r="P721" s="5">
        <v>0</v>
      </c>
      <c r="Q721" t="s">
        <v>1485</v>
      </c>
      <c r="R721" t="s">
        <v>1486</v>
      </c>
      <c r="S721" s="5">
        <v>7.76</v>
      </c>
      <c r="T721" s="3">
        <v>44990</v>
      </c>
      <c r="U721" s="3">
        <v>44995</v>
      </c>
      <c r="V721" t="s">
        <v>70</v>
      </c>
      <c r="W721">
        <f t="shared" si="57"/>
        <v>6411.3120000000008</v>
      </c>
      <c r="X721">
        <f t="shared" si="58"/>
        <v>7915.2000000000007</v>
      </c>
      <c r="Y721">
        <f t="shared" si="59"/>
        <v>1503.8879999999999</v>
      </c>
      <c r="Z721" s="8" t="str">
        <f t="shared" si="56"/>
        <v>Medium</v>
      </c>
      <c r="AA721" s="12">
        <f>DATE(YEAR(Table1[[#This Row],[OrderDate]]),MONTH(Table1[[#This Row],[OrderDate]]),1)</f>
        <v>44986</v>
      </c>
    </row>
    <row r="722" spans="1:27" x14ac:dyDescent="0.3">
      <c r="A722" s="3">
        <v>45490</v>
      </c>
      <c r="B722" t="s">
        <v>11</v>
      </c>
      <c r="C722" t="s">
        <v>30</v>
      </c>
      <c r="D722" t="str">
        <f>TRIM(Table1[[#This Row],[Product]])</f>
        <v>Desk</v>
      </c>
      <c r="E722" t="str">
        <f>PROPER(Table1[[#This Row],[Column1]])</f>
        <v>Desk</v>
      </c>
      <c r="F722" s="8" t="str">
        <f t="shared" si="55"/>
        <v>Furniture</v>
      </c>
      <c r="G722" s="5">
        <v>17</v>
      </c>
      <c r="H722">
        <v>279.38</v>
      </c>
      <c r="I722" t="s">
        <v>57</v>
      </c>
      <c r="J722" t="s">
        <v>58</v>
      </c>
      <c r="K722" s="7">
        <v>0.05</v>
      </c>
      <c r="L722" t="s">
        <v>27</v>
      </c>
      <c r="M722" s="5">
        <v>4511.9870000000001</v>
      </c>
      <c r="N722" t="s">
        <v>82</v>
      </c>
      <c r="O722" t="s">
        <v>71</v>
      </c>
      <c r="P722" s="5">
        <v>0</v>
      </c>
      <c r="Q722" t="s">
        <v>1487</v>
      </c>
      <c r="R722" t="s">
        <v>1488</v>
      </c>
      <c r="S722" s="5">
        <v>30.3</v>
      </c>
      <c r="T722" s="3">
        <v>45490</v>
      </c>
      <c r="U722" s="3">
        <v>45493</v>
      </c>
      <c r="V722" t="s">
        <v>74</v>
      </c>
      <c r="W722">
        <f t="shared" si="57"/>
        <v>4286.3876499999997</v>
      </c>
      <c r="X722">
        <f t="shared" si="58"/>
        <v>4749.46</v>
      </c>
      <c r="Y722">
        <f t="shared" si="59"/>
        <v>463.07235000000037</v>
      </c>
      <c r="Z722" s="8" t="str">
        <f t="shared" si="56"/>
        <v>Medium</v>
      </c>
      <c r="AA722" s="12">
        <f>DATE(YEAR(Table1[[#This Row],[OrderDate]]),MONTH(Table1[[#This Row],[OrderDate]]),1)</f>
        <v>45474</v>
      </c>
    </row>
    <row r="723" spans="1:27" x14ac:dyDescent="0.3">
      <c r="A723" s="3">
        <v>45432</v>
      </c>
      <c r="B723" t="s">
        <v>11</v>
      </c>
      <c r="C723" t="s">
        <v>35</v>
      </c>
      <c r="D723" t="str">
        <f>TRIM(Table1[[#This Row],[Product]])</f>
        <v>Tablet</v>
      </c>
      <c r="E723" t="str">
        <f>PROPER(Table1[[#This Row],[Column1]])</f>
        <v>Tablet</v>
      </c>
      <c r="F723" s="8" t="str">
        <f t="shared" si="55"/>
        <v>Technology</v>
      </c>
      <c r="G723" s="5">
        <v>16</v>
      </c>
      <c r="H723">
        <v>427.68</v>
      </c>
      <c r="I723" t="s">
        <v>64</v>
      </c>
      <c r="J723" t="s">
        <v>65</v>
      </c>
      <c r="K723" s="7">
        <v>0.1</v>
      </c>
      <c r="L723" t="s">
        <v>21</v>
      </c>
      <c r="M723" s="5">
        <v>6158.5920000000006</v>
      </c>
      <c r="N723" t="s">
        <v>85</v>
      </c>
      <c r="P723" s="5">
        <v>0</v>
      </c>
      <c r="Q723" t="s">
        <v>1489</v>
      </c>
      <c r="R723" t="s">
        <v>1490</v>
      </c>
      <c r="S723" s="5">
        <v>18.72</v>
      </c>
      <c r="T723" s="3">
        <v>45432</v>
      </c>
      <c r="U723" s="3">
        <v>45441</v>
      </c>
      <c r="V723" t="s">
        <v>74</v>
      </c>
      <c r="W723">
        <f t="shared" si="57"/>
        <v>5542.7328000000007</v>
      </c>
      <c r="X723">
        <f t="shared" si="58"/>
        <v>6842.88</v>
      </c>
      <c r="Y723">
        <f t="shared" si="59"/>
        <v>1300.1471999999994</v>
      </c>
      <c r="Z723" s="8" t="str">
        <f t="shared" si="56"/>
        <v>Medium</v>
      </c>
      <c r="AA723" s="12">
        <f>DATE(YEAR(Table1[[#This Row],[OrderDate]]),MONTH(Table1[[#This Row],[OrderDate]]),1)</f>
        <v>45413</v>
      </c>
    </row>
    <row r="724" spans="1:27" x14ac:dyDescent="0.3">
      <c r="A724" s="3">
        <v>45783</v>
      </c>
      <c r="B724" t="s">
        <v>11</v>
      </c>
      <c r="C724" t="s">
        <v>31</v>
      </c>
      <c r="D724" t="str">
        <f>TRIM(Table1[[#This Row],[Product]])</f>
        <v>Laptop</v>
      </c>
      <c r="E724" t="str">
        <f>PROPER(Table1[[#This Row],[Column1]])</f>
        <v>Laptop</v>
      </c>
      <c r="F724" s="8" t="str">
        <f t="shared" si="55"/>
        <v>Technology</v>
      </c>
      <c r="G724" s="5">
        <v>15</v>
      </c>
      <c r="H724">
        <v>281.73</v>
      </c>
      <c r="I724" t="s">
        <v>57</v>
      </c>
      <c r="J724" t="s">
        <v>58</v>
      </c>
      <c r="K724" s="7">
        <v>0.1</v>
      </c>
      <c r="L724" t="s">
        <v>19</v>
      </c>
      <c r="M724" s="5">
        <v>3803.3550000000009</v>
      </c>
      <c r="N724" t="s">
        <v>82</v>
      </c>
      <c r="O724" t="s">
        <v>71</v>
      </c>
      <c r="P724" s="5">
        <v>0</v>
      </c>
      <c r="Q724" t="s">
        <v>1491</v>
      </c>
      <c r="R724" t="s">
        <v>1492</v>
      </c>
      <c r="S724" s="5">
        <v>36.869999999999997</v>
      </c>
      <c r="T724" s="3">
        <v>45783</v>
      </c>
      <c r="U724" s="3">
        <v>45787</v>
      </c>
      <c r="V724" t="s">
        <v>74</v>
      </c>
      <c r="W724">
        <f t="shared" si="57"/>
        <v>3423.0195000000008</v>
      </c>
      <c r="X724">
        <f t="shared" si="58"/>
        <v>4225.9500000000007</v>
      </c>
      <c r="Y724">
        <f t="shared" si="59"/>
        <v>802.93049999999994</v>
      </c>
      <c r="Z724" s="8" t="str">
        <f t="shared" si="56"/>
        <v>Medium</v>
      </c>
      <c r="AA724" s="12">
        <f>DATE(YEAR(Table1[[#This Row],[OrderDate]]),MONTH(Table1[[#This Row],[OrderDate]]),1)</f>
        <v>45778</v>
      </c>
    </row>
    <row r="725" spans="1:27" x14ac:dyDescent="0.3">
      <c r="A725" s="3">
        <v>44941</v>
      </c>
      <c r="B725" t="s">
        <v>11</v>
      </c>
      <c r="C725" t="s">
        <v>30</v>
      </c>
      <c r="D725" t="str">
        <f>TRIM(Table1[[#This Row],[Product]])</f>
        <v>Desk</v>
      </c>
      <c r="E725" t="str">
        <f>PROPER(Table1[[#This Row],[Column1]])</f>
        <v>Desk</v>
      </c>
      <c r="F725" s="8" t="str">
        <f t="shared" si="55"/>
        <v>Furniture</v>
      </c>
      <c r="G725" s="5">
        <v>15</v>
      </c>
      <c r="H725">
        <v>185</v>
      </c>
      <c r="I725" t="s">
        <v>57</v>
      </c>
      <c r="J725" t="s">
        <v>58</v>
      </c>
      <c r="K725" s="7">
        <v>0</v>
      </c>
      <c r="L725" t="s">
        <v>18</v>
      </c>
      <c r="M725" s="5">
        <v>2775</v>
      </c>
      <c r="N725" t="s">
        <v>88</v>
      </c>
      <c r="O725" t="s">
        <v>60</v>
      </c>
      <c r="P725" s="5">
        <v>0</v>
      </c>
      <c r="Q725" t="s">
        <v>1493</v>
      </c>
      <c r="R725" t="s">
        <v>1494</v>
      </c>
      <c r="S725" s="5">
        <v>29.31</v>
      </c>
      <c r="T725" s="3">
        <v>44941</v>
      </c>
      <c r="U725" s="3">
        <v>44943</v>
      </c>
      <c r="V725" t="s">
        <v>74</v>
      </c>
      <c r="W725">
        <f t="shared" si="57"/>
        <v>2775</v>
      </c>
      <c r="X725">
        <f t="shared" si="58"/>
        <v>2775</v>
      </c>
      <c r="Y725">
        <f t="shared" si="59"/>
        <v>0</v>
      </c>
      <c r="Z725" s="8" t="str">
        <f t="shared" si="56"/>
        <v>No Discount</v>
      </c>
      <c r="AA725" s="12">
        <f>DATE(YEAR(Table1[[#This Row],[OrderDate]]),MONTH(Table1[[#This Row],[OrderDate]]),1)</f>
        <v>44927</v>
      </c>
    </row>
    <row r="726" spans="1:27" x14ac:dyDescent="0.3">
      <c r="A726" s="3">
        <v>45300</v>
      </c>
      <c r="B726" t="s">
        <v>7</v>
      </c>
      <c r="C726" t="s">
        <v>32</v>
      </c>
      <c r="D726" t="str">
        <f>TRIM(Table1[[#This Row],[Product]])</f>
        <v>Monitor</v>
      </c>
      <c r="E726" t="str">
        <f>PROPER(Table1[[#This Row],[Column1]])</f>
        <v>Monitor</v>
      </c>
      <c r="F726" s="8" t="str">
        <f t="shared" si="55"/>
        <v>Technology</v>
      </c>
      <c r="G726" s="5">
        <v>19</v>
      </c>
      <c r="H726">
        <v>380.82</v>
      </c>
      <c r="I726" t="s">
        <v>81</v>
      </c>
      <c r="J726" t="s">
        <v>58</v>
      </c>
      <c r="K726" s="7">
        <v>0.1</v>
      </c>
      <c r="L726" t="s">
        <v>23</v>
      </c>
      <c r="M726" s="5">
        <v>6512.0219999999999</v>
      </c>
      <c r="N726" t="s">
        <v>82</v>
      </c>
      <c r="O726" t="s">
        <v>67</v>
      </c>
      <c r="P726" s="5">
        <v>0</v>
      </c>
      <c r="Q726" t="s">
        <v>1495</v>
      </c>
      <c r="R726" t="s">
        <v>1496</v>
      </c>
      <c r="S726" s="5">
        <v>48.73</v>
      </c>
      <c r="T726" s="3">
        <v>45300</v>
      </c>
      <c r="U726" s="3">
        <v>45303</v>
      </c>
      <c r="V726" t="s">
        <v>77</v>
      </c>
      <c r="W726">
        <f t="shared" si="57"/>
        <v>5860.8198000000002</v>
      </c>
      <c r="X726">
        <f t="shared" si="58"/>
        <v>7235.58</v>
      </c>
      <c r="Y726">
        <f t="shared" si="59"/>
        <v>1374.7601999999997</v>
      </c>
      <c r="Z726" s="8" t="str">
        <f t="shared" si="56"/>
        <v>Medium</v>
      </c>
      <c r="AA726" s="12">
        <f>DATE(YEAR(Table1[[#This Row],[OrderDate]]),MONTH(Table1[[#This Row],[OrderDate]]),1)</f>
        <v>45292</v>
      </c>
    </row>
    <row r="727" spans="1:27" x14ac:dyDescent="0.3">
      <c r="A727" s="3">
        <v>45119</v>
      </c>
      <c r="B727" t="s">
        <v>13</v>
      </c>
      <c r="C727" t="s">
        <v>29</v>
      </c>
      <c r="D727" t="str">
        <f>TRIM(Table1[[#This Row],[Product]])</f>
        <v>Chair</v>
      </c>
      <c r="E727" t="str">
        <f>PROPER(Table1[[#This Row],[Column1]])</f>
        <v>Chair</v>
      </c>
      <c r="F727" s="8" t="str">
        <f t="shared" si="55"/>
        <v>Furniture</v>
      </c>
      <c r="G727" s="5">
        <v>4</v>
      </c>
      <c r="H727">
        <v>444.87</v>
      </c>
      <c r="I727" t="s">
        <v>57</v>
      </c>
      <c r="J727" t="s">
        <v>65</v>
      </c>
      <c r="K727" s="7">
        <v>0.15</v>
      </c>
      <c r="L727" t="s">
        <v>21</v>
      </c>
      <c r="M727" s="5">
        <v>1512.558</v>
      </c>
      <c r="N727" t="s">
        <v>59</v>
      </c>
      <c r="O727" t="s">
        <v>60</v>
      </c>
      <c r="P727" s="5">
        <v>0</v>
      </c>
      <c r="Q727" t="s">
        <v>1497</v>
      </c>
      <c r="R727" t="s">
        <v>1498</v>
      </c>
      <c r="S727" s="5">
        <v>47.14</v>
      </c>
      <c r="T727" s="3">
        <v>45119</v>
      </c>
      <c r="U727" s="3">
        <v>45128</v>
      </c>
      <c r="V727" t="s">
        <v>70</v>
      </c>
      <c r="W727">
        <f t="shared" si="57"/>
        <v>1285.6742999999999</v>
      </c>
      <c r="X727">
        <f t="shared" si="58"/>
        <v>1779.48</v>
      </c>
      <c r="Y727">
        <f t="shared" si="59"/>
        <v>493.80570000000012</v>
      </c>
      <c r="Z727" s="8" t="str">
        <f t="shared" si="56"/>
        <v>High</v>
      </c>
      <c r="AA727" s="12">
        <f>DATE(YEAR(Table1[[#This Row],[OrderDate]]),MONTH(Table1[[#This Row],[OrderDate]]),1)</f>
        <v>45108</v>
      </c>
    </row>
    <row r="728" spans="1:27" x14ac:dyDescent="0.3">
      <c r="A728" s="3">
        <v>45829</v>
      </c>
      <c r="B728" t="s">
        <v>9</v>
      </c>
      <c r="C728" t="s">
        <v>29</v>
      </c>
      <c r="D728" t="str">
        <f>TRIM(Table1[[#This Row],[Product]])</f>
        <v>Chair</v>
      </c>
      <c r="E728" t="str">
        <f>PROPER(Table1[[#This Row],[Column1]])</f>
        <v>Chair</v>
      </c>
      <c r="F728" s="8" t="str">
        <f t="shared" si="55"/>
        <v>Furniture</v>
      </c>
      <c r="G728" s="5">
        <v>7</v>
      </c>
      <c r="H728">
        <v>590.79</v>
      </c>
      <c r="I728" t="s">
        <v>57</v>
      </c>
      <c r="J728" t="s">
        <v>65</v>
      </c>
      <c r="K728" s="7">
        <v>0.05</v>
      </c>
      <c r="L728" t="s">
        <v>25</v>
      </c>
      <c r="M728" s="5">
        <v>3928.7534999999989</v>
      </c>
      <c r="N728" t="s">
        <v>88</v>
      </c>
      <c r="O728" t="s">
        <v>60</v>
      </c>
      <c r="P728" s="5">
        <v>1</v>
      </c>
      <c r="Q728" t="s">
        <v>1499</v>
      </c>
      <c r="R728" t="s">
        <v>1500</v>
      </c>
      <c r="S728" s="5">
        <v>41.39</v>
      </c>
      <c r="T728" s="3">
        <v>45829</v>
      </c>
      <c r="U728" s="3">
        <v>45834</v>
      </c>
      <c r="V728" t="s">
        <v>63</v>
      </c>
      <c r="W728">
        <f t="shared" si="57"/>
        <v>3732.3158249999988</v>
      </c>
      <c r="X728">
        <f t="shared" si="58"/>
        <v>4135.53</v>
      </c>
      <c r="Y728">
        <f t="shared" si="59"/>
        <v>403.21417500000098</v>
      </c>
      <c r="Z728" s="8" t="str">
        <f t="shared" si="56"/>
        <v>Medium</v>
      </c>
      <c r="AA728" s="12">
        <f>DATE(YEAR(Table1[[#This Row],[OrderDate]]),MONTH(Table1[[#This Row],[OrderDate]]),1)</f>
        <v>45809</v>
      </c>
    </row>
    <row r="729" spans="1:27" x14ac:dyDescent="0.3">
      <c r="A729" s="3">
        <v>45655</v>
      </c>
      <c r="B729" t="s">
        <v>11</v>
      </c>
      <c r="C729" t="s">
        <v>34</v>
      </c>
      <c r="D729" t="str">
        <f>TRIM(Table1[[#This Row],[Product]])</f>
        <v>Printer</v>
      </c>
      <c r="E729" t="str">
        <f>PROPER(Table1[[#This Row],[Column1]])</f>
        <v>Printer</v>
      </c>
      <c r="F729" s="8" t="str">
        <f t="shared" si="55"/>
        <v>Office Supplies</v>
      </c>
      <c r="G729" s="5">
        <v>5</v>
      </c>
      <c r="H729">
        <v>34.58</v>
      </c>
      <c r="I729" t="s">
        <v>64</v>
      </c>
      <c r="J729" t="s">
        <v>65</v>
      </c>
      <c r="K729" s="7">
        <v>0.1</v>
      </c>
      <c r="L729" t="s">
        <v>27</v>
      </c>
      <c r="M729" s="5">
        <v>155.61000000000001</v>
      </c>
      <c r="N729" t="s">
        <v>66</v>
      </c>
      <c r="O729" t="s">
        <v>71</v>
      </c>
      <c r="P729" s="5">
        <v>0</v>
      </c>
      <c r="Q729" t="s">
        <v>1501</v>
      </c>
      <c r="R729" t="s">
        <v>1502</v>
      </c>
      <c r="S729" s="5">
        <v>27.1</v>
      </c>
      <c r="T729" s="3">
        <v>45655</v>
      </c>
      <c r="U729" s="3">
        <v>45659</v>
      </c>
      <c r="V729" t="s">
        <v>74</v>
      </c>
      <c r="W729">
        <f t="shared" si="57"/>
        <v>140.04900000000001</v>
      </c>
      <c r="X729">
        <f t="shared" si="58"/>
        <v>172.89999999999998</v>
      </c>
      <c r="Y729">
        <f t="shared" si="59"/>
        <v>32.850999999999971</v>
      </c>
      <c r="Z729" s="8" t="str">
        <f t="shared" si="56"/>
        <v>Medium</v>
      </c>
      <c r="AA729" s="12">
        <f>DATE(YEAR(Table1[[#This Row],[OrderDate]]),MONTH(Table1[[#This Row],[OrderDate]]),1)</f>
        <v>45627</v>
      </c>
    </row>
    <row r="730" spans="1:27" x14ac:dyDescent="0.3">
      <c r="A730" s="3">
        <v>45069</v>
      </c>
      <c r="B730" t="s">
        <v>16</v>
      </c>
      <c r="C730" t="s">
        <v>35</v>
      </c>
      <c r="D730" t="str">
        <f>TRIM(Table1[[#This Row],[Product]])</f>
        <v>Tablet</v>
      </c>
      <c r="E730" t="str">
        <f>PROPER(Table1[[#This Row],[Column1]])</f>
        <v>Tablet</v>
      </c>
      <c r="F730" s="8" t="str">
        <f t="shared" si="55"/>
        <v>Technology</v>
      </c>
      <c r="G730" s="5">
        <v>9</v>
      </c>
      <c r="H730">
        <v>438.22</v>
      </c>
      <c r="I730" t="s">
        <v>81</v>
      </c>
      <c r="J730" t="s">
        <v>65</v>
      </c>
      <c r="K730" s="7">
        <v>0.05</v>
      </c>
      <c r="L730" t="s">
        <v>19</v>
      </c>
      <c r="M730" s="5">
        <v>3746.7809999999999</v>
      </c>
      <c r="N730" t="s">
        <v>88</v>
      </c>
      <c r="P730" s="5">
        <v>0</v>
      </c>
      <c r="Q730" t="s">
        <v>1503</v>
      </c>
      <c r="R730" t="s">
        <v>1504</v>
      </c>
      <c r="S730" s="5">
        <v>22.73</v>
      </c>
      <c r="T730" s="3">
        <v>45069</v>
      </c>
      <c r="U730" s="3">
        <v>45075</v>
      </c>
      <c r="V730" t="s">
        <v>95</v>
      </c>
      <c r="W730">
        <f t="shared" si="57"/>
        <v>3559.4419499999999</v>
      </c>
      <c r="X730">
        <f t="shared" si="58"/>
        <v>3943.9800000000005</v>
      </c>
      <c r="Y730">
        <f t="shared" si="59"/>
        <v>384.53805000000057</v>
      </c>
      <c r="Z730" s="8" t="str">
        <f t="shared" si="56"/>
        <v>Medium</v>
      </c>
      <c r="AA730" s="12">
        <f>DATE(YEAR(Table1[[#This Row],[OrderDate]]),MONTH(Table1[[#This Row],[OrderDate]]),1)</f>
        <v>45047</v>
      </c>
    </row>
    <row r="731" spans="1:27" x14ac:dyDescent="0.3">
      <c r="A731" s="3">
        <v>45385</v>
      </c>
      <c r="B731" t="s">
        <v>7</v>
      </c>
      <c r="C731" t="s">
        <v>30</v>
      </c>
      <c r="D731" t="str">
        <f>TRIM(Table1[[#This Row],[Product]])</f>
        <v>Desk</v>
      </c>
      <c r="E731" t="str">
        <f>PROPER(Table1[[#This Row],[Column1]])</f>
        <v>Desk</v>
      </c>
      <c r="F731" s="8" t="str">
        <f t="shared" si="55"/>
        <v>Furniture</v>
      </c>
      <c r="G731" s="5">
        <v>5</v>
      </c>
      <c r="H731">
        <v>84.91</v>
      </c>
      <c r="I731" t="s">
        <v>64</v>
      </c>
      <c r="J731" t="s">
        <v>65</v>
      </c>
      <c r="K731" s="7">
        <v>0.1</v>
      </c>
      <c r="L731" t="s">
        <v>21</v>
      </c>
      <c r="M731" s="5">
        <v>382.09500000000003</v>
      </c>
      <c r="N731" t="s">
        <v>88</v>
      </c>
      <c r="O731" t="s">
        <v>60</v>
      </c>
      <c r="P731" s="5">
        <v>1</v>
      </c>
      <c r="Q731" t="s">
        <v>1505</v>
      </c>
      <c r="R731" t="s">
        <v>1506</v>
      </c>
      <c r="S731" s="5">
        <v>29.06</v>
      </c>
      <c r="T731" s="3">
        <v>45385</v>
      </c>
      <c r="U731" s="3">
        <v>45391</v>
      </c>
      <c r="V731" t="s">
        <v>77</v>
      </c>
      <c r="W731">
        <f t="shared" si="57"/>
        <v>343.88550000000004</v>
      </c>
      <c r="X731">
        <f t="shared" si="58"/>
        <v>424.54999999999995</v>
      </c>
      <c r="Y731">
        <f t="shared" si="59"/>
        <v>80.664499999999919</v>
      </c>
      <c r="Z731" s="8" t="str">
        <f t="shared" si="56"/>
        <v>Medium</v>
      </c>
      <c r="AA731" s="12">
        <f>DATE(YEAR(Table1[[#This Row],[OrderDate]]),MONTH(Table1[[#This Row],[OrderDate]]),1)</f>
        <v>45383</v>
      </c>
    </row>
    <row r="732" spans="1:27" x14ac:dyDescent="0.3">
      <c r="A732" s="3">
        <v>45308</v>
      </c>
      <c r="B732" t="s">
        <v>9</v>
      </c>
      <c r="C732" t="s">
        <v>31</v>
      </c>
      <c r="D732" t="str">
        <f>TRIM(Table1[[#This Row],[Product]])</f>
        <v>Laptop</v>
      </c>
      <c r="E732" t="str">
        <f>PROPER(Table1[[#This Row],[Column1]])</f>
        <v>Laptop</v>
      </c>
      <c r="F732" s="8" t="str">
        <f t="shared" si="55"/>
        <v>Technology</v>
      </c>
      <c r="G732" s="5">
        <v>7</v>
      </c>
      <c r="H732">
        <v>322.11</v>
      </c>
      <c r="I732" t="s">
        <v>78</v>
      </c>
      <c r="J732" t="s">
        <v>58</v>
      </c>
      <c r="K732" s="7">
        <v>0.1</v>
      </c>
      <c r="L732" t="s">
        <v>23</v>
      </c>
      <c r="M732" s="5">
        <v>2029.2929999999999</v>
      </c>
      <c r="N732" t="s">
        <v>85</v>
      </c>
      <c r="O732" t="s">
        <v>67</v>
      </c>
      <c r="P732" s="5">
        <v>0</v>
      </c>
      <c r="Q732" t="s">
        <v>1507</v>
      </c>
      <c r="R732" t="s">
        <v>1508</v>
      </c>
      <c r="S732" s="5">
        <v>19.91</v>
      </c>
      <c r="T732" s="3">
        <v>45308</v>
      </c>
      <c r="U732" s="3">
        <v>45318</v>
      </c>
      <c r="V732" t="s">
        <v>63</v>
      </c>
      <c r="W732">
        <f t="shared" si="57"/>
        <v>1826.3636999999999</v>
      </c>
      <c r="X732">
        <f t="shared" si="58"/>
        <v>2254.77</v>
      </c>
      <c r="Y732">
        <f t="shared" si="59"/>
        <v>428.4063000000001</v>
      </c>
      <c r="Z732" s="8" t="str">
        <f t="shared" si="56"/>
        <v>Medium</v>
      </c>
      <c r="AA732" s="12">
        <f>DATE(YEAR(Table1[[#This Row],[OrderDate]]),MONTH(Table1[[#This Row],[OrderDate]]),1)</f>
        <v>45292</v>
      </c>
    </row>
    <row r="733" spans="1:27" x14ac:dyDescent="0.3">
      <c r="A733" s="3">
        <v>45752</v>
      </c>
      <c r="B733" t="s">
        <v>7</v>
      </c>
      <c r="C733" t="s">
        <v>32</v>
      </c>
      <c r="D733" t="str">
        <f>TRIM(Table1[[#This Row],[Product]])</f>
        <v>Monitor</v>
      </c>
      <c r="E733" t="str">
        <f>PROPER(Table1[[#This Row],[Column1]])</f>
        <v>Monitor</v>
      </c>
      <c r="F733" s="8" t="str">
        <f t="shared" si="55"/>
        <v>Technology</v>
      </c>
      <c r="G733" s="5">
        <v>2</v>
      </c>
      <c r="H733">
        <v>231.96</v>
      </c>
      <c r="I733" t="s">
        <v>57</v>
      </c>
      <c r="J733" t="s">
        <v>65</v>
      </c>
      <c r="K733" s="7">
        <v>0.1</v>
      </c>
      <c r="L733" t="s">
        <v>18</v>
      </c>
      <c r="M733" s="5">
        <v>417.52800000000002</v>
      </c>
      <c r="N733" t="s">
        <v>85</v>
      </c>
      <c r="P733" s="5">
        <v>1</v>
      </c>
      <c r="Q733" t="s">
        <v>1509</v>
      </c>
      <c r="R733" t="s">
        <v>1510</v>
      </c>
      <c r="S733" s="5">
        <v>32.659999999999997</v>
      </c>
      <c r="T733" s="3">
        <v>45752</v>
      </c>
      <c r="U733" s="3">
        <v>45761</v>
      </c>
      <c r="V733" t="s">
        <v>77</v>
      </c>
      <c r="W733">
        <f t="shared" si="57"/>
        <v>375.77520000000004</v>
      </c>
      <c r="X733">
        <f t="shared" si="58"/>
        <v>463.92</v>
      </c>
      <c r="Y733">
        <f t="shared" si="59"/>
        <v>88.144799999999975</v>
      </c>
      <c r="Z733" s="8" t="str">
        <f t="shared" si="56"/>
        <v>Medium</v>
      </c>
      <c r="AA733" s="12">
        <f>DATE(YEAR(Table1[[#This Row],[OrderDate]]),MONTH(Table1[[#This Row],[OrderDate]]),1)</f>
        <v>45748</v>
      </c>
    </row>
    <row r="734" spans="1:27" x14ac:dyDescent="0.3">
      <c r="A734" s="3">
        <v>45764</v>
      </c>
      <c r="B734" t="s">
        <v>7</v>
      </c>
      <c r="C734" t="s">
        <v>29</v>
      </c>
      <c r="D734" t="str">
        <f>TRIM(Table1[[#This Row],[Product]])</f>
        <v>Chair</v>
      </c>
      <c r="E734" t="str">
        <f>PROPER(Table1[[#This Row],[Column1]])</f>
        <v>Chair</v>
      </c>
      <c r="F734" s="8" t="str">
        <f t="shared" si="55"/>
        <v>Furniture</v>
      </c>
      <c r="G734" s="5">
        <v>15</v>
      </c>
      <c r="H734">
        <v>242.07</v>
      </c>
      <c r="I734" t="s">
        <v>64</v>
      </c>
      <c r="J734" t="s">
        <v>58</v>
      </c>
      <c r="K734" s="7">
        <v>0.15</v>
      </c>
      <c r="L734" t="s">
        <v>19</v>
      </c>
      <c r="M734" s="5">
        <v>3086.392499999999</v>
      </c>
      <c r="N734" t="s">
        <v>82</v>
      </c>
      <c r="P734" s="5">
        <v>0</v>
      </c>
      <c r="Q734" t="s">
        <v>1511</v>
      </c>
      <c r="R734" t="s">
        <v>1512</v>
      </c>
      <c r="S734" s="5">
        <v>19.18</v>
      </c>
      <c r="T734" s="3">
        <v>45764</v>
      </c>
      <c r="U734" s="3">
        <v>45770</v>
      </c>
      <c r="V734" t="s">
        <v>77</v>
      </c>
      <c r="W734">
        <f t="shared" si="57"/>
        <v>2623.4336249999992</v>
      </c>
      <c r="X734">
        <f t="shared" si="58"/>
        <v>3631.0499999999997</v>
      </c>
      <c r="Y734">
        <f t="shared" si="59"/>
        <v>1007.6163750000005</v>
      </c>
      <c r="Z734" s="8" t="str">
        <f t="shared" si="56"/>
        <v>High</v>
      </c>
      <c r="AA734" s="12">
        <f>DATE(YEAR(Table1[[#This Row],[OrderDate]]),MONTH(Table1[[#This Row],[OrderDate]]),1)</f>
        <v>45748</v>
      </c>
    </row>
    <row r="735" spans="1:27" x14ac:dyDescent="0.3">
      <c r="A735" s="3">
        <v>45577</v>
      </c>
      <c r="B735" t="s">
        <v>7</v>
      </c>
      <c r="C735" t="s">
        <v>31</v>
      </c>
      <c r="D735" t="str">
        <f>TRIM(Table1[[#This Row],[Product]])</f>
        <v>Laptop</v>
      </c>
      <c r="E735" t="str">
        <f>PROPER(Table1[[#This Row],[Column1]])</f>
        <v>Laptop</v>
      </c>
      <c r="F735" s="8" t="str">
        <f t="shared" si="55"/>
        <v>Technology</v>
      </c>
      <c r="G735" s="5">
        <v>2</v>
      </c>
      <c r="H735">
        <v>48.02</v>
      </c>
      <c r="I735" t="s">
        <v>78</v>
      </c>
      <c r="J735" t="s">
        <v>65</v>
      </c>
      <c r="K735" s="7">
        <v>0.05</v>
      </c>
      <c r="L735" t="s">
        <v>21</v>
      </c>
      <c r="M735" s="5">
        <v>91.238</v>
      </c>
      <c r="N735" t="s">
        <v>85</v>
      </c>
      <c r="O735" t="s">
        <v>60</v>
      </c>
      <c r="P735" s="5">
        <v>1</v>
      </c>
      <c r="Q735" t="s">
        <v>1513</v>
      </c>
      <c r="R735" t="s">
        <v>1514</v>
      </c>
      <c r="S735" s="5">
        <v>25.81</v>
      </c>
      <c r="T735" s="3">
        <v>45577</v>
      </c>
      <c r="U735" s="3">
        <v>45580</v>
      </c>
      <c r="V735" t="s">
        <v>77</v>
      </c>
      <c r="W735">
        <f t="shared" si="57"/>
        <v>86.676099999999991</v>
      </c>
      <c r="X735">
        <f t="shared" si="58"/>
        <v>96.04</v>
      </c>
      <c r="Y735">
        <f t="shared" si="59"/>
        <v>9.3639000000000152</v>
      </c>
      <c r="Z735" s="8" t="str">
        <f t="shared" si="56"/>
        <v>Medium</v>
      </c>
      <c r="AA735" s="12">
        <f>DATE(YEAR(Table1[[#This Row],[OrderDate]]),MONTH(Table1[[#This Row],[OrderDate]]),1)</f>
        <v>45566</v>
      </c>
    </row>
    <row r="736" spans="1:27" x14ac:dyDescent="0.3">
      <c r="A736" s="3">
        <v>45500</v>
      </c>
      <c r="B736" t="s">
        <v>7</v>
      </c>
      <c r="C736" t="s">
        <v>29</v>
      </c>
      <c r="D736" t="str">
        <f>TRIM(Table1[[#This Row],[Product]])</f>
        <v>Chair</v>
      </c>
      <c r="E736" t="str">
        <f>PROPER(Table1[[#This Row],[Column1]])</f>
        <v>Chair</v>
      </c>
      <c r="F736" s="8" t="str">
        <f t="shared" si="55"/>
        <v>Furniture</v>
      </c>
      <c r="G736" s="5">
        <v>1</v>
      </c>
      <c r="H736">
        <v>534.28</v>
      </c>
      <c r="I736" t="s">
        <v>81</v>
      </c>
      <c r="J736" t="s">
        <v>58</v>
      </c>
      <c r="K736" s="7">
        <v>0.1</v>
      </c>
      <c r="L736" t="s">
        <v>25</v>
      </c>
      <c r="M736" s="5">
        <v>480.85199999999998</v>
      </c>
      <c r="N736" t="s">
        <v>59</v>
      </c>
      <c r="O736" t="s">
        <v>60</v>
      </c>
      <c r="P736" s="5">
        <v>0</v>
      </c>
      <c r="Q736" t="s">
        <v>1515</v>
      </c>
      <c r="R736" t="s">
        <v>1516</v>
      </c>
      <c r="S736" s="5">
        <v>31.3</v>
      </c>
      <c r="T736" s="3">
        <v>45500</v>
      </c>
      <c r="U736" s="3">
        <v>45505</v>
      </c>
      <c r="V736" t="s">
        <v>77</v>
      </c>
      <c r="W736">
        <f t="shared" si="57"/>
        <v>432.76679999999999</v>
      </c>
      <c r="X736">
        <f t="shared" si="58"/>
        <v>534.28</v>
      </c>
      <c r="Y736">
        <f t="shared" si="59"/>
        <v>101.51319999999998</v>
      </c>
      <c r="Z736" s="8" t="str">
        <f t="shared" si="56"/>
        <v>Medium</v>
      </c>
      <c r="AA736" s="12">
        <f>DATE(YEAR(Table1[[#This Row],[OrderDate]]),MONTH(Table1[[#This Row],[OrderDate]]),1)</f>
        <v>45474</v>
      </c>
    </row>
    <row r="737" spans="1:27" x14ac:dyDescent="0.3">
      <c r="A737" s="3">
        <v>45667</v>
      </c>
      <c r="B737" t="s">
        <v>16</v>
      </c>
      <c r="C737" t="s">
        <v>35</v>
      </c>
      <c r="D737" t="str">
        <f>TRIM(Table1[[#This Row],[Product]])</f>
        <v>Tablet</v>
      </c>
      <c r="E737" t="str">
        <f>PROPER(Table1[[#This Row],[Column1]])</f>
        <v>Tablet</v>
      </c>
      <c r="F737" s="8" t="str">
        <f t="shared" si="55"/>
        <v>Technology</v>
      </c>
      <c r="G737" s="5">
        <v>3</v>
      </c>
      <c r="H737">
        <v>98.15</v>
      </c>
      <c r="I737" t="s">
        <v>81</v>
      </c>
      <c r="J737" t="s">
        <v>58</v>
      </c>
      <c r="K737" s="7">
        <v>0.15</v>
      </c>
      <c r="L737" t="s">
        <v>23</v>
      </c>
      <c r="M737" s="5">
        <v>250.2825</v>
      </c>
      <c r="N737" t="s">
        <v>85</v>
      </c>
      <c r="O737" t="s">
        <v>67</v>
      </c>
      <c r="P737" s="5">
        <v>0</v>
      </c>
      <c r="Q737" t="s">
        <v>1517</v>
      </c>
      <c r="R737" t="s">
        <v>1518</v>
      </c>
      <c r="S737" s="5">
        <v>46.37</v>
      </c>
      <c r="T737" s="3">
        <v>45667</v>
      </c>
      <c r="U737" s="3">
        <v>45675</v>
      </c>
      <c r="V737" t="s">
        <v>95</v>
      </c>
      <c r="W737">
        <f t="shared" si="57"/>
        <v>212.74012500000001</v>
      </c>
      <c r="X737">
        <f t="shared" si="58"/>
        <v>294.45000000000005</v>
      </c>
      <c r="Y737">
        <f t="shared" si="59"/>
        <v>81.709875000000039</v>
      </c>
      <c r="Z737" s="8" t="str">
        <f t="shared" si="56"/>
        <v>High</v>
      </c>
      <c r="AA737" s="12">
        <f>DATE(YEAR(Table1[[#This Row],[OrderDate]]),MONTH(Table1[[#This Row],[OrderDate]]),1)</f>
        <v>45658</v>
      </c>
    </row>
    <row r="738" spans="1:27" x14ac:dyDescent="0.3">
      <c r="A738" s="3">
        <v>45498</v>
      </c>
      <c r="B738" t="s">
        <v>13</v>
      </c>
      <c r="C738" t="s">
        <v>29</v>
      </c>
      <c r="D738" t="str">
        <f>TRIM(Table1[[#This Row],[Product]])</f>
        <v>Chair</v>
      </c>
      <c r="E738" t="str">
        <f>PROPER(Table1[[#This Row],[Column1]])</f>
        <v>Chair</v>
      </c>
      <c r="F738" s="8" t="str">
        <f t="shared" si="55"/>
        <v>Furniture</v>
      </c>
      <c r="G738" s="5">
        <v>12</v>
      </c>
      <c r="H738">
        <v>61.85</v>
      </c>
      <c r="I738" t="s">
        <v>81</v>
      </c>
      <c r="J738" t="s">
        <v>58</v>
      </c>
      <c r="K738" s="7">
        <v>0.05</v>
      </c>
      <c r="L738" t="s">
        <v>18</v>
      </c>
      <c r="M738" s="5">
        <v>705.09</v>
      </c>
      <c r="N738" t="s">
        <v>82</v>
      </c>
      <c r="P738" s="5">
        <v>1</v>
      </c>
      <c r="Q738" t="s">
        <v>1519</v>
      </c>
      <c r="R738" t="s">
        <v>1520</v>
      </c>
      <c r="S738" s="5">
        <v>24.34</v>
      </c>
      <c r="T738" s="3">
        <v>45498</v>
      </c>
      <c r="U738" s="3">
        <v>45504</v>
      </c>
      <c r="V738" t="s">
        <v>70</v>
      </c>
      <c r="W738">
        <f t="shared" si="57"/>
        <v>669.83550000000002</v>
      </c>
      <c r="X738">
        <f t="shared" si="58"/>
        <v>742.2</v>
      </c>
      <c r="Y738">
        <f t="shared" si="59"/>
        <v>72.364500000000021</v>
      </c>
      <c r="Z738" s="8" t="str">
        <f t="shared" si="56"/>
        <v>Medium</v>
      </c>
      <c r="AA738" s="12">
        <f>DATE(YEAR(Table1[[#This Row],[OrderDate]]),MONTH(Table1[[#This Row],[OrderDate]]),1)</f>
        <v>45474</v>
      </c>
    </row>
    <row r="739" spans="1:27" x14ac:dyDescent="0.3">
      <c r="A739" s="3">
        <v>45434</v>
      </c>
      <c r="B739" t="s">
        <v>16</v>
      </c>
      <c r="C739" t="s">
        <v>35</v>
      </c>
      <c r="D739" t="str">
        <f>TRIM(Table1[[#This Row],[Product]])</f>
        <v>Tablet</v>
      </c>
      <c r="E739" t="str">
        <f>PROPER(Table1[[#This Row],[Column1]])</f>
        <v>Tablet</v>
      </c>
      <c r="F739" s="8" t="str">
        <f t="shared" si="55"/>
        <v>Technology</v>
      </c>
      <c r="G739" s="5">
        <v>6</v>
      </c>
      <c r="H739">
        <v>268.33999999999997</v>
      </c>
      <c r="I739" t="s">
        <v>64</v>
      </c>
      <c r="J739" t="s">
        <v>58</v>
      </c>
      <c r="K739" s="7">
        <v>0.1</v>
      </c>
      <c r="L739" t="s">
        <v>23</v>
      </c>
      <c r="M739" s="5">
        <v>1449.0360000000001</v>
      </c>
      <c r="N739" t="s">
        <v>85</v>
      </c>
      <c r="O739" t="s">
        <v>71</v>
      </c>
      <c r="P739" s="5">
        <v>1</v>
      </c>
      <c r="Q739" t="s">
        <v>1521</v>
      </c>
      <c r="R739" t="s">
        <v>1522</v>
      </c>
      <c r="S739" s="5">
        <v>35.69</v>
      </c>
      <c r="T739" s="3">
        <v>45434</v>
      </c>
      <c r="U739" s="3">
        <v>45437</v>
      </c>
      <c r="V739" t="s">
        <v>95</v>
      </c>
      <c r="W739">
        <f t="shared" si="57"/>
        <v>1304.1324000000002</v>
      </c>
      <c r="X739">
        <f t="shared" si="58"/>
        <v>1610.04</v>
      </c>
      <c r="Y739">
        <f t="shared" si="59"/>
        <v>305.90759999999977</v>
      </c>
      <c r="Z739" s="8" t="str">
        <f t="shared" si="56"/>
        <v>Medium</v>
      </c>
      <c r="AA739" s="12">
        <f>DATE(YEAR(Table1[[#This Row],[OrderDate]]),MONTH(Table1[[#This Row],[OrderDate]]),1)</f>
        <v>45413</v>
      </c>
    </row>
    <row r="740" spans="1:27" x14ac:dyDescent="0.3">
      <c r="A740" s="3">
        <v>45514</v>
      </c>
      <c r="B740" t="s">
        <v>7</v>
      </c>
      <c r="C740" t="s">
        <v>30</v>
      </c>
      <c r="D740" t="str">
        <f>TRIM(Table1[[#This Row],[Product]])</f>
        <v>Desk</v>
      </c>
      <c r="E740" t="str">
        <f>PROPER(Table1[[#This Row],[Column1]])</f>
        <v>Desk</v>
      </c>
      <c r="F740" s="8" t="str">
        <f t="shared" si="55"/>
        <v>Furniture</v>
      </c>
      <c r="G740" s="5">
        <v>4</v>
      </c>
      <c r="H740">
        <v>529.03</v>
      </c>
      <c r="I740" t="s">
        <v>57</v>
      </c>
      <c r="J740" t="s">
        <v>58</v>
      </c>
      <c r="K740" s="7">
        <v>0.05</v>
      </c>
      <c r="L740" t="s">
        <v>21</v>
      </c>
      <c r="M740" s="5">
        <v>2010.3140000000001</v>
      </c>
      <c r="N740" t="s">
        <v>59</v>
      </c>
      <c r="O740" t="s">
        <v>67</v>
      </c>
      <c r="P740" s="5">
        <v>0</v>
      </c>
      <c r="Q740" t="s">
        <v>1523</v>
      </c>
      <c r="R740" t="s">
        <v>1524</v>
      </c>
      <c r="S740" s="5">
        <v>25.96</v>
      </c>
      <c r="T740" s="3">
        <v>45514</v>
      </c>
      <c r="U740" s="3">
        <v>45524</v>
      </c>
      <c r="V740" t="s">
        <v>77</v>
      </c>
      <c r="W740">
        <f t="shared" si="57"/>
        <v>1909.7982999999999</v>
      </c>
      <c r="X740">
        <f t="shared" si="58"/>
        <v>2116.12</v>
      </c>
      <c r="Y740">
        <f t="shared" si="59"/>
        <v>206.32169999999996</v>
      </c>
      <c r="Z740" s="8" t="str">
        <f t="shared" si="56"/>
        <v>Medium</v>
      </c>
      <c r="AA740" s="12">
        <f>DATE(YEAR(Table1[[#This Row],[OrderDate]]),MONTH(Table1[[#This Row],[OrderDate]]),1)</f>
        <v>45505</v>
      </c>
    </row>
    <row r="741" spans="1:27" x14ac:dyDescent="0.3">
      <c r="A741" s="3">
        <v>45043</v>
      </c>
      <c r="B741" t="s">
        <v>16</v>
      </c>
      <c r="C741" t="s">
        <v>35</v>
      </c>
      <c r="D741" t="str">
        <f>TRIM(Table1[[#This Row],[Product]])</f>
        <v>Tablet</v>
      </c>
      <c r="E741" t="str">
        <f>PROPER(Table1[[#This Row],[Column1]])</f>
        <v>Tablet</v>
      </c>
      <c r="F741" s="8" t="str">
        <f t="shared" si="55"/>
        <v>Technology</v>
      </c>
      <c r="G741" s="5">
        <v>2</v>
      </c>
      <c r="H741">
        <v>107.32</v>
      </c>
      <c r="I741" t="s">
        <v>57</v>
      </c>
      <c r="J741" t="s">
        <v>65</v>
      </c>
      <c r="K741" s="7">
        <v>0.05</v>
      </c>
      <c r="L741" t="s">
        <v>18</v>
      </c>
      <c r="M741" s="5">
        <v>203.90799999999999</v>
      </c>
      <c r="N741" t="s">
        <v>82</v>
      </c>
      <c r="P741" s="5">
        <v>0</v>
      </c>
      <c r="Q741" t="s">
        <v>1525</v>
      </c>
      <c r="R741" t="s">
        <v>1526</v>
      </c>
      <c r="S741" s="5">
        <v>47.33</v>
      </c>
      <c r="T741" s="3">
        <v>45043</v>
      </c>
      <c r="U741" s="3">
        <v>45045</v>
      </c>
      <c r="V741" t="s">
        <v>95</v>
      </c>
      <c r="W741">
        <f t="shared" si="57"/>
        <v>193.71259999999998</v>
      </c>
      <c r="X741">
        <f t="shared" si="58"/>
        <v>214.64</v>
      </c>
      <c r="Y741">
        <f t="shared" si="59"/>
        <v>20.927400000000006</v>
      </c>
      <c r="Z741" s="8" t="str">
        <f t="shared" si="56"/>
        <v>Medium</v>
      </c>
      <c r="AA741" s="12">
        <f>DATE(YEAR(Table1[[#This Row],[OrderDate]]),MONTH(Table1[[#This Row],[OrderDate]]),1)</f>
        <v>45017</v>
      </c>
    </row>
    <row r="742" spans="1:27" x14ac:dyDescent="0.3">
      <c r="A742" s="3">
        <v>45098</v>
      </c>
      <c r="B742" t="s">
        <v>13</v>
      </c>
      <c r="C742" t="s">
        <v>35</v>
      </c>
      <c r="D742" t="str">
        <f>TRIM(Table1[[#This Row],[Product]])</f>
        <v>Tablet</v>
      </c>
      <c r="E742" t="str">
        <f>PROPER(Table1[[#This Row],[Column1]])</f>
        <v>Tablet</v>
      </c>
      <c r="F742" s="8" t="str">
        <f t="shared" si="55"/>
        <v>Technology</v>
      </c>
      <c r="G742" s="5">
        <v>1</v>
      </c>
      <c r="H742">
        <v>500.96</v>
      </c>
      <c r="I742" t="s">
        <v>78</v>
      </c>
      <c r="J742" t="s">
        <v>58</v>
      </c>
      <c r="K742" s="7">
        <v>0.05</v>
      </c>
      <c r="L742" t="s">
        <v>27</v>
      </c>
      <c r="M742" s="5">
        <v>475.91199999999998</v>
      </c>
      <c r="N742" t="s">
        <v>59</v>
      </c>
      <c r="O742" t="s">
        <v>71</v>
      </c>
      <c r="P742" s="5">
        <v>0</v>
      </c>
      <c r="Q742" t="s">
        <v>1527</v>
      </c>
      <c r="R742" t="s">
        <v>764</v>
      </c>
      <c r="S742" s="5">
        <v>42.1</v>
      </c>
      <c r="T742" s="3">
        <v>45098</v>
      </c>
      <c r="U742" s="3">
        <v>45102</v>
      </c>
      <c r="V742" t="s">
        <v>70</v>
      </c>
      <c r="W742">
        <f t="shared" si="57"/>
        <v>452.11639999999994</v>
      </c>
      <c r="X742">
        <f t="shared" si="58"/>
        <v>500.96</v>
      </c>
      <c r="Y742">
        <f t="shared" si="59"/>
        <v>48.843600000000038</v>
      </c>
      <c r="Z742" s="8" t="str">
        <f t="shared" si="56"/>
        <v>Medium</v>
      </c>
      <c r="AA742" s="12">
        <f>DATE(YEAR(Table1[[#This Row],[OrderDate]]),MONTH(Table1[[#This Row],[OrderDate]]),1)</f>
        <v>45078</v>
      </c>
    </row>
    <row r="743" spans="1:27" x14ac:dyDescent="0.3">
      <c r="A743" s="3">
        <v>45576</v>
      </c>
      <c r="B743" t="s">
        <v>16</v>
      </c>
      <c r="C743" t="s">
        <v>34</v>
      </c>
      <c r="D743" t="str">
        <f>TRIM(Table1[[#This Row],[Product]])</f>
        <v>Printer</v>
      </c>
      <c r="E743" t="str">
        <f>PROPER(Table1[[#This Row],[Column1]])</f>
        <v>Printer</v>
      </c>
      <c r="F743" s="8" t="str">
        <f t="shared" si="55"/>
        <v>Office Supplies</v>
      </c>
      <c r="G743" s="5">
        <v>17</v>
      </c>
      <c r="H743">
        <v>549.78</v>
      </c>
      <c r="I743" t="s">
        <v>57</v>
      </c>
      <c r="J743" t="s">
        <v>58</v>
      </c>
      <c r="K743" s="7">
        <v>0.05</v>
      </c>
      <c r="L743" t="s">
        <v>18</v>
      </c>
      <c r="M743" s="5">
        <v>8878.9470000000001</v>
      </c>
      <c r="N743" t="s">
        <v>82</v>
      </c>
      <c r="P743" s="5">
        <v>1</v>
      </c>
      <c r="Q743" t="s">
        <v>1528</v>
      </c>
      <c r="R743" t="s">
        <v>1529</v>
      </c>
      <c r="S743" s="5">
        <v>44.42</v>
      </c>
      <c r="T743" s="3">
        <v>45576</v>
      </c>
      <c r="U743" s="3">
        <v>45579</v>
      </c>
      <c r="V743" t="s">
        <v>95</v>
      </c>
      <c r="W743">
        <f t="shared" si="57"/>
        <v>8434.9996499999997</v>
      </c>
      <c r="X743">
        <f t="shared" si="58"/>
        <v>9346.26</v>
      </c>
      <c r="Y743">
        <f t="shared" si="59"/>
        <v>911.26035000000047</v>
      </c>
      <c r="Z743" s="8" t="str">
        <f t="shared" si="56"/>
        <v>Medium</v>
      </c>
      <c r="AA743" s="12">
        <f>DATE(YEAR(Table1[[#This Row],[OrderDate]]),MONTH(Table1[[#This Row],[OrderDate]]),1)</f>
        <v>45566</v>
      </c>
    </row>
    <row r="744" spans="1:27" x14ac:dyDescent="0.3">
      <c r="A744" s="3">
        <v>45683</v>
      </c>
      <c r="B744" t="s">
        <v>11</v>
      </c>
      <c r="C744" t="s">
        <v>31</v>
      </c>
      <c r="D744" t="str">
        <f>TRIM(Table1[[#This Row],[Product]])</f>
        <v>Laptop</v>
      </c>
      <c r="E744" t="str">
        <f>PROPER(Table1[[#This Row],[Column1]])</f>
        <v>Laptop</v>
      </c>
      <c r="F744" s="8" t="str">
        <f t="shared" si="55"/>
        <v>Technology</v>
      </c>
      <c r="G744" s="5">
        <v>3</v>
      </c>
      <c r="H744">
        <v>58.51</v>
      </c>
      <c r="I744" t="s">
        <v>64</v>
      </c>
      <c r="J744" t="s">
        <v>65</v>
      </c>
      <c r="K744" s="7">
        <v>0.05</v>
      </c>
      <c r="L744" t="s">
        <v>21</v>
      </c>
      <c r="M744" s="5">
        <v>166.7535</v>
      </c>
      <c r="N744" t="s">
        <v>88</v>
      </c>
      <c r="O744" t="s">
        <v>71</v>
      </c>
      <c r="P744" s="5">
        <v>0</v>
      </c>
      <c r="Q744" t="s">
        <v>1530</v>
      </c>
      <c r="R744" t="s">
        <v>1531</v>
      </c>
      <c r="S744" s="5">
        <v>23.57</v>
      </c>
      <c r="T744" s="3">
        <v>45683</v>
      </c>
      <c r="U744" s="3">
        <v>45687</v>
      </c>
      <c r="V744" t="s">
        <v>74</v>
      </c>
      <c r="W744">
        <f t="shared" si="57"/>
        <v>158.41582499999998</v>
      </c>
      <c r="X744">
        <f t="shared" si="58"/>
        <v>175.53</v>
      </c>
      <c r="Y744">
        <f t="shared" si="59"/>
        <v>17.114175000000017</v>
      </c>
      <c r="Z744" s="8" t="str">
        <f t="shared" si="56"/>
        <v>Medium</v>
      </c>
      <c r="AA744" s="12">
        <f>DATE(YEAR(Table1[[#This Row],[OrderDate]]),MONTH(Table1[[#This Row],[OrderDate]]),1)</f>
        <v>45658</v>
      </c>
    </row>
    <row r="745" spans="1:27" x14ac:dyDescent="0.3">
      <c r="A745" s="3">
        <v>45461</v>
      </c>
      <c r="B745" t="s">
        <v>13</v>
      </c>
      <c r="C745" t="s">
        <v>29</v>
      </c>
      <c r="D745" t="str">
        <f>TRIM(Table1[[#This Row],[Product]])</f>
        <v>Chair</v>
      </c>
      <c r="E745" t="str">
        <f>PROPER(Table1[[#This Row],[Column1]])</f>
        <v>Chair</v>
      </c>
      <c r="F745" s="8" t="str">
        <f t="shared" si="55"/>
        <v>Furniture</v>
      </c>
      <c r="G745" s="5">
        <v>17</v>
      </c>
      <c r="H745">
        <v>504.08</v>
      </c>
      <c r="I745" t="s">
        <v>64</v>
      </c>
      <c r="J745" t="s">
        <v>58</v>
      </c>
      <c r="K745" s="7">
        <v>0.1</v>
      </c>
      <c r="L745" t="s">
        <v>23</v>
      </c>
      <c r="M745" s="5">
        <v>7712.4240000000009</v>
      </c>
      <c r="N745" t="s">
        <v>59</v>
      </c>
      <c r="O745" t="s">
        <v>67</v>
      </c>
      <c r="P745" s="5">
        <v>0</v>
      </c>
      <c r="Q745" t="s">
        <v>1532</v>
      </c>
      <c r="R745" t="s">
        <v>1533</v>
      </c>
      <c r="S745" s="5">
        <v>26.47</v>
      </c>
      <c r="T745" s="3">
        <v>45461</v>
      </c>
      <c r="U745" s="3">
        <v>45469</v>
      </c>
      <c r="V745" t="s">
        <v>70</v>
      </c>
      <c r="W745">
        <f t="shared" si="57"/>
        <v>6941.1816000000008</v>
      </c>
      <c r="X745">
        <f t="shared" si="58"/>
        <v>8569.36</v>
      </c>
      <c r="Y745">
        <f t="shared" si="59"/>
        <v>1628.1783999999998</v>
      </c>
      <c r="Z745" s="8" t="str">
        <f t="shared" si="56"/>
        <v>Medium</v>
      </c>
      <c r="AA745" s="12">
        <f>DATE(YEAR(Table1[[#This Row],[OrderDate]]),MONTH(Table1[[#This Row],[OrderDate]]),1)</f>
        <v>45444</v>
      </c>
    </row>
    <row r="746" spans="1:27" x14ac:dyDescent="0.3">
      <c r="A746" s="3">
        <v>45826</v>
      </c>
      <c r="B746" t="s">
        <v>9</v>
      </c>
      <c r="C746" t="s">
        <v>32</v>
      </c>
      <c r="D746" t="str">
        <f>TRIM(Table1[[#This Row],[Product]])</f>
        <v>Monitor</v>
      </c>
      <c r="E746" t="str">
        <f>PROPER(Table1[[#This Row],[Column1]])</f>
        <v>Monitor</v>
      </c>
      <c r="F746" s="8" t="str">
        <f t="shared" si="55"/>
        <v>Technology</v>
      </c>
      <c r="G746" s="5">
        <v>17</v>
      </c>
      <c r="H746">
        <v>419.63</v>
      </c>
      <c r="I746" t="s">
        <v>81</v>
      </c>
      <c r="J746" t="s">
        <v>58</v>
      </c>
      <c r="K746" s="7">
        <v>0</v>
      </c>
      <c r="L746" t="s">
        <v>18</v>
      </c>
      <c r="M746" s="5">
        <v>7133.71</v>
      </c>
      <c r="N746" t="s">
        <v>88</v>
      </c>
      <c r="O746" t="s">
        <v>67</v>
      </c>
      <c r="P746" s="5">
        <v>0</v>
      </c>
      <c r="Q746" t="s">
        <v>1534</v>
      </c>
      <c r="R746" t="s">
        <v>1535</v>
      </c>
      <c r="S746" s="5">
        <v>17.399999999999999</v>
      </c>
      <c r="T746" s="3">
        <v>45826</v>
      </c>
      <c r="U746" s="3">
        <v>45832</v>
      </c>
      <c r="V746" t="s">
        <v>63</v>
      </c>
      <c r="W746">
        <f t="shared" si="57"/>
        <v>7133.71</v>
      </c>
      <c r="X746">
        <f t="shared" si="58"/>
        <v>7133.71</v>
      </c>
      <c r="Y746">
        <f t="shared" si="59"/>
        <v>0</v>
      </c>
      <c r="Z746" s="8" t="str">
        <f t="shared" si="56"/>
        <v>No Discount</v>
      </c>
      <c r="AA746" s="12">
        <f>DATE(YEAR(Table1[[#This Row],[OrderDate]]),MONTH(Table1[[#This Row],[OrderDate]]),1)</f>
        <v>45809</v>
      </c>
    </row>
    <row r="747" spans="1:27" x14ac:dyDescent="0.3">
      <c r="A747" s="3">
        <v>45594</v>
      </c>
      <c r="B747" t="s">
        <v>13</v>
      </c>
      <c r="C747" t="s">
        <v>31</v>
      </c>
      <c r="D747" t="str">
        <f>TRIM(Table1[[#This Row],[Product]])</f>
        <v>Laptop</v>
      </c>
      <c r="E747" t="str">
        <f>PROPER(Table1[[#This Row],[Column1]])</f>
        <v>Laptop</v>
      </c>
      <c r="F747" s="8" t="str">
        <f t="shared" si="55"/>
        <v>Technology</v>
      </c>
      <c r="G747" s="5">
        <v>2</v>
      </c>
      <c r="H747">
        <v>267.36</v>
      </c>
      <c r="I747" t="s">
        <v>57</v>
      </c>
      <c r="J747" t="s">
        <v>58</v>
      </c>
      <c r="K747" s="7">
        <v>0.05</v>
      </c>
      <c r="L747" t="s">
        <v>27</v>
      </c>
      <c r="M747" s="5">
        <v>507.98399999999998</v>
      </c>
      <c r="N747" t="s">
        <v>59</v>
      </c>
      <c r="P747" s="5">
        <v>0</v>
      </c>
      <c r="Q747" t="s">
        <v>1536</v>
      </c>
      <c r="R747" t="s">
        <v>1537</v>
      </c>
      <c r="S747" s="5">
        <v>21.36</v>
      </c>
      <c r="T747" s="3">
        <v>45594</v>
      </c>
      <c r="U747" s="3">
        <v>45603</v>
      </c>
      <c r="V747" t="s">
        <v>70</v>
      </c>
      <c r="W747">
        <f t="shared" si="57"/>
        <v>482.58479999999997</v>
      </c>
      <c r="X747">
        <f t="shared" si="58"/>
        <v>534.72</v>
      </c>
      <c r="Y747">
        <f t="shared" si="59"/>
        <v>52.135200000000054</v>
      </c>
      <c r="Z747" s="8" t="str">
        <f t="shared" si="56"/>
        <v>Medium</v>
      </c>
      <c r="AA747" s="12">
        <f>DATE(YEAR(Table1[[#This Row],[OrderDate]]),MONTH(Table1[[#This Row],[OrderDate]]),1)</f>
        <v>45566</v>
      </c>
    </row>
    <row r="748" spans="1:27" x14ac:dyDescent="0.3">
      <c r="A748" s="3">
        <v>45755</v>
      </c>
      <c r="B748" t="s">
        <v>7</v>
      </c>
      <c r="C748" t="s">
        <v>33</v>
      </c>
      <c r="D748" t="str">
        <f>TRIM(Table1[[#This Row],[Product]])</f>
        <v>Phone</v>
      </c>
      <c r="E748" t="str">
        <f>PROPER(Table1[[#This Row],[Column1]])</f>
        <v>Phone</v>
      </c>
      <c r="F748" s="8" t="str">
        <f t="shared" si="55"/>
        <v>Technology</v>
      </c>
      <c r="G748" s="5">
        <v>2</v>
      </c>
      <c r="H748">
        <v>298.06</v>
      </c>
      <c r="I748" t="s">
        <v>57</v>
      </c>
      <c r="J748" t="s">
        <v>58</v>
      </c>
      <c r="K748" s="7">
        <v>0</v>
      </c>
      <c r="L748" t="s">
        <v>18</v>
      </c>
      <c r="M748" s="5">
        <v>596.12</v>
      </c>
      <c r="N748" t="s">
        <v>85</v>
      </c>
      <c r="O748" t="s">
        <v>67</v>
      </c>
      <c r="P748" s="5">
        <v>1</v>
      </c>
      <c r="Q748" t="s">
        <v>1538</v>
      </c>
      <c r="R748" t="s">
        <v>1539</v>
      </c>
      <c r="S748" s="5">
        <v>35.369999999999997</v>
      </c>
      <c r="T748" s="3">
        <v>45755</v>
      </c>
      <c r="U748" s="3">
        <v>45761</v>
      </c>
      <c r="V748" t="s">
        <v>77</v>
      </c>
      <c r="W748">
        <f t="shared" si="57"/>
        <v>596.12</v>
      </c>
      <c r="X748">
        <f t="shared" si="58"/>
        <v>596.12</v>
      </c>
      <c r="Y748">
        <f t="shared" si="59"/>
        <v>0</v>
      </c>
      <c r="Z748" s="8" t="str">
        <f t="shared" si="56"/>
        <v>No Discount</v>
      </c>
      <c r="AA748" s="12">
        <f>DATE(YEAR(Table1[[#This Row],[OrderDate]]),MONTH(Table1[[#This Row],[OrderDate]]),1)</f>
        <v>45748</v>
      </c>
    </row>
    <row r="749" spans="1:27" x14ac:dyDescent="0.3">
      <c r="A749" s="3">
        <v>44957</v>
      </c>
      <c r="B749" t="s">
        <v>7</v>
      </c>
      <c r="C749" t="s">
        <v>35</v>
      </c>
      <c r="D749" t="str">
        <f>TRIM(Table1[[#This Row],[Product]])</f>
        <v>Tablet</v>
      </c>
      <c r="E749" t="str">
        <f>PROPER(Table1[[#This Row],[Column1]])</f>
        <v>Tablet</v>
      </c>
      <c r="F749" s="8" t="str">
        <f t="shared" si="55"/>
        <v>Technology</v>
      </c>
      <c r="G749" s="5">
        <v>13</v>
      </c>
      <c r="H749">
        <v>132.97</v>
      </c>
      <c r="I749" t="s">
        <v>57</v>
      </c>
      <c r="J749" t="s">
        <v>58</v>
      </c>
      <c r="K749" s="7">
        <v>0.05</v>
      </c>
      <c r="L749" t="s">
        <v>27</v>
      </c>
      <c r="M749" s="5">
        <v>1642.1795</v>
      </c>
      <c r="N749" t="s">
        <v>85</v>
      </c>
      <c r="O749" t="s">
        <v>71</v>
      </c>
      <c r="P749" s="5">
        <v>0</v>
      </c>
      <c r="Q749" t="s">
        <v>1540</v>
      </c>
      <c r="R749" t="s">
        <v>1541</v>
      </c>
      <c r="S749" s="5">
        <v>42.87</v>
      </c>
      <c r="T749" s="3">
        <v>44957</v>
      </c>
      <c r="U749" s="3">
        <v>44962</v>
      </c>
      <c r="V749" t="s">
        <v>77</v>
      </c>
      <c r="W749">
        <f t="shared" si="57"/>
        <v>1560.0705249999999</v>
      </c>
      <c r="X749">
        <f t="shared" si="58"/>
        <v>1728.61</v>
      </c>
      <c r="Y749">
        <f t="shared" si="59"/>
        <v>168.53947500000004</v>
      </c>
      <c r="Z749" s="8" t="str">
        <f t="shared" si="56"/>
        <v>Medium</v>
      </c>
      <c r="AA749" s="12">
        <f>DATE(YEAR(Table1[[#This Row],[OrderDate]]),MONTH(Table1[[#This Row],[OrderDate]]),1)</f>
        <v>44927</v>
      </c>
    </row>
    <row r="750" spans="1:27" x14ac:dyDescent="0.3">
      <c r="A750" s="3">
        <v>45366</v>
      </c>
      <c r="B750" t="s">
        <v>16</v>
      </c>
      <c r="C750" t="s">
        <v>29</v>
      </c>
      <c r="D750" t="str">
        <f>TRIM(Table1[[#This Row],[Product]])</f>
        <v>Chair</v>
      </c>
      <c r="E750" t="str">
        <f>PROPER(Table1[[#This Row],[Column1]])</f>
        <v>Chair</v>
      </c>
      <c r="F750" s="8" t="str">
        <f t="shared" si="55"/>
        <v>Furniture</v>
      </c>
      <c r="G750" s="5">
        <v>14</v>
      </c>
      <c r="H750">
        <v>476.28</v>
      </c>
      <c r="I750" t="s">
        <v>64</v>
      </c>
      <c r="J750" t="s">
        <v>58</v>
      </c>
      <c r="K750" s="7">
        <v>0.1</v>
      </c>
      <c r="L750" t="s">
        <v>25</v>
      </c>
      <c r="M750" s="5">
        <v>6001.1280000000006</v>
      </c>
      <c r="N750" t="s">
        <v>82</v>
      </c>
      <c r="O750" t="s">
        <v>60</v>
      </c>
      <c r="P750" s="5">
        <v>0</v>
      </c>
      <c r="Q750" t="s">
        <v>1542</v>
      </c>
      <c r="R750" t="s">
        <v>1543</v>
      </c>
      <c r="S750" s="5">
        <v>22.11</v>
      </c>
      <c r="T750" s="3">
        <v>45366</v>
      </c>
      <c r="U750" s="3">
        <v>45371</v>
      </c>
      <c r="V750" t="s">
        <v>95</v>
      </c>
      <c r="W750">
        <f t="shared" si="57"/>
        <v>5401.0152000000007</v>
      </c>
      <c r="X750">
        <f t="shared" si="58"/>
        <v>6667.92</v>
      </c>
      <c r="Y750">
        <f t="shared" si="59"/>
        <v>1266.9047999999993</v>
      </c>
      <c r="Z750" s="8" t="str">
        <f t="shared" si="56"/>
        <v>Medium</v>
      </c>
      <c r="AA750" s="12">
        <f>DATE(YEAR(Table1[[#This Row],[OrderDate]]),MONTH(Table1[[#This Row],[OrderDate]]),1)</f>
        <v>45352</v>
      </c>
    </row>
    <row r="751" spans="1:27" x14ac:dyDescent="0.3">
      <c r="A751" s="3">
        <v>45100</v>
      </c>
      <c r="B751" t="s">
        <v>11</v>
      </c>
      <c r="C751" t="s">
        <v>35</v>
      </c>
      <c r="D751" t="str">
        <f>TRIM(Table1[[#This Row],[Product]])</f>
        <v>Tablet</v>
      </c>
      <c r="E751" t="str">
        <f>PROPER(Table1[[#This Row],[Column1]])</f>
        <v>Tablet</v>
      </c>
      <c r="F751" s="8" t="str">
        <f t="shared" si="55"/>
        <v>Technology</v>
      </c>
      <c r="G751" s="5">
        <v>16</v>
      </c>
      <c r="H751">
        <v>294.88</v>
      </c>
      <c r="I751" t="s">
        <v>57</v>
      </c>
      <c r="J751" t="s">
        <v>65</v>
      </c>
      <c r="K751" s="7">
        <v>0.05</v>
      </c>
      <c r="L751" t="s">
        <v>27</v>
      </c>
      <c r="M751" s="5">
        <v>4482.1759999999986</v>
      </c>
      <c r="N751" t="s">
        <v>88</v>
      </c>
      <c r="P751" s="5">
        <v>1</v>
      </c>
      <c r="Q751" t="s">
        <v>1544</v>
      </c>
      <c r="R751" t="s">
        <v>1175</v>
      </c>
      <c r="S751" s="5">
        <v>17.190000000000001</v>
      </c>
      <c r="T751" s="3">
        <v>45100</v>
      </c>
      <c r="U751" s="3">
        <v>45104</v>
      </c>
      <c r="V751" t="s">
        <v>74</v>
      </c>
      <c r="W751">
        <f t="shared" si="57"/>
        <v>4258.0671999999986</v>
      </c>
      <c r="X751">
        <f t="shared" si="58"/>
        <v>4718.08</v>
      </c>
      <c r="Y751">
        <f t="shared" si="59"/>
        <v>460.01280000000133</v>
      </c>
      <c r="Z751" s="8" t="str">
        <f t="shared" si="56"/>
        <v>Medium</v>
      </c>
      <c r="AA751" s="12">
        <f>DATE(YEAR(Table1[[#This Row],[OrderDate]]),MONTH(Table1[[#This Row],[OrderDate]]),1)</f>
        <v>45078</v>
      </c>
    </row>
    <row r="752" spans="1:27" x14ac:dyDescent="0.3">
      <c r="A752" s="3">
        <v>45457</v>
      </c>
      <c r="B752" t="s">
        <v>11</v>
      </c>
      <c r="C752" t="s">
        <v>32</v>
      </c>
      <c r="D752" t="str">
        <f>TRIM(Table1[[#This Row],[Product]])</f>
        <v>Monitor</v>
      </c>
      <c r="E752" t="str">
        <f>PROPER(Table1[[#This Row],[Column1]])</f>
        <v>Monitor</v>
      </c>
      <c r="F752" s="8" t="str">
        <f t="shared" si="55"/>
        <v>Technology</v>
      </c>
      <c r="G752" s="5">
        <v>19</v>
      </c>
      <c r="H752">
        <v>596.03</v>
      </c>
      <c r="I752" t="s">
        <v>78</v>
      </c>
      <c r="J752" t="s">
        <v>65</v>
      </c>
      <c r="K752" s="7">
        <v>0.15</v>
      </c>
      <c r="L752" t="s">
        <v>25</v>
      </c>
      <c r="M752" s="5">
        <v>9625.8845000000001</v>
      </c>
      <c r="N752" t="s">
        <v>85</v>
      </c>
      <c r="P752" s="5">
        <v>0</v>
      </c>
      <c r="Q752" t="s">
        <v>1545</v>
      </c>
      <c r="R752" t="s">
        <v>1546</v>
      </c>
      <c r="S752" s="5">
        <v>31.95</v>
      </c>
      <c r="T752" s="3">
        <v>45457</v>
      </c>
      <c r="U752" s="3">
        <v>45466</v>
      </c>
      <c r="V752" t="s">
        <v>74</v>
      </c>
      <c r="W752">
        <f t="shared" si="57"/>
        <v>8182.0018250000003</v>
      </c>
      <c r="X752">
        <f t="shared" si="58"/>
        <v>11324.57</v>
      </c>
      <c r="Y752">
        <f t="shared" si="59"/>
        <v>3142.5681749999994</v>
      </c>
      <c r="Z752" s="8" t="str">
        <f t="shared" si="56"/>
        <v>High</v>
      </c>
      <c r="AA752" s="12">
        <f>DATE(YEAR(Table1[[#This Row],[OrderDate]]),MONTH(Table1[[#This Row],[OrderDate]]),1)</f>
        <v>45444</v>
      </c>
    </row>
    <row r="753" spans="1:27" x14ac:dyDescent="0.3">
      <c r="A753" s="3">
        <v>45260</v>
      </c>
      <c r="B753" t="s">
        <v>16</v>
      </c>
      <c r="C753" t="s">
        <v>30</v>
      </c>
      <c r="D753" t="str">
        <f>TRIM(Table1[[#This Row],[Product]])</f>
        <v>Desk</v>
      </c>
      <c r="E753" t="str">
        <f>PROPER(Table1[[#This Row],[Column1]])</f>
        <v>Desk</v>
      </c>
      <c r="F753" s="8" t="str">
        <f t="shared" si="55"/>
        <v>Furniture</v>
      </c>
      <c r="G753" s="5">
        <v>6</v>
      </c>
      <c r="H753">
        <v>182.4</v>
      </c>
      <c r="I753" t="s">
        <v>57</v>
      </c>
      <c r="J753" t="s">
        <v>58</v>
      </c>
      <c r="K753" s="7">
        <v>0</v>
      </c>
      <c r="L753" t="s">
        <v>18</v>
      </c>
      <c r="M753" s="5">
        <v>1094.4000000000001</v>
      </c>
      <c r="N753" t="s">
        <v>59</v>
      </c>
      <c r="O753" t="s">
        <v>60</v>
      </c>
      <c r="P753" s="5">
        <v>1</v>
      </c>
      <c r="Q753" t="s">
        <v>1547</v>
      </c>
      <c r="R753" t="s">
        <v>1548</v>
      </c>
      <c r="S753" s="5">
        <v>49.49</v>
      </c>
      <c r="T753" s="3">
        <v>45260</v>
      </c>
      <c r="U753" s="3">
        <v>45269</v>
      </c>
      <c r="V753" t="s">
        <v>95</v>
      </c>
      <c r="W753">
        <f t="shared" si="57"/>
        <v>1094.4000000000001</v>
      </c>
      <c r="X753">
        <f t="shared" si="58"/>
        <v>1094.4000000000001</v>
      </c>
      <c r="Y753">
        <f t="shared" si="59"/>
        <v>0</v>
      </c>
      <c r="Z753" s="8" t="str">
        <f t="shared" si="56"/>
        <v>No Discount</v>
      </c>
      <c r="AA753" s="12">
        <f>DATE(YEAR(Table1[[#This Row],[OrderDate]]),MONTH(Table1[[#This Row],[OrderDate]]),1)</f>
        <v>45231</v>
      </c>
    </row>
    <row r="754" spans="1:27" x14ac:dyDescent="0.3">
      <c r="A754" s="3">
        <v>45403</v>
      </c>
      <c r="B754" t="s">
        <v>11</v>
      </c>
      <c r="C754" t="s">
        <v>31</v>
      </c>
      <c r="D754" t="str">
        <f>TRIM(Table1[[#This Row],[Product]])</f>
        <v>Laptop</v>
      </c>
      <c r="E754" t="str">
        <f>PROPER(Table1[[#This Row],[Column1]])</f>
        <v>Laptop</v>
      </c>
      <c r="F754" s="8" t="str">
        <f t="shared" si="55"/>
        <v>Technology</v>
      </c>
      <c r="G754" s="5">
        <v>10</v>
      </c>
      <c r="H754">
        <v>400.95</v>
      </c>
      <c r="I754" t="s">
        <v>78</v>
      </c>
      <c r="J754" t="s">
        <v>65</v>
      </c>
      <c r="K754" s="7">
        <v>0.05</v>
      </c>
      <c r="L754" t="s">
        <v>21</v>
      </c>
      <c r="M754" s="5">
        <v>3809.0250000000001</v>
      </c>
      <c r="N754" t="s">
        <v>59</v>
      </c>
      <c r="P754" s="5">
        <v>0</v>
      </c>
      <c r="Q754" t="s">
        <v>1549</v>
      </c>
      <c r="R754" t="s">
        <v>1550</v>
      </c>
      <c r="S754" s="5">
        <v>17.46</v>
      </c>
      <c r="T754" s="3">
        <v>45403</v>
      </c>
      <c r="U754" s="3">
        <v>45412</v>
      </c>
      <c r="V754" t="s">
        <v>74</v>
      </c>
      <c r="W754">
        <f t="shared" si="57"/>
        <v>3618.57375</v>
      </c>
      <c r="X754">
        <f t="shared" si="58"/>
        <v>4009.5</v>
      </c>
      <c r="Y754">
        <f t="shared" si="59"/>
        <v>390.92624999999998</v>
      </c>
      <c r="Z754" s="8" t="str">
        <f t="shared" si="56"/>
        <v>Medium</v>
      </c>
      <c r="AA754" s="12">
        <f>DATE(YEAR(Table1[[#This Row],[OrderDate]]),MONTH(Table1[[#This Row],[OrderDate]]),1)</f>
        <v>45383</v>
      </c>
    </row>
    <row r="755" spans="1:27" x14ac:dyDescent="0.3">
      <c r="A755" s="3">
        <v>45144</v>
      </c>
      <c r="B755" t="s">
        <v>9</v>
      </c>
      <c r="C755" t="s">
        <v>30</v>
      </c>
      <c r="D755" t="str">
        <f>TRIM(Table1[[#This Row],[Product]])</f>
        <v>Desk</v>
      </c>
      <c r="E755" t="str">
        <f>PROPER(Table1[[#This Row],[Column1]])</f>
        <v>Desk</v>
      </c>
      <c r="F755" s="8" t="str">
        <f t="shared" si="55"/>
        <v>Furniture</v>
      </c>
      <c r="G755" s="5">
        <v>7</v>
      </c>
      <c r="H755">
        <v>373.66</v>
      </c>
      <c r="I755" t="s">
        <v>57</v>
      </c>
      <c r="J755" t="s">
        <v>65</v>
      </c>
      <c r="K755" s="7">
        <v>0.05</v>
      </c>
      <c r="L755" t="s">
        <v>18</v>
      </c>
      <c r="M755" s="5">
        <v>2484.8389999999999</v>
      </c>
      <c r="N755" t="s">
        <v>66</v>
      </c>
      <c r="O755" t="s">
        <v>67</v>
      </c>
      <c r="P755" s="5">
        <v>0</v>
      </c>
      <c r="Q755" t="s">
        <v>1551</v>
      </c>
      <c r="R755" t="s">
        <v>1552</v>
      </c>
      <c r="S755" s="5">
        <v>46.33</v>
      </c>
      <c r="T755" s="3">
        <v>45144</v>
      </c>
      <c r="U755" s="3">
        <v>45150</v>
      </c>
      <c r="V755" t="s">
        <v>63</v>
      </c>
      <c r="W755">
        <f t="shared" si="57"/>
        <v>2360.5970499999999</v>
      </c>
      <c r="X755">
        <f t="shared" si="58"/>
        <v>2615.6200000000003</v>
      </c>
      <c r="Y755">
        <f t="shared" si="59"/>
        <v>255.02295000000049</v>
      </c>
      <c r="Z755" s="8" t="str">
        <f t="shared" si="56"/>
        <v>Medium</v>
      </c>
      <c r="AA755" s="12">
        <f>DATE(YEAR(Table1[[#This Row],[OrderDate]]),MONTH(Table1[[#This Row],[OrderDate]]),1)</f>
        <v>45139</v>
      </c>
    </row>
    <row r="756" spans="1:27" x14ac:dyDescent="0.3">
      <c r="A756" s="3">
        <v>45464</v>
      </c>
      <c r="B756" t="s">
        <v>16</v>
      </c>
      <c r="C756" t="s">
        <v>30</v>
      </c>
      <c r="D756" t="str">
        <f>TRIM(Table1[[#This Row],[Product]])</f>
        <v>Desk</v>
      </c>
      <c r="E756" t="str">
        <f>PROPER(Table1[[#This Row],[Column1]])</f>
        <v>Desk</v>
      </c>
      <c r="F756" s="8" t="str">
        <f t="shared" si="55"/>
        <v>Furniture</v>
      </c>
      <c r="G756" s="5">
        <v>7</v>
      </c>
      <c r="H756">
        <v>355.66</v>
      </c>
      <c r="I756" t="s">
        <v>78</v>
      </c>
      <c r="J756" t="s">
        <v>65</v>
      </c>
      <c r="K756" s="7">
        <v>0.15</v>
      </c>
      <c r="L756" t="s">
        <v>21</v>
      </c>
      <c r="M756" s="5">
        <v>2116.1770000000001</v>
      </c>
      <c r="N756" t="s">
        <v>66</v>
      </c>
      <c r="O756" t="s">
        <v>60</v>
      </c>
      <c r="P756" s="5">
        <v>1</v>
      </c>
      <c r="Q756" t="s">
        <v>1553</v>
      </c>
      <c r="R756" t="s">
        <v>1554</v>
      </c>
      <c r="S756" s="5">
        <v>28.77</v>
      </c>
      <c r="T756" s="3">
        <v>45464</v>
      </c>
      <c r="U756" s="3">
        <v>45470</v>
      </c>
      <c r="V756" t="s">
        <v>95</v>
      </c>
      <c r="W756">
        <f t="shared" si="57"/>
        <v>1798.75045</v>
      </c>
      <c r="X756">
        <f t="shared" si="58"/>
        <v>2489.6200000000003</v>
      </c>
      <c r="Y756">
        <f t="shared" si="59"/>
        <v>690.86955000000034</v>
      </c>
      <c r="Z756" s="8" t="str">
        <f t="shared" si="56"/>
        <v>High</v>
      </c>
      <c r="AA756" s="12">
        <f>DATE(YEAR(Table1[[#This Row],[OrderDate]]),MONTH(Table1[[#This Row],[OrderDate]]),1)</f>
        <v>45444</v>
      </c>
    </row>
    <row r="757" spans="1:27" x14ac:dyDescent="0.3">
      <c r="A757" s="3">
        <v>45732</v>
      </c>
      <c r="B757" t="s">
        <v>11</v>
      </c>
      <c r="C757" t="s">
        <v>35</v>
      </c>
      <c r="D757" t="str">
        <f>TRIM(Table1[[#This Row],[Product]])</f>
        <v>Tablet</v>
      </c>
      <c r="E757" t="str">
        <f>PROPER(Table1[[#This Row],[Column1]])</f>
        <v>Tablet</v>
      </c>
      <c r="F757" s="8" t="str">
        <f t="shared" si="55"/>
        <v>Technology</v>
      </c>
      <c r="G757" s="5">
        <v>12</v>
      </c>
      <c r="H757">
        <v>260.31</v>
      </c>
      <c r="I757" t="s">
        <v>78</v>
      </c>
      <c r="J757" t="s">
        <v>65</v>
      </c>
      <c r="K757" s="7">
        <v>0.1</v>
      </c>
      <c r="L757" t="s">
        <v>19</v>
      </c>
      <c r="M757" s="5">
        <v>2811.348</v>
      </c>
      <c r="N757" t="s">
        <v>88</v>
      </c>
      <c r="O757" t="s">
        <v>67</v>
      </c>
      <c r="P757" s="5">
        <v>0</v>
      </c>
      <c r="Q757" t="s">
        <v>1555</v>
      </c>
      <c r="R757" t="s">
        <v>1556</v>
      </c>
      <c r="S757" s="5">
        <v>14.58</v>
      </c>
      <c r="T757" s="3">
        <v>45732</v>
      </c>
      <c r="U757" s="3">
        <v>45740</v>
      </c>
      <c r="V757" t="s">
        <v>74</v>
      </c>
      <c r="W757">
        <f t="shared" si="57"/>
        <v>2530.2132000000001</v>
      </c>
      <c r="X757">
        <f t="shared" si="58"/>
        <v>3123.7200000000003</v>
      </c>
      <c r="Y757">
        <f t="shared" si="59"/>
        <v>593.50680000000011</v>
      </c>
      <c r="Z757" s="8" t="str">
        <f t="shared" si="56"/>
        <v>Medium</v>
      </c>
      <c r="AA757" s="12">
        <f>DATE(YEAR(Table1[[#This Row],[OrderDate]]),MONTH(Table1[[#This Row],[OrderDate]]),1)</f>
        <v>45717</v>
      </c>
    </row>
    <row r="758" spans="1:27" x14ac:dyDescent="0.3">
      <c r="A758" s="3">
        <v>45402</v>
      </c>
      <c r="B758" t="s">
        <v>16</v>
      </c>
      <c r="C758" t="s">
        <v>35</v>
      </c>
      <c r="D758" t="str">
        <f>TRIM(Table1[[#This Row],[Product]])</f>
        <v>Tablet</v>
      </c>
      <c r="E758" t="str">
        <f>PROPER(Table1[[#This Row],[Column1]])</f>
        <v>Tablet</v>
      </c>
      <c r="F758" s="8" t="str">
        <f t="shared" si="55"/>
        <v>Technology</v>
      </c>
      <c r="G758" s="5">
        <v>10</v>
      </c>
      <c r="H758">
        <v>370.99</v>
      </c>
      <c r="I758" t="s">
        <v>57</v>
      </c>
      <c r="J758" t="s">
        <v>65</v>
      </c>
      <c r="K758" s="7">
        <v>0.15</v>
      </c>
      <c r="L758" t="s">
        <v>27</v>
      </c>
      <c r="M758" s="5">
        <v>3153.415</v>
      </c>
      <c r="N758" t="s">
        <v>59</v>
      </c>
      <c r="O758" t="s">
        <v>67</v>
      </c>
      <c r="P758" s="5">
        <v>1</v>
      </c>
      <c r="Q758" t="s">
        <v>1557</v>
      </c>
      <c r="R758" t="s">
        <v>1558</v>
      </c>
      <c r="S758" s="5">
        <v>11.16</v>
      </c>
      <c r="T758" s="3">
        <v>45402</v>
      </c>
      <c r="U758" s="3">
        <v>45407</v>
      </c>
      <c r="V758" t="s">
        <v>95</v>
      </c>
      <c r="W758">
        <f t="shared" si="57"/>
        <v>2680.4027499999997</v>
      </c>
      <c r="X758">
        <f t="shared" si="58"/>
        <v>3709.9</v>
      </c>
      <c r="Y758">
        <f t="shared" si="59"/>
        <v>1029.4972500000003</v>
      </c>
      <c r="Z758" s="8" t="str">
        <f t="shared" si="56"/>
        <v>High</v>
      </c>
      <c r="AA758" s="12">
        <f>DATE(YEAR(Table1[[#This Row],[OrderDate]]),MONTH(Table1[[#This Row],[OrderDate]]),1)</f>
        <v>45383</v>
      </c>
    </row>
    <row r="759" spans="1:27" x14ac:dyDescent="0.3">
      <c r="A759" s="3">
        <v>45646</v>
      </c>
      <c r="B759" t="s">
        <v>9</v>
      </c>
      <c r="C759" t="s">
        <v>31</v>
      </c>
      <c r="D759" t="str">
        <f>TRIM(Table1[[#This Row],[Product]])</f>
        <v>Laptop</v>
      </c>
      <c r="E759" t="str">
        <f>PROPER(Table1[[#This Row],[Column1]])</f>
        <v>Laptop</v>
      </c>
      <c r="F759" s="8" t="str">
        <f t="shared" si="55"/>
        <v>Technology</v>
      </c>
      <c r="G759" s="5">
        <v>2</v>
      </c>
      <c r="H759">
        <v>548.72</v>
      </c>
      <c r="I759" t="s">
        <v>64</v>
      </c>
      <c r="J759" t="s">
        <v>58</v>
      </c>
      <c r="K759" s="7">
        <v>0.1</v>
      </c>
      <c r="L759" t="s">
        <v>27</v>
      </c>
      <c r="M759" s="5">
        <v>987.69600000000003</v>
      </c>
      <c r="N759" t="s">
        <v>82</v>
      </c>
      <c r="O759" t="s">
        <v>60</v>
      </c>
      <c r="P759" s="5">
        <v>1</v>
      </c>
      <c r="Q759" t="s">
        <v>1559</v>
      </c>
      <c r="R759" t="s">
        <v>1560</v>
      </c>
      <c r="S759" s="5">
        <v>26.35</v>
      </c>
      <c r="T759" s="3">
        <v>45646</v>
      </c>
      <c r="U759" s="3">
        <v>45655</v>
      </c>
      <c r="V759" t="s">
        <v>63</v>
      </c>
      <c r="W759">
        <f t="shared" si="57"/>
        <v>888.92640000000006</v>
      </c>
      <c r="X759">
        <f t="shared" si="58"/>
        <v>1097.44</v>
      </c>
      <c r="Y759">
        <f t="shared" si="59"/>
        <v>208.5136</v>
      </c>
      <c r="Z759" s="8" t="str">
        <f t="shared" si="56"/>
        <v>Medium</v>
      </c>
      <c r="AA759" s="12">
        <f>DATE(YEAR(Table1[[#This Row],[OrderDate]]),MONTH(Table1[[#This Row],[OrderDate]]),1)</f>
        <v>45627</v>
      </c>
    </row>
    <row r="760" spans="1:27" x14ac:dyDescent="0.3">
      <c r="A760" s="3">
        <v>45160</v>
      </c>
      <c r="B760" t="s">
        <v>11</v>
      </c>
      <c r="C760" t="s">
        <v>34</v>
      </c>
      <c r="D760" t="str">
        <f>TRIM(Table1[[#This Row],[Product]])</f>
        <v>Printer</v>
      </c>
      <c r="E760" t="str">
        <f>PROPER(Table1[[#This Row],[Column1]])</f>
        <v>Printer</v>
      </c>
      <c r="F760" s="8" t="str">
        <f t="shared" si="55"/>
        <v>Office Supplies</v>
      </c>
      <c r="G760" s="5">
        <v>8</v>
      </c>
      <c r="H760">
        <v>343.53</v>
      </c>
      <c r="I760" t="s">
        <v>64</v>
      </c>
      <c r="J760" t="s">
        <v>58</v>
      </c>
      <c r="K760" s="7">
        <v>0</v>
      </c>
      <c r="L760" t="s">
        <v>27</v>
      </c>
      <c r="M760" s="5">
        <v>2748.24</v>
      </c>
      <c r="N760" t="s">
        <v>88</v>
      </c>
      <c r="P760" s="5">
        <v>0</v>
      </c>
      <c r="Q760" t="s">
        <v>1561</v>
      </c>
      <c r="R760" t="s">
        <v>1562</v>
      </c>
      <c r="S760" s="5">
        <v>16.100000000000001</v>
      </c>
      <c r="T760" s="3">
        <v>45160</v>
      </c>
      <c r="U760" s="3">
        <v>45170</v>
      </c>
      <c r="V760" t="s">
        <v>74</v>
      </c>
      <c r="W760">
        <f t="shared" si="57"/>
        <v>2748.24</v>
      </c>
      <c r="X760">
        <f t="shared" si="58"/>
        <v>2748.24</v>
      </c>
      <c r="Y760">
        <f t="shared" si="59"/>
        <v>0</v>
      </c>
      <c r="Z760" s="8" t="str">
        <f t="shared" si="56"/>
        <v>No Discount</v>
      </c>
      <c r="AA760" s="12">
        <f>DATE(YEAR(Table1[[#This Row],[OrderDate]]),MONTH(Table1[[#This Row],[OrderDate]]),1)</f>
        <v>45139</v>
      </c>
    </row>
    <row r="761" spans="1:27" x14ac:dyDescent="0.3">
      <c r="A761" s="3">
        <v>44989</v>
      </c>
      <c r="B761" t="s">
        <v>11</v>
      </c>
      <c r="C761" t="s">
        <v>35</v>
      </c>
      <c r="D761" t="str">
        <f>TRIM(Table1[[#This Row],[Product]])</f>
        <v>Tablet</v>
      </c>
      <c r="E761" t="str">
        <f>PROPER(Table1[[#This Row],[Column1]])</f>
        <v>Tablet</v>
      </c>
      <c r="F761" s="8" t="str">
        <f t="shared" si="55"/>
        <v>Technology</v>
      </c>
      <c r="G761" s="5">
        <v>13</v>
      </c>
      <c r="H761">
        <v>494.78</v>
      </c>
      <c r="I761" t="s">
        <v>64</v>
      </c>
      <c r="J761" t="s">
        <v>58</v>
      </c>
      <c r="K761" s="7">
        <v>0.15</v>
      </c>
      <c r="L761" t="s">
        <v>23</v>
      </c>
      <c r="M761" s="5">
        <v>5467.3190000000004</v>
      </c>
      <c r="N761" t="s">
        <v>88</v>
      </c>
      <c r="O761" t="s">
        <v>60</v>
      </c>
      <c r="P761" s="5">
        <v>0</v>
      </c>
      <c r="Q761" t="s">
        <v>1563</v>
      </c>
      <c r="R761" t="s">
        <v>1564</v>
      </c>
      <c r="S761" s="5">
        <v>5.85</v>
      </c>
      <c r="T761" s="3">
        <v>44989</v>
      </c>
      <c r="U761" s="3">
        <v>44998</v>
      </c>
      <c r="V761" t="s">
        <v>74</v>
      </c>
      <c r="W761">
        <f t="shared" si="57"/>
        <v>4647.2211500000003</v>
      </c>
      <c r="X761">
        <f t="shared" si="58"/>
        <v>6432.1399999999994</v>
      </c>
      <c r="Y761">
        <f t="shared" si="59"/>
        <v>1784.9188499999991</v>
      </c>
      <c r="Z761" s="8" t="str">
        <f t="shared" si="56"/>
        <v>High</v>
      </c>
      <c r="AA761" s="12">
        <f>DATE(YEAR(Table1[[#This Row],[OrderDate]]),MONTH(Table1[[#This Row],[OrderDate]]),1)</f>
        <v>44986</v>
      </c>
    </row>
    <row r="762" spans="1:27" x14ac:dyDescent="0.3">
      <c r="A762" s="3">
        <v>45467</v>
      </c>
      <c r="B762" t="s">
        <v>11</v>
      </c>
      <c r="C762" t="s">
        <v>31</v>
      </c>
      <c r="D762" t="str">
        <f>TRIM(Table1[[#This Row],[Product]])</f>
        <v>Laptop</v>
      </c>
      <c r="E762" t="str">
        <f>PROPER(Table1[[#This Row],[Column1]])</f>
        <v>Laptop</v>
      </c>
      <c r="F762" s="8" t="str">
        <f t="shared" si="55"/>
        <v>Technology</v>
      </c>
      <c r="G762" s="5">
        <v>9</v>
      </c>
      <c r="H762">
        <v>36.619999999999997</v>
      </c>
      <c r="I762" t="s">
        <v>57</v>
      </c>
      <c r="J762" t="s">
        <v>58</v>
      </c>
      <c r="K762" s="7">
        <v>0.1</v>
      </c>
      <c r="L762" t="s">
        <v>25</v>
      </c>
      <c r="M762" s="5">
        <v>296.62200000000001</v>
      </c>
      <c r="N762" t="s">
        <v>85</v>
      </c>
      <c r="O762" t="s">
        <v>60</v>
      </c>
      <c r="P762" s="5">
        <v>1</v>
      </c>
      <c r="Q762" t="s">
        <v>1565</v>
      </c>
      <c r="R762" t="s">
        <v>1566</v>
      </c>
      <c r="S762" s="5">
        <v>29.9</v>
      </c>
      <c r="T762" s="3">
        <v>45467</v>
      </c>
      <c r="U762" s="3">
        <v>45474</v>
      </c>
      <c r="V762" t="s">
        <v>74</v>
      </c>
      <c r="W762">
        <f t="shared" si="57"/>
        <v>266.95980000000003</v>
      </c>
      <c r="X762">
        <f t="shared" si="58"/>
        <v>329.58</v>
      </c>
      <c r="Y762">
        <f t="shared" si="59"/>
        <v>62.620199999999954</v>
      </c>
      <c r="Z762" s="8" t="str">
        <f t="shared" si="56"/>
        <v>Medium</v>
      </c>
      <c r="AA762" s="12">
        <f>DATE(YEAR(Table1[[#This Row],[OrderDate]]),MONTH(Table1[[#This Row],[OrderDate]]),1)</f>
        <v>45444</v>
      </c>
    </row>
    <row r="763" spans="1:27" x14ac:dyDescent="0.3">
      <c r="A763" s="3">
        <v>45635</v>
      </c>
      <c r="B763" t="s">
        <v>9</v>
      </c>
      <c r="C763" t="s">
        <v>35</v>
      </c>
      <c r="D763" t="str">
        <f>TRIM(Table1[[#This Row],[Product]])</f>
        <v>Tablet</v>
      </c>
      <c r="E763" t="str">
        <f>PROPER(Table1[[#This Row],[Column1]])</f>
        <v>Tablet</v>
      </c>
      <c r="F763" s="8" t="str">
        <f t="shared" si="55"/>
        <v>Technology</v>
      </c>
      <c r="G763" s="5">
        <v>14</v>
      </c>
      <c r="H763">
        <v>216.2</v>
      </c>
      <c r="I763" t="s">
        <v>78</v>
      </c>
      <c r="J763" t="s">
        <v>58</v>
      </c>
      <c r="K763" s="7">
        <v>0</v>
      </c>
      <c r="L763" t="s">
        <v>23</v>
      </c>
      <c r="M763" s="5">
        <v>3026.8</v>
      </c>
      <c r="N763" t="s">
        <v>59</v>
      </c>
      <c r="O763" t="s">
        <v>71</v>
      </c>
      <c r="P763" s="5">
        <v>0</v>
      </c>
      <c r="Q763" t="s">
        <v>1567</v>
      </c>
      <c r="R763" t="s">
        <v>1568</v>
      </c>
      <c r="S763" s="5">
        <v>14.39</v>
      </c>
      <c r="T763" s="3">
        <v>45635</v>
      </c>
      <c r="U763" s="3">
        <v>45639</v>
      </c>
      <c r="V763" t="s">
        <v>63</v>
      </c>
      <c r="W763">
        <f t="shared" si="57"/>
        <v>3026.8</v>
      </c>
      <c r="X763">
        <f t="shared" si="58"/>
        <v>3026.7999999999997</v>
      </c>
      <c r="Y763">
        <f t="shared" si="59"/>
        <v>0</v>
      </c>
      <c r="Z763" s="8" t="str">
        <f t="shared" si="56"/>
        <v>No Discount</v>
      </c>
      <c r="AA763" s="12">
        <f>DATE(YEAR(Table1[[#This Row],[OrderDate]]),MONTH(Table1[[#This Row],[OrderDate]]),1)</f>
        <v>45627</v>
      </c>
    </row>
    <row r="764" spans="1:27" x14ac:dyDescent="0.3">
      <c r="A764" s="3">
        <v>45477</v>
      </c>
      <c r="B764" t="s">
        <v>16</v>
      </c>
      <c r="C764" t="s">
        <v>31</v>
      </c>
      <c r="D764" t="str">
        <f>TRIM(Table1[[#This Row],[Product]])</f>
        <v>Laptop</v>
      </c>
      <c r="E764" t="str">
        <f>PROPER(Table1[[#This Row],[Column1]])</f>
        <v>Laptop</v>
      </c>
      <c r="F764" s="8" t="str">
        <f t="shared" si="55"/>
        <v>Technology</v>
      </c>
      <c r="G764" s="5">
        <v>11</v>
      </c>
      <c r="H764">
        <v>128.99</v>
      </c>
      <c r="I764" t="s">
        <v>64</v>
      </c>
      <c r="J764" t="s">
        <v>65</v>
      </c>
      <c r="K764" s="7">
        <v>0.05</v>
      </c>
      <c r="L764" t="s">
        <v>23</v>
      </c>
      <c r="M764" s="5">
        <v>1347.9455</v>
      </c>
      <c r="N764" t="s">
        <v>85</v>
      </c>
      <c r="O764" t="s">
        <v>67</v>
      </c>
      <c r="P764" s="5">
        <v>0</v>
      </c>
      <c r="Q764" t="s">
        <v>1569</v>
      </c>
      <c r="R764" t="s">
        <v>785</v>
      </c>
      <c r="S764" s="5">
        <v>38.58</v>
      </c>
      <c r="T764" s="3">
        <v>45477</v>
      </c>
      <c r="U764" s="3">
        <v>45480</v>
      </c>
      <c r="V764" t="s">
        <v>95</v>
      </c>
      <c r="W764">
        <f t="shared" si="57"/>
        <v>1280.548225</v>
      </c>
      <c r="X764">
        <f t="shared" si="58"/>
        <v>1418.89</v>
      </c>
      <c r="Y764">
        <f t="shared" si="59"/>
        <v>138.3417750000001</v>
      </c>
      <c r="Z764" s="8" t="str">
        <f t="shared" si="56"/>
        <v>Medium</v>
      </c>
      <c r="AA764" s="12">
        <f>DATE(YEAR(Table1[[#This Row],[OrderDate]]),MONTH(Table1[[#This Row],[OrderDate]]),1)</f>
        <v>45474</v>
      </c>
    </row>
    <row r="765" spans="1:27" x14ac:dyDescent="0.3">
      <c r="A765" s="3">
        <v>45720</v>
      </c>
      <c r="B765" t="s">
        <v>9</v>
      </c>
      <c r="C765" t="s">
        <v>33</v>
      </c>
      <c r="D765" t="str">
        <f>TRIM(Table1[[#This Row],[Product]])</f>
        <v>Phone</v>
      </c>
      <c r="E765" t="str">
        <f>PROPER(Table1[[#This Row],[Column1]])</f>
        <v>Phone</v>
      </c>
      <c r="F765" s="8" t="str">
        <f t="shared" si="55"/>
        <v>Technology</v>
      </c>
      <c r="G765" s="5">
        <v>11</v>
      </c>
      <c r="H765">
        <v>183.11</v>
      </c>
      <c r="I765" t="s">
        <v>57</v>
      </c>
      <c r="J765" t="s">
        <v>65</v>
      </c>
      <c r="K765" s="7">
        <v>0.15</v>
      </c>
      <c r="L765" t="s">
        <v>27</v>
      </c>
      <c r="M765" s="5">
        <v>1712.0785000000001</v>
      </c>
      <c r="N765" t="s">
        <v>66</v>
      </c>
      <c r="O765" t="s">
        <v>60</v>
      </c>
      <c r="P765" s="5">
        <v>0</v>
      </c>
      <c r="Q765" t="s">
        <v>1570</v>
      </c>
      <c r="R765" t="s">
        <v>1571</v>
      </c>
      <c r="S765" s="5">
        <v>41.83</v>
      </c>
      <c r="T765" s="3">
        <v>45720</v>
      </c>
      <c r="U765" s="3">
        <v>45722</v>
      </c>
      <c r="V765" t="s">
        <v>63</v>
      </c>
      <c r="W765">
        <f t="shared" si="57"/>
        <v>1455.266725</v>
      </c>
      <c r="X765">
        <f t="shared" si="58"/>
        <v>2014.21</v>
      </c>
      <c r="Y765">
        <f t="shared" si="59"/>
        <v>558.94327500000009</v>
      </c>
      <c r="Z765" s="8" t="str">
        <f t="shared" si="56"/>
        <v>High</v>
      </c>
      <c r="AA765" s="12">
        <f>DATE(YEAR(Table1[[#This Row],[OrderDate]]),MONTH(Table1[[#This Row],[OrderDate]]),1)</f>
        <v>45717</v>
      </c>
    </row>
    <row r="766" spans="1:27" x14ac:dyDescent="0.3">
      <c r="A766" s="3">
        <v>45313</v>
      </c>
      <c r="B766" t="s">
        <v>9</v>
      </c>
      <c r="C766" t="s">
        <v>34</v>
      </c>
      <c r="D766" t="str">
        <f>TRIM(Table1[[#This Row],[Product]])</f>
        <v>Printer</v>
      </c>
      <c r="E766" t="str">
        <f>PROPER(Table1[[#This Row],[Column1]])</f>
        <v>Printer</v>
      </c>
      <c r="F766" s="8" t="str">
        <f t="shared" si="55"/>
        <v>Office Supplies</v>
      </c>
      <c r="G766" s="5">
        <v>11</v>
      </c>
      <c r="H766">
        <v>277.95</v>
      </c>
      <c r="I766" t="s">
        <v>64</v>
      </c>
      <c r="J766" t="s">
        <v>65</v>
      </c>
      <c r="K766" s="7">
        <v>0.05</v>
      </c>
      <c r="L766" t="s">
        <v>27</v>
      </c>
      <c r="M766" s="5">
        <v>2904.5774999999999</v>
      </c>
      <c r="N766" t="s">
        <v>66</v>
      </c>
      <c r="O766" t="s">
        <v>71</v>
      </c>
      <c r="P766" s="5">
        <v>0</v>
      </c>
      <c r="Q766" t="s">
        <v>1572</v>
      </c>
      <c r="R766" t="s">
        <v>1573</v>
      </c>
      <c r="S766" s="5">
        <v>44.04</v>
      </c>
      <c r="T766" s="3">
        <v>45313</v>
      </c>
      <c r="U766" s="3">
        <v>45320</v>
      </c>
      <c r="V766" t="s">
        <v>63</v>
      </c>
      <c r="W766">
        <f t="shared" si="57"/>
        <v>2759.3486249999996</v>
      </c>
      <c r="X766">
        <f t="shared" si="58"/>
        <v>3057.45</v>
      </c>
      <c r="Y766">
        <f t="shared" si="59"/>
        <v>298.10137500000019</v>
      </c>
      <c r="Z766" s="8" t="str">
        <f t="shared" si="56"/>
        <v>Medium</v>
      </c>
      <c r="AA766" s="12">
        <f>DATE(YEAR(Table1[[#This Row],[OrderDate]]),MONTH(Table1[[#This Row],[OrderDate]]),1)</f>
        <v>45292</v>
      </c>
    </row>
    <row r="767" spans="1:27" x14ac:dyDescent="0.3">
      <c r="A767" s="3">
        <v>45728</v>
      </c>
      <c r="B767" t="s">
        <v>9</v>
      </c>
      <c r="C767" t="s">
        <v>30</v>
      </c>
      <c r="D767" t="str">
        <f>TRIM(Table1[[#This Row],[Product]])</f>
        <v>Desk</v>
      </c>
      <c r="E767" t="str">
        <f>PROPER(Table1[[#This Row],[Column1]])</f>
        <v>Desk</v>
      </c>
      <c r="F767" s="8" t="str">
        <f t="shared" si="55"/>
        <v>Furniture</v>
      </c>
      <c r="G767" s="5">
        <v>14</v>
      </c>
      <c r="H767">
        <v>554.08000000000004</v>
      </c>
      <c r="I767" t="s">
        <v>64</v>
      </c>
      <c r="J767" t="s">
        <v>65</v>
      </c>
      <c r="K767" s="7">
        <v>0.05</v>
      </c>
      <c r="L767" t="s">
        <v>23</v>
      </c>
      <c r="M767" s="5">
        <v>7369.2640000000001</v>
      </c>
      <c r="N767" t="s">
        <v>88</v>
      </c>
      <c r="P767" s="5">
        <v>0</v>
      </c>
      <c r="Q767" t="s">
        <v>1574</v>
      </c>
      <c r="R767" t="s">
        <v>1575</v>
      </c>
      <c r="S767" s="5">
        <v>36.72</v>
      </c>
      <c r="T767" s="3">
        <v>45728</v>
      </c>
      <c r="U767" s="3">
        <v>45737</v>
      </c>
      <c r="V767" t="s">
        <v>63</v>
      </c>
      <c r="W767">
        <f t="shared" si="57"/>
        <v>7000.8008</v>
      </c>
      <c r="X767">
        <f t="shared" si="58"/>
        <v>7757.1200000000008</v>
      </c>
      <c r="Y767">
        <f t="shared" si="59"/>
        <v>756.31920000000082</v>
      </c>
      <c r="Z767" s="8" t="str">
        <f t="shared" si="56"/>
        <v>Medium</v>
      </c>
      <c r="AA767" s="12">
        <f>DATE(YEAR(Table1[[#This Row],[OrderDate]]),MONTH(Table1[[#This Row],[OrderDate]]),1)</f>
        <v>45717</v>
      </c>
    </row>
    <row r="768" spans="1:27" x14ac:dyDescent="0.3">
      <c r="A768" s="3">
        <v>45716</v>
      </c>
      <c r="B768" t="s">
        <v>7</v>
      </c>
      <c r="C768" t="s">
        <v>33</v>
      </c>
      <c r="D768" t="str">
        <f>TRIM(Table1[[#This Row],[Product]])</f>
        <v>Phone</v>
      </c>
      <c r="E768" t="str">
        <f>PROPER(Table1[[#This Row],[Column1]])</f>
        <v>Phone</v>
      </c>
      <c r="F768" s="8" t="str">
        <f t="shared" si="55"/>
        <v>Technology</v>
      </c>
      <c r="G768" s="5">
        <v>15</v>
      </c>
      <c r="H768">
        <v>23.32</v>
      </c>
      <c r="I768" t="s">
        <v>64</v>
      </c>
      <c r="J768" t="s">
        <v>65</v>
      </c>
      <c r="K768" s="7">
        <v>0.05</v>
      </c>
      <c r="L768" t="s">
        <v>21</v>
      </c>
      <c r="M768" s="5">
        <v>332.31</v>
      </c>
      <c r="N768" t="s">
        <v>85</v>
      </c>
      <c r="P768" s="5">
        <v>0</v>
      </c>
      <c r="Q768" t="s">
        <v>1576</v>
      </c>
      <c r="R768" t="s">
        <v>1577</v>
      </c>
      <c r="S768" s="5">
        <v>25.27</v>
      </c>
      <c r="T768" s="3">
        <v>45716</v>
      </c>
      <c r="U768" s="3">
        <v>45719</v>
      </c>
      <c r="V768" t="s">
        <v>77</v>
      </c>
      <c r="W768">
        <f t="shared" si="57"/>
        <v>315.69450000000001</v>
      </c>
      <c r="X768">
        <f t="shared" si="58"/>
        <v>349.8</v>
      </c>
      <c r="Y768">
        <f t="shared" si="59"/>
        <v>34.105500000000006</v>
      </c>
      <c r="Z768" s="8" t="str">
        <f t="shared" si="56"/>
        <v>Medium</v>
      </c>
      <c r="AA768" s="12">
        <f>DATE(YEAR(Table1[[#This Row],[OrderDate]]),MONTH(Table1[[#This Row],[OrderDate]]),1)</f>
        <v>45689</v>
      </c>
    </row>
    <row r="769" spans="1:27" x14ac:dyDescent="0.3">
      <c r="A769" s="3">
        <v>45435</v>
      </c>
      <c r="B769" t="s">
        <v>9</v>
      </c>
      <c r="C769" t="s">
        <v>30</v>
      </c>
      <c r="D769" t="str">
        <f>TRIM(Table1[[#This Row],[Product]])</f>
        <v>Desk</v>
      </c>
      <c r="E769" t="str">
        <f>PROPER(Table1[[#This Row],[Column1]])</f>
        <v>Desk</v>
      </c>
      <c r="F769" s="8" t="str">
        <f t="shared" si="55"/>
        <v>Furniture</v>
      </c>
      <c r="G769" s="5">
        <v>4</v>
      </c>
      <c r="H769">
        <v>20.96</v>
      </c>
      <c r="I769" t="s">
        <v>81</v>
      </c>
      <c r="J769" t="s">
        <v>58</v>
      </c>
      <c r="K769" s="7">
        <v>0.05</v>
      </c>
      <c r="L769" t="s">
        <v>19</v>
      </c>
      <c r="M769" s="5">
        <v>79.647999999999996</v>
      </c>
      <c r="N769" t="s">
        <v>59</v>
      </c>
      <c r="O769" t="s">
        <v>60</v>
      </c>
      <c r="P769" s="5">
        <v>1</v>
      </c>
      <c r="Q769" t="s">
        <v>1578</v>
      </c>
      <c r="R769" t="s">
        <v>1579</v>
      </c>
      <c r="S769" s="5">
        <v>33.67</v>
      </c>
      <c r="T769" s="3">
        <v>45435</v>
      </c>
      <c r="U769" s="3">
        <v>45443</v>
      </c>
      <c r="V769" t="s">
        <v>63</v>
      </c>
      <c r="W769">
        <f t="shared" si="57"/>
        <v>75.665599999999998</v>
      </c>
      <c r="X769">
        <f t="shared" si="58"/>
        <v>83.84</v>
      </c>
      <c r="Y769">
        <f t="shared" si="59"/>
        <v>8.1744000000000057</v>
      </c>
      <c r="Z769" s="8" t="str">
        <f t="shared" si="56"/>
        <v>Medium</v>
      </c>
      <c r="AA769" s="12">
        <f>DATE(YEAR(Table1[[#This Row],[OrderDate]]),MONTH(Table1[[#This Row],[OrderDate]]),1)</f>
        <v>45413</v>
      </c>
    </row>
    <row r="770" spans="1:27" x14ac:dyDescent="0.3">
      <c r="A770" s="3">
        <v>45186</v>
      </c>
      <c r="B770" t="s">
        <v>11</v>
      </c>
      <c r="C770" t="s">
        <v>30</v>
      </c>
      <c r="D770" t="str">
        <f>TRIM(Table1[[#This Row],[Product]])</f>
        <v>Desk</v>
      </c>
      <c r="E770" t="str">
        <f>PROPER(Table1[[#This Row],[Column1]])</f>
        <v>Desk</v>
      </c>
      <c r="F770" s="8" t="str">
        <f t="shared" ref="F770:F833" si="60">IF(OR(E770="Chair",E770="Desk"),"Furniture",IF(OR(E770="Laptop",E770="Monitor",E770="Phone",E770="Tablet"),"Technology",IF(E770="Printer","Office Supplies","Other")))</f>
        <v>Furniture</v>
      </c>
      <c r="G770" s="5">
        <v>18</v>
      </c>
      <c r="H770">
        <v>132.29</v>
      </c>
      <c r="I770" t="s">
        <v>64</v>
      </c>
      <c r="J770" t="s">
        <v>58</v>
      </c>
      <c r="K770" s="7">
        <v>0.05</v>
      </c>
      <c r="L770" t="s">
        <v>23</v>
      </c>
      <c r="M770" s="5">
        <v>2262.1590000000001</v>
      </c>
      <c r="N770" t="s">
        <v>82</v>
      </c>
      <c r="P770" s="5">
        <v>1</v>
      </c>
      <c r="Q770" t="s">
        <v>1580</v>
      </c>
      <c r="R770" t="s">
        <v>1581</v>
      </c>
      <c r="S770" s="5">
        <v>24.3</v>
      </c>
      <c r="T770" s="3">
        <v>45186</v>
      </c>
      <c r="U770" s="3">
        <v>45189</v>
      </c>
      <c r="V770" t="s">
        <v>74</v>
      </c>
      <c r="W770">
        <f t="shared" si="57"/>
        <v>2149.05105</v>
      </c>
      <c r="X770">
        <f t="shared" si="58"/>
        <v>2381.2199999999998</v>
      </c>
      <c r="Y770">
        <f t="shared" si="59"/>
        <v>232.16894999999977</v>
      </c>
      <c r="Z770" s="8" t="str">
        <f t="shared" ref="Z770:Z833" si="61">IF(K770=0,"No Discount",IF(K770&lt;5%,"Low",IF(K770&lt;15%,"Medium","High")))</f>
        <v>Medium</v>
      </c>
      <c r="AA770" s="12">
        <f>DATE(YEAR(Table1[[#This Row],[OrderDate]]),MONTH(Table1[[#This Row],[OrderDate]]),1)</f>
        <v>45170</v>
      </c>
    </row>
    <row r="771" spans="1:27" x14ac:dyDescent="0.3">
      <c r="A771" s="3">
        <v>45090</v>
      </c>
      <c r="B771" t="s">
        <v>9</v>
      </c>
      <c r="C771" t="s">
        <v>33</v>
      </c>
      <c r="D771" t="str">
        <f>TRIM(Table1[[#This Row],[Product]])</f>
        <v>Phone</v>
      </c>
      <c r="E771" t="str">
        <f>PROPER(Table1[[#This Row],[Column1]])</f>
        <v>Phone</v>
      </c>
      <c r="F771" s="8" t="str">
        <f t="shared" si="60"/>
        <v>Technology</v>
      </c>
      <c r="G771" s="5">
        <v>19</v>
      </c>
      <c r="H771">
        <v>199.65</v>
      </c>
      <c r="I771" t="s">
        <v>64</v>
      </c>
      <c r="J771" t="s">
        <v>65</v>
      </c>
      <c r="K771" s="7">
        <v>0.1</v>
      </c>
      <c r="L771" t="s">
        <v>21</v>
      </c>
      <c r="M771" s="5">
        <v>3414.0149999999999</v>
      </c>
      <c r="N771" t="s">
        <v>88</v>
      </c>
      <c r="O771" t="s">
        <v>67</v>
      </c>
      <c r="P771" s="5">
        <v>1</v>
      </c>
      <c r="Q771" t="s">
        <v>1582</v>
      </c>
      <c r="R771" t="s">
        <v>1583</v>
      </c>
      <c r="S771" s="5">
        <v>35.119999999999997</v>
      </c>
      <c r="T771" s="3">
        <v>45090</v>
      </c>
      <c r="U771" s="3">
        <v>45095</v>
      </c>
      <c r="V771" t="s">
        <v>63</v>
      </c>
      <c r="W771">
        <f t="shared" ref="W771:W834" si="62">M771*(1-K771)</f>
        <v>3072.6134999999999</v>
      </c>
      <c r="X771">
        <f t="shared" ref="X771:X834" si="63">G771*H771</f>
        <v>3793.35</v>
      </c>
      <c r="Y771">
        <f t="shared" ref="Y771:Y834" si="64">X771-W771</f>
        <v>720.73649999999998</v>
      </c>
      <c r="Z771" s="8" t="str">
        <f t="shared" si="61"/>
        <v>Medium</v>
      </c>
      <c r="AA771" s="12">
        <f>DATE(YEAR(Table1[[#This Row],[OrderDate]]),MONTH(Table1[[#This Row],[OrderDate]]),1)</f>
        <v>45078</v>
      </c>
    </row>
    <row r="772" spans="1:27" x14ac:dyDescent="0.3">
      <c r="A772" s="3">
        <v>45808</v>
      </c>
      <c r="B772" t="s">
        <v>16</v>
      </c>
      <c r="C772" t="s">
        <v>33</v>
      </c>
      <c r="D772" t="str">
        <f>TRIM(Table1[[#This Row],[Product]])</f>
        <v>Phone</v>
      </c>
      <c r="E772" t="str">
        <f>PROPER(Table1[[#This Row],[Column1]])</f>
        <v>Phone</v>
      </c>
      <c r="F772" s="8" t="str">
        <f t="shared" si="60"/>
        <v>Technology</v>
      </c>
      <c r="G772" s="5">
        <v>16</v>
      </c>
      <c r="H772">
        <v>307</v>
      </c>
      <c r="I772" t="s">
        <v>64</v>
      </c>
      <c r="J772" t="s">
        <v>58</v>
      </c>
      <c r="K772" s="7">
        <v>0</v>
      </c>
      <c r="L772" t="s">
        <v>19</v>
      </c>
      <c r="M772" s="5">
        <v>4912</v>
      </c>
      <c r="N772" t="s">
        <v>85</v>
      </c>
      <c r="O772" t="s">
        <v>60</v>
      </c>
      <c r="P772" s="5">
        <v>0</v>
      </c>
      <c r="Q772" t="s">
        <v>1584</v>
      </c>
      <c r="R772" t="s">
        <v>1585</v>
      </c>
      <c r="S772" s="5">
        <v>11.99</v>
      </c>
      <c r="T772" s="3">
        <v>45808</v>
      </c>
      <c r="U772" s="3">
        <v>45810</v>
      </c>
      <c r="V772" t="s">
        <v>95</v>
      </c>
      <c r="W772">
        <f t="shared" si="62"/>
        <v>4912</v>
      </c>
      <c r="X772">
        <f t="shared" si="63"/>
        <v>4912</v>
      </c>
      <c r="Y772">
        <f t="shared" si="64"/>
        <v>0</v>
      </c>
      <c r="Z772" s="8" t="str">
        <f t="shared" si="61"/>
        <v>No Discount</v>
      </c>
      <c r="AA772" s="12">
        <f>DATE(YEAR(Table1[[#This Row],[OrderDate]]),MONTH(Table1[[#This Row],[OrderDate]]),1)</f>
        <v>45778</v>
      </c>
    </row>
    <row r="773" spans="1:27" x14ac:dyDescent="0.3">
      <c r="A773" s="3">
        <v>45210</v>
      </c>
      <c r="B773" t="s">
        <v>9</v>
      </c>
      <c r="C773" t="s">
        <v>35</v>
      </c>
      <c r="D773" t="str">
        <f>TRIM(Table1[[#This Row],[Product]])</f>
        <v>Tablet</v>
      </c>
      <c r="E773" t="str">
        <f>PROPER(Table1[[#This Row],[Column1]])</f>
        <v>Tablet</v>
      </c>
      <c r="F773" s="8" t="str">
        <f t="shared" si="60"/>
        <v>Technology</v>
      </c>
      <c r="G773" s="5">
        <v>1</v>
      </c>
      <c r="H773">
        <v>315.93</v>
      </c>
      <c r="I773" t="s">
        <v>78</v>
      </c>
      <c r="J773" t="s">
        <v>65</v>
      </c>
      <c r="K773" s="7">
        <v>0.15</v>
      </c>
      <c r="L773" t="s">
        <v>18</v>
      </c>
      <c r="M773" s="5">
        <v>268.54050000000001</v>
      </c>
      <c r="N773" t="s">
        <v>82</v>
      </c>
      <c r="O773" t="s">
        <v>67</v>
      </c>
      <c r="P773" s="5">
        <v>0</v>
      </c>
      <c r="Q773" t="s">
        <v>1586</v>
      </c>
      <c r="R773" t="s">
        <v>1587</v>
      </c>
      <c r="S773" s="5">
        <v>43.2</v>
      </c>
      <c r="T773" s="3">
        <v>45210</v>
      </c>
      <c r="U773" s="3">
        <v>45213</v>
      </c>
      <c r="V773" t="s">
        <v>63</v>
      </c>
      <c r="W773">
        <f t="shared" si="62"/>
        <v>228.25942499999999</v>
      </c>
      <c r="X773">
        <f t="shared" si="63"/>
        <v>315.93</v>
      </c>
      <c r="Y773">
        <f t="shared" si="64"/>
        <v>87.670575000000014</v>
      </c>
      <c r="Z773" s="8" t="str">
        <f t="shared" si="61"/>
        <v>High</v>
      </c>
      <c r="AA773" s="12">
        <f>DATE(YEAR(Table1[[#This Row],[OrderDate]]),MONTH(Table1[[#This Row],[OrderDate]]),1)</f>
        <v>45200</v>
      </c>
    </row>
    <row r="774" spans="1:27" x14ac:dyDescent="0.3">
      <c r="A774" s="3">
        <v>45145</v>
      </c>
      <c r="B774" t="s">
        <v>16</v>
      </c>
      <c r="C774" t="s">
        <v>34</v>
      </c>
      <c r="D774" t="str">
        <f>TRIM(Table1[[#This Row],[Product]])</f>
        <v>Printer</v>
      </c>
      <c r="E774" t="str">
        <f>PROPER(Table1[[#This Row],[Column1]])</f>
        <v>Printer</v>
      </c>
      <c r="F774" s="8" t="str">
        <f t="shared" si="60"/>
        <v>Office Supplies</v>
      </c>
      <c r="G774" s="5">
        <v>5</v>
      </c>
      <c r="H774">
        <v>596.97</v>
      </c>
      <c r="I774" t="s">
        <v>64</v>
      </c>
      <c r="J774" t="s">
        <v>65</v>
      </c>
      <c r="K774" s="7">
        <v>0</v>
      </c>
      <c r="L774" t="s">
        <v>25</v>
      </c>
      <c r="M774" s="5">
        <v>2984.85</v>
      </c>
      <c r="N774" t="s">
        <v>88</v>
      </c>
      <c r="O774" t="s">
        <v>67</v>
      </c>
      <c r="P774" s="5">
        <v>0</v>
      </c>
      <c r="Q774" t="s">
        <v>1588</v>
      </c>
      <c r="R774" t="s">
        <v>1589</v>
      </c>
      <c r="S774" s="5">
        <v>14.43</v>
      </c>
      <c r="T774" s="3">
        <v>45145</v>
      </c>
      <c r="U774" s="3">
        <v>45152</v>
      </c>
      <c r="V774" t="s">
        <v>95</v>
      </c>
      <c r="W774">
        <f t="shared" si="62"/>
        <v>2984.85</v>
      </c>
      <c r="X774">
        <f t="shared" si="63"/>
        <v>2984.8500000000004</v>
      </c>
      <c r="Y774">
        <f t="shared" si="64"/>
        <v>0</v>
      </c>
      <c r="Z774" s="8" t="str">
        <f t="shared" si="61"/>
        <v>No Discount</v>
      </c>
      <c r="AA774" s="12">
        <f>DATE(YEAR(Table1[[#This Row],[OrderDate]]),MONTH(Table1[[#This Row],[OrderDate]]),1)</f>
        <v>45139</v>
      </c>
    </row>
    <row r="775" spans="1:27" x14ac:dyDescent="0.3">
      <c r="A775" s="3">
        <v>45263</v>
      </c>
      <c r="B775" t="s">
        <v>11</v>
      </c>
      <c r="C775" t="s">
        <v>31</v>
      </c>
      <c r="D775" t="str">
        <f>TRIM(Table1[[#This Row],[Product]])</f>
        <v>Laptop</v>
      </c>
      <c r="E775" t="str">
        <f>PROPER(Table1[[#This Row],[Column1]])</f>
        <v>Laptop</v>
      </c>
      <c r="F775" s="8" t="str">
        <f t="shared" si="60"/>
        <v>Technology</v>
      </c>
      <c r="G775" s="5">
        <v>17</v>
      </c>
      <c r="H775">
        <v>376.98</v>
      </c>
      <c r="I775" t="s">
        <v>64</v>
      </c>
      <c r="J775" t="s">
        <v>65</v>
      </c>
      <c r="K775" s="7">
        <v>0.05</v>
      </c>
      <c r="L775" t="s">
        <v>21</v>
      </c>
      <c r="M775" s="5">
        <v>6088.2269999999999</v>
      </c>
      <c r="N775" t="s">
        <v>85</v>
      </c>
      <c r="P775" s="5">
        <v>1</v>
      </c>
      <c r="Q775" t="s">
        <v>1590</v>
      </c>
      <c r="R775" t="s">
        <v>1591</v>
      </c>
      <c r="S775" s="5">
        <v>38.479999999999997</v>
      </c>
      <c r="T775" s="3">
        <v>45263</v>
      </c>
      <c r="U775" s="3">
        <v>45265</v>
      </c>
      <c r="V775" t="s">
        <v>74</v>
      </c>
      <c r="W775">
        <f t="shared" si="62"/>
        <v>5783.8156499999996</v>
      </c>
      <c r="X775">
        <f t="shared" si="63"/>
        <v>6408.66</v>
      </c>
      <c r="Y775">
        <f t="shared" si="64"/>
        <v>624.8443500000003</v>
      </c>
      <c r="Z775" s="8" t="str">
        <f t="shared" si="61"/>
        <v>Medium</v>
      </c>
      <c r="AA775" s="12">
        <f>DATE(YEAR(Table1[[#This Row],[OrderDate]]),MONTH(Table1[[#This Row],[OrderDate]]),1)</f>
        <v>45261</v>
      </c>
    </row>
    <row r="776" spans="1:27" x14ac:dyDescent="0.3">
      <c r="A776" s="3">
        <v>45505</v>
      </c>
      <c r="B776" t="s">
        <v>7</v>
      </c>
      <c r="C776" t="s">
        <v>34</v>
      </c>
      <c r="D776" t="str">
        <f>TRIM(Table1[[#This Row],[Product]])</f>
        <v>Printer</v>
      </c>
      <c r="E776" t="str">
        <f>PROPER(Table1[[#This Row],[Column1]])</f>
        <v>Printer</v>
      </c>
      <c r="F776" s="8" t="str">
        <f t="shared" si="60"/>
        <v>Office Supplies</v>
      </c>
      <c r="G776" s="5">
        <v>6</v>
      </c>
      <c r="H776">
        <v>208.64</v>
      </c>
      <c r="I776" t="s">
        <v>81</v>
      </c>
      <c r="J776" t="s">
        <v>65</v>
      </c>
      <c r="K776" s="7">
        <v>0.1</v>
      </c>
      <c r="L776" t="s">
        <v>27</v>
      </c>
      <c r="M776" s="5">
        <v>1126.6559999999999</v>
      </c>
      <c r="N776" t="s">
        <v>82</v>
      </c>
      <c r="O776" t="s">
        <v>60</v>
      </c>
      <c r="P776" s="5">
        <v>0</v>
      </c>
      <c r="Q776" t="s">
        <v>1592</v>
      </c>
      <c r="R776" t="s">
        <v>1593</v>
      </c>
      <c r="S776" s="5">
        <v>49.93</v>
      </c>
      <c r="T776" s="3">
        <v>45505</v>
      </c>
      <c r="U776" s="3">
        <v>45508</v>
      </c>
      <c r="V776" t="s">
        <v>77</v>
      </c>
      <c r="W776">
        <f t="shared" si="62"/>
        <v>1013.9904</v>
      </c>
      <c r="X776">
        <f t="shared" si="63"/>
        <v>1251.8399999999999</v>
      </c>
      <c r="Y776">
        <f t="shared" si="64"/>
        <v>237.8495999999999</v>
      </c>
      <c r="Z776" s="8" t="str">
        <f t="shared" si="61"/>
        <v>Medium</v>
      </c>
      <c r="AA776" s="12">
        <f>DATE(YEAR(Table1[[#This Row],[OrderDate]]),MONTH(Table1[[#This Row],[OrderDate]]),1)</f>
        <v>45505</v>
      </c>
    </row>
    <row r="777" spans="1:27" x14ac:dyDescent="0.3">
      <c r="A777" s="3">
        <v>45005</v>
      </c>
      <c r="B777" t="s">
        <v>9</v>
      </c>
      <c r="C777" t="s">
        <v>29</v>
      </c>
      <c r="D777" t="str">
        <f>TRIM(Table1[[#This Row],[Product]])</f>
        <v>Chair</v>
      </c>
      <c r="E777" t="str">
        <f>PROPER(Table1[[#This Row],[Column1]])</f>
        <v>Chair</v>
      </c>
      <c r="F777" s="8" t="str">
        <f t="shared" si="60"/>
        <v>Furniture</v>
      </c>
      <c r="G777" s="5">
        <v>7</v>
      </c>
      <c r="H777">
        <v>307.82</v>
      </c>
      <c r="I777" t="s">
        <v>57</v>
      </c>
      <c r="J777" t="s">
        <v>58</v>
      </c>
      <c r="K777" s="7">
        <v>0</v>
      </c>
      <c r="L777" t="s">
        <v>25</v>
      </c>
      <c r="M777" s="5">
        <v>2154.7399999999998</v>
      </c>
      <c r="N777" t="s">
        <v>85</v>
      </c>
      <c r="O777" t="s">
        <v>71</v>
      </c>
      <c r="P777" s="5">
        <v>1</v>
      </c>
      <c r="Q777" t="s">
        <v>1594</v>
      </c>
      <c r="R777" t="s">
        <v>1595</v>
      </c>
      <c r="S777" s="5">
        <v>14</v>
      </c>
      <c r="T777" s="3">
        <v>45005</v>
      </c>
      <c r="U777" s="3">
        <v>45012</v>
      </c>
      <c r="V777" t="s">
        <v>63</v>
      </c>
      <c r="W777">
        <f t="shared" si="62"/>
        <v>2154.7399999999998</v>
      </c>
      <c r="X777">
        <f t="shared" si="63"/>
        <v>2154.7399999999998</v>
      </c>
      <c r="Y777">
        <f t="shared" si="64"/>
        <v>0</v>
      </c>
      <c r="Z777" s="8" t="str">
        <f t="shared" si="61"/>
        <v>No Discount</v>
      </c>
      <c r="AA777" s="12">
        <f>DATE(YEAR(Table1[[#This Row],[OrderDate]]),MONTH(Table1[[#This Row],[OrderDate]]),1)</f>
        <v>44986</v>
      </c>
    </row>
    <row r="778" spans="1:27" x14ac:dyDescent="0.3">
      <c r="A778" s="3">
        <v>45838</v>
      </c>
      <c r="B778" t="s">
        <v>7</v>
      </c>
      <c r="C778" t="s">
        <v>35</v>
      </c>
      <c r="D778" t="str">
        <f>TRIM(Table1[[#This Row],[Product]])</f>
        <v>Tablet</v>
      </c>
      <c r="E778" t="str">
        <f>PROPER(Table1[[#This Row],[Column1]])</f>
        <v>Tablet</v>
      </c>
      <c r="F778" s="8" t="str">
        <f t="shared" si="60"/>
        <v>Technology</v>
      </c>
      <c r="G778" s="5">
        <v>13</v>
      </c>
      <c r="H778">
        <v>382.48</v>
      </c>
      <c r="I778" t="s">
        <v>81</v>
      </c>
      <c r="J778" t="s">
        <v>65</v>
      </c>
      <c r="K778" s="7">
        <v>0.05</v>
      </c>
      <c r="L778" t="s">
        <v>25</v>
      </c>
      <c r="M778" s="5">
        <v>4723.6279999999997</v>
      </c>
      <c r="N778" t="s">
        <v>82</v>
      </c>
      <c r="O778" t="s">
        <v>71</v>
      </c>
      <c r="P778" s="5">
        <v>0</v>
      </c>
      <c r="Q778" t="s">
        <v>1596</v>
      </c>
      <c r="R778" t="s">
        <v>1597</v>
      </c>
      <c r="S778" s="5">
        <v>7.59</v>
      </c>
      <c r="T778" s="3">
        <v>45838</v>
      </c>
      <c r="U778" s="3">
        <v>45842</v>
      </c>
      <c r="V778" t="s">
        <v>77</v>
      </c>
      <c r="W778">
        <f t="shared" si="62"/>
        <v>4487.4465999999993</v>
      </c>
      <c r="X778">
        <f t="shared" si="63"/>
        <v>4972.24</v>
      </c>
      <c r="Y778">
        <f t="shared" si="64"/>
        <v>484.79340000000047</v>
      </c>
      <c r="Z778" s="8" t="str">
        <f t="shared" si="61"/>
        <v>Medium</v>
      </c>
      <c r="AA778" s="12">
        <f>DATE(YEAR(Table1[[#This Row],[OrderDate]]),MONTH(Table1[[#This Row],[OrderDate]]),1)</f>
        <v>45809</v>
      </c>
    </row>
    <row r="779" spans="1:27" x14ac:dyDescent="0.3">
      <c r="A779" s="3">
        <v>45693</v>
      </c>
      <c r="B779" t="s">
        <v>13</v>
      </c>
      <c r="C779" t="s">
        <v>30</v>
      </c>
      <c r="D779" t="str">
        <f>TRIM(Table1[[#This Row],[Product]])</f>
        <v>Desk</v>
      </c>
      <c r="E779" t="str">
        <f>PROPER(Table1[[#This Row],[Column1]])</f>
        <v>Desk</v>
      </c>
      <c r="F779" s="8" t="str">
        <f t="shared" si="60"/>
        <v>Furniture</v>
      </c>
      <c r="G779" s="5">
        <v>9</v>
      </c>
      <c r="H779">
        <v>188.03</v>
      </c>
      <c r="I779" t="s">
        <v>57</v>
      </c>
      <c r="J779" t="s">
        <v>65</v>
      </c>
      <c r="K779" s="7">
        <v>0</v>
      </c>
      <c r="L779" t="s">
        <v>27</v>
      </c>
      <c r="M779" s="5">
        <v>1692.27</v>
      </c>
      <c r="N779" t="s">
        <v>88</v>
      </c>
      <c r="O779" t="s">
        <v>60</v>
      </c>
      <c r="P779" s="5">
        <v>0</v>
      </c>
      <c r="Q779" t="s">
        <v>1598</v>
      </c>
      <c r="R779" t="s">
        <v>1599</v>
      </c>
      <c r="S779" s="5">
        <v>11.44</v>
      </c>
      <c r="T779" s="3">
        <v>45693</v>
      </c>
      <c r="U779" s="3">
        <v>45695</v>
      </c>
      <c r="V779" t="s">
        <v>70</v>
      </c>
      <c r="W779">
        <f t="shared" si="62"/>
        <v>1692.27</v>
      </c>
      <c r="X779">
        <f t="shared" si="63"/>
        <v>1692.27</v>
      </c>
      <c r="Y779">
        <f t="shared" si="64"/>
        <v>0</v>
      </c>
      <c r="Z779" s="8" t="str">
        <f t="shared" si="61"/>
        <v>No Discount</v>
      </c>
      <c r="AA779" s="12">
        <f>DATE(YEAR(Table1[[#This Row],[OrderDate]]),MONTH(Table1[[#This Row],[OrderDate]]),1)</f>
        <v>45689</v>
      </c>
    </row>
    <row r="780" spans="1:27" x14ac:dyDescent="0.3">
      <c r="A780" s="3">
        <v>45431</v>
      </c>
      <c r="B780" t="s">
        <v>9</v>
      </c>
      <c r="C780" t="s">
        <v>30</v>
      </c>
      <c r="D780" t="str">
        <f>TRIM(Table1[[#This Row],[Product]])</f>
        <v>Desk</v>
      </c>
      <c r="E780" t="str">
        <f>PROPER(Table1[[#This Row],[Column1]])</f>
        <v>Desk</v>
      </c>
      <c r="F780" s="8" t="str">
        <f t="shared" si="60"/>
        <v>Furniture</v>
      </c>
      <c r="G780" s="5">
        <v>17</v>
      </c>
      <c r="H780">
        <v>238.17</v>
      </c>
      <c r="I780" t="s">
        <v>81</v>
      </c>
      <c r="J780" t="s">
        <v>58</v>
      </c>
      <c r="K780" s="7">
        <v>0.15</v>
      </c>
      <c r="L780" t="s">
        <v>27</v>
      </c>
      <c r="M780" s="5">
        <v>3441.5565000000001</v>
      </c>
      <c r="N780" t="s">
        <v>88</v>
      </c>
      <c r="O780" t="s">
        <v>60</v>
      </c>
      <c r="P780" s="5">
        <v>0</v>
      </c>
      <c r="Q780" t="s">
        <v>1600</v>
      </c>
      <c r="R780" t="s">
        <v>1601</v>
      </c>
      <c r="S780" s="5">
        <v>21.64</v>
      </c>
      <c r="T780" s="3">
        <v>45431</v>
      </c>
      <c r="U780" s="3">
        <v>45441</v>
      </c>
      <c r="V780" t="s">
        <v>63</v>
      </c>
      <c r="W780">
        <f t="shared" si="62"/>
        <v>2925.3230250000001</v>
      </c>
      <c r="X780">
        <f t="shared" si="63"/>
        <v>4048.89</v>
      </c>
      <c r="Y780">
        <f t="shared" si="64"/>
        <v>1123.5669749999997</v>
      </c>
      <c r="Z780" s="8" t="str">
        <f t="shared" si="61"/>
        <v>High</v>
      </c>
      <c r="AA780" s="12">
        <f>DATE(YEAR(Table1[[#This Row],[OrderDate]]),MONTH(Table1[[#This Row],[OrderDate]]),1)</f>
        <v>45413</v>
      </c>
    </row>
    <row r="781" spans="1:27" x14ac:dyDescent="0.3">
      <c r="A781" s="3">
        <v>44989</v>
      </c>
      <c r="B781" t="s">
        <v>11</v>
      </c>
      <c r="C781" t="s">
        <v>34</v>
      </c>
      <c r="D781" t="str">
        <f>TRIM(Table1[[#This Row],[Product]])</f>
        <v>Printer</v>
      </c>
      <c r="E781" t="str">
        <f>PROPER(Table1[[#This Row],[Column1]])</f>
        <v>Printer</v>
      </c>
      <c r="F781" s="8" t="str">
        <f t="shared" si="60"/>
        <v>Office Supplies</v>
      </c>
      <c r="G781" s="5">
        <v>10</v>
      </c>
      <c r="H781">
        <v>450.71</v>
      </c>
      <c r="I781" t="s">
        <v>57</v>
      </c>
      <c r="J781" t="s">
        <v>65</v>
      </c>
      <c r="K781" s="7">
        <v>0.1</v>
      </c>
      <c r="L781" t="s">
        <v>19</v>
      </c>
      <c r="M781" s="5">
        <v>4056.389999999999</v>
      </c>
      <c r="N781" t="s">
        <v>66</v>
      </c>
      <c r="O781" t="s">
        <v>67</v>
      </c>
      <c r="P781" s="5">
        <v>0</v>
      </c>
      <c r="Q781" t="s">
        <v>1602</v>
      </c>
      <c r="R781" t="s">
        <v>1603</v>
      </c>
      <c r="S781" s="5">
        <v>21.31</v>
      </c>
      <c r="T781" s="3">
        <v>44989</v>
      </c>
      <c r="U781" s="3">
        <v>44997</v>
      </c>
      <c r="V781" t="s">
        <v>74</v>
      </c>
      <c r="W781">
        <f t="shared" si="62"/>
        <v>3650.7509999999993</v>
      </c>
      <c r="X781">
        <f t="shared" si="63"/>
        <v>4507.0999999999995</v>
      </c>
      <c r="Y781">
        <f t="shared" si="64"/>
        <v>856.34900000000016</v>
      </c>
      <c r="Z781" s="8" t="str">
        <f t="shared" si="61"/>
        <v>Medium</v>
      </c>
      <c r="AA781" s="12">
        <f>DATE(YEAR(Table1[[#This Row],[OrderDate]]),MONTH(Table1[[#This Row],[OrderDate]]),1)</f>
        <v>44986</v>
      </c>
    </row>
    <row r="782" spans="1:27" x14ac:dyDescent="0.3">
      <c r="A782" s="3">
        <v>44948</v>
      </c>
      <c r="B782" t="s">
        <v>7</v>
      </c>
      <c r="C782" t="s">
        <v>32</v>
      </c>
      <c r="D782" t="str">
        <f>TRIM(Table1[[#This Row],[Product]])</f>
        <v>Monitor</v>
      </c>
      <c r="E782" t="str">
        <f>PROPER(Table1[[#This Row],[Column1]])</f>
        <v>Monitor</v>
      </c>
      <c r="F782" s="8" t="str">
        <f t="shared" si="60"/>
        <v>Technology</v>
      </c>
      <c r="G782" s="5">
        <v>2</v>
      </c>
      <c r="H782">
        <v>413.36</v>
      </c>
      <c r="I782" t="s">
        <v>81</v>
      </c>
      <c r="J782" t="s">
        <v>65</v>
      </c>
      <c r="K782" s="7">
        <v>0.1</v>
      </c>
      <c r="L782" t="s">
        <v>18</v>
      </c>
      <c r="M782" s="5">
        <v>744.048</v>
      </c>
      <c r="N782" t="s">
        <v>59</v>
      </c>
      <c r="O782" t="s">
        <v>67</v>
      </c>
      <c r="P782" s="5">
        <v>1</v>
      </c>
      <c r="Q782" t="s">
        <v>1604</v>
      </c>
      <c r="R782" t="s">
        <v>964</v>
      </c>
      <c r="S782" s="5">
        <v>41.69</v>
      </c>
      <c r="T782" s="3">
        <v>44948</v>
      </c>
      <c r="U782" s="3">
        <v>44950</v>
      </c>
      <c r="V782" t="s">
        <v>77</v>
      </c>
      <c r="W782">
        <f t="shared" si="62"/>
        <v>669.64319999999998</v>
      </c>
      <c r="X782">
        <f t="shared" si="63"/>
        <v>826.72</v>
      </c>
      <c r="Y782">
        <f t="shared" si="64"/>
        <v>157.07680000000005</v>
      </c>
      <c r="Z782" s="8" t="str">
        <f t="shared" si="61"/>
        <v>Medium</v>
      </c>
      <c r="AA782" s="12">
        <f>DATE(YEAR(Table1[[#This Row],[OrderDate]]),MONTH(Table1[[#This Row],[OrderDate]]),1)</f>
        <v>44927</v>
      </c>
    </row>
    <row r="783" spans="1:27" x14ac:dyDescent="0.3">
      <c r="A783" s="3">
        <v>45005</v>
      </c>
      <c r="B783" t="s">
        <v>13</v>
      </c>
      <c r="C783" t="s">
        <v>33</v>
      </c>
      <c r="D783" t="str">
        <f>TRIM(Table1[[#This Row],[Product]])</f>
        <v>Phone</v>
      </c>
      <c r="E783" t="str">
        <f>PROPER(Table1[[#This Row],[Column1]])</f>
        <v>Phone</v>
      </c>
      <c r="F783" s="8" t="str">
        <f t="shared" si="60"/>
        <v>Technology</v>
      </c>
      <c r="G783" s="5">
        <v>20</v>
      </c>
      <c r="H783">
        <v>536.71</v>
      </c>
      <c r="I783" t="s">
        <v>57</v>
      </c>
      <c r="J783" t="s">
        <v>65</v>
      </c>
      <c r="K783" s="7">
        <v>0.15</v>
      </c>
      <c r="L783" t="s">
        <v>21</v>
      </c>
      <c r="M783" s="5">
        <v>9124.07</v>
      </c>
      <c r="N783" t="s">
        <v>85</v>
      </c>
      <c r="O783" t="s">
        <v>67</v>
      </c>
      <c r="P783" s="5">
        <v>0</v>
      </c>
      <c r="Q783" t="s">
        <v>1605</v>
      </c>
      <c r="R783" t="s">
        <v>1606</v>
      </c>
      <c r="S783" s="5">
        <v>41.42</v>
      </c>
      <c r="T783" s="3">
        <v>45005</v>
      </c>
      <c r="U783" s="3">
        <v>45010</v>
      </c>
      <c r="V783" t="s">
        <v>70</v>
      </c>
      <c r="W783">
        <f t="shared" si="62"/>
        <v>7755.4594999999999</v>
      </c>
      <c r="X783">
        <f t="shared" si="63"/>
        <v>10734.2</v>
      </c>
      <c r="Y783">
        <f t="shared" si="64"/>
        <v>2978.7405000000008</v>
      </c>
      <c r="Z783" s="8" t="str">
        <f t="shared" si="61"/>
        <v>High</v>
      </c>
      <c r="AA783" s="12">
        <f>DATE(YEAR(Table1[[#This Row],[OrderDate]]),MONTH(Table1[[#This Row],[OrderDate]]),1)</f>
        <v>44986</v>
      </c>
    </row>
    <row r="784" spans="1:27" x14ac:dyDescent="0.3">
      <c r="A784" s="3">
        <v>45448</v>
      </c>
      <c r="B784" t="s">
        <v>16</v>
      </c>
      <c r="C784" t="s">
        <v>33</v>
      </c>
      <c r="D784" t="str">
        <f>TRIM(Table1[[#This Row],[Product]])</f>
        <v>Phone</v>
      </c>
      <c r="E784" t="str">
        <f>PROPER(Table1[[#This Row],[Column1]])</f>
        <v>Phone</v>
      </c>
      <c r="F784" s="8" t="str">
        <f t="shared" si="60"/>
        <v>Technology</v>
      </c>
      <c r="G784" s="5">
        <v>5</v>
      </c>
      <c r="H784">
        <v>206.42</v>
      </c>
      <c r="I784" t="s">
        <v>81</v>
      </c>
      <c r="J784" t="s">
        <v>65</v>
      </c>
      <c r="K784" s="7">
        <v>0.05</v>
      </c>
      <c r="L784" t="s">
        <v>18</v>
      </c>
      <c r="M784" s="5">
        <v>980.49499999999989</v>
      </c>
      <c r="N784" t="s">
        <v>85</v>
      </c>
      <c r="O784" t="s">
        <v>71</v>
      </c>
      <c r="P784" s="5">
        <v>0</v>
      </c>
      <c r="Q784" t="s">
        <v>1607</v>
      </c>
      <c r="R784" t="s">
        <v>1608</v>
      </c>
      <c r="S784" s="5">
        <v>35.51</v>
      </c>
      <c r="T784" s="3">
        <v>45448</v>
      </c>
      <c r="U784" s="3">
        <v>45456</v>
      </c>
      <c r="V784" t="s">
        <v>95</v>
      </c>
      <c r="W784">
        <f t="shared" si="62"/>
        <v>931.47024999999985</v>
      </c>
      <c r="X784">
        <f t="shared" si="63"/>
        <v>1032.0999999999999</v>
      </c>
      <c r="Y784">
        <f t="shared" si="64"/>
        <v>100.62975000000006</v>
      </c>
      <c r="Z784" s="8" t="str">
        <f t="shared" si="61"/>
        <v>Medium</v>
      </c>
      <c r="AA784" s="12">
        <f>DATE(YEAR(Table1[[#This Row],[OrderDate]]),MONTH(Table1[[#This Row],[OrderDate]]),1)</f>
        <v>45444</v>
      </c>
    </row>
    <row r="785" spans="1:27" x14ac:dyDescent="0.3">
      <c r="A785" s="3">
        <v>45482</v>
      </c>
      <c r="B785" t="s">
        <v>9</v>
      </c>
      <c r="C785" t="s">
        <v>34</v>
      </c>
      <c r="D785" t="str">
        <f>TRIM(Table1[[#This Row],[Product]])</f>
        <v>Printer</v>
      </c>
      <c r="E785" t="str">
        <f>PROPER(Table1[[#This Row],[Column1]])</f>
        <v>Printer</v>
      </c>
      <c r="F785" s="8" t="str">
        <f t="shared" si="60"/>
        <v>Office Supplies</v>
      </c>
      <c r="G785" s="5">
        <v>4</v>
      </c>
      <c r="H785">
        <v>256.83</v>
      </c>
      <c r="I785" t="s">
        <v>64</v>
      </c>
      <c r="J785" t="s">
        <v>58</v>
      </c>
      <c r="K785" s="7">
        <v>0.15</v>
      </c>
      <c r="L785" t="s">
        <v>21</v>
      </c>
      <c r="M785" s="5">
        <v>873.22199999999987</v>
      </c>
      <c r="N785" t="s">
        <v>88</v>
      </c>
      <c r="P785" s="5">
        <v>1</v>
      </c>
      <c r="Q785" t="s">
        <v>1609</v>
      </c>
      <c r="R785" t="s">
        <v>1610</v>
      </c>
      <c r="S785" s="5">
        <v>44.72</v>
      </c>
      <c r="T785" s="3">
        <v>45482</v>
      </c>
      <c r="U785" s="3">
        <v>45490</v>
      </c>
      <c r="V785" t="s">
        <v>63</v>
      </c>
      <c r="W785">
        <f t="shared" si="62"/>
        <v>742.23869999999988</v>
      </c>
      <c r="X785">
        <f t="shared" si="63"/>
        <v>1027.32</v>
      </c>
      <c r="Y785">
        <f t="shared" si="64"/>
        <v>285.08130000000006</v>
      </c>
      <c r="Z785" s="8" t="str">
        <f t="shared" si="61"/>
        <v>High</v>
      </c>
      <c r="AA785" s="12">
        <f>DATE(YEAR(Table1[[#This Row],[OrderDate]]),MONTH(Table1[[#This Row],[OrderDate]]),1)</f>
        <v>45474</v>
      </c>
    </row>
    <row r="786" spans="1:27" x14ac:dyDescent="0.3">
      <c r="A786" s="3">
        <v>45724</v>
      </c>
      <c r="B786" t="s">
        <v>13</v>
      </c>
      <c r="C786" t="s">
        <v>32</v>
      </c>
      <c r="D786" t="str">
        <f>TRIM(Table1[[#This Row],[Product]])</f>
        <v>Monitor</v>
      </c>
      <c r="E786" t="str">
        <f>PROPER(Table1[[#This Row],[Column1]])</f>
        <v>Monitor</v>
      </c>
      <c r="F786" s="8" t="str">
        <f t="shared" si="60"/>
        <v>Technology</v>
      </c>
      <c r="G786" s="5">
        <v>1</v>
      </c>
      <c r="H786">
        <v>247.04</v>
      </c>
      <c r="I786" t="s">
        <v>78</v>
      </c>
      <c r="J786" t="s">
        <v>58</v>
      </c>
      <c r="K786" s="7">
        <v>0</v>
      </c>
      <c r="L786" t="s">
        <v>19</v>
      </c>
      <c r="M786" s="5">
        <v>247.04</v>
      </c>
      <c r="N786" t="s">
        <v>82</v>
      </c>
      <c r="O786" t="s">
        <v>60</v>
      </c>
      <c r="P786" s="5">
        <v>0</v>
      </c>
      <c r="Q786" t="s">
        <v>1611</v>
      </c>
      <c r="R786" t="s">
        <v>1612</v>
      </c>
      <c r="S786" s="5">
        <v>26.86</v>
      </c>
      <c r="T786" s="3">
        <v>45724</v>
      </c>
      <c r="U786" s="3">
        <v>45729</v>
      </c>
      <c r="V786" t="s">
        <v>70</v>
      </c>
      <c r="W786">
        <f t="shared" si="62"/>
        <v>247.04</v>
      </c>
      <c r="X786">
        <f t="shared" si="63"/>
        <v>247.04</v>
      </c>
      <c r="Y786">
        <f t="shared" si="64"/>
        <v>0</v>
      </c>
      <c r="Z786" s="8" t="str">
        <f t="shared" si="61"/>
        <v>No Discount</v>
      </c>
      <c r="AA786" s="12">
        <f>DATE(YEAR(Table1[[#This Row],[OrderDate]]),MONTH(Table1[[#This Row],[OrderDate]]),1)</f>
        <v>45717</v>
      </c>
    </row>
    <row r="787" spans="1:27" x14ac:dyDescent="0.3">
      <c r="A787" s="3">
        <v>45829</v>
      </c>
      <c r="B787" t="s">
        <v>13</v>
      </c>
      <c r="C787" t="s">
        <v>35</v>
      </c>
      <c r="D787" t="str">
        <f>TRIM(Table1[[#This Row],[Product]])</f>
        <v>Tablet</v>
      </c>
      <c r="E787" t="str">
        <f>PROPER(Table1[[#This Row],[Column1]])</f>
        <v>Tablet</v>
      </c>
      <c r="F787" s="8" t="str">
        <f t="shared" si="60"/>
        <v>Technology</v>
      </c>
      <c r="G787" s="5">
        <v>3</v>
      </c>
      <c r="H787">
        <v>583.38</v>
      </c>
      <c r="I787" t="s">
        <v>57</v>
      </c>
      <c r="J787" t="s">
        <v>65</v>
      </c>
      <c r="K787" s="7">
        <v>0.15</v>
      </c>
      <c r="L787" t="s">
        <v>23</v>
      </c>
      <c r="M787" s="5">
        <v>1487.6189999999999</v>
      </c>
      <c r="N787" t="s">
        <v>88</v>
      </c>
      <c r="O787" t="s">
        <v>71</v>
      </c>
      <c r="P787" s="5">
        <v>1</v>
      </c>
      <c r="Q787" t="s">
        <v>1613</v>
      </c>
      <c r="R787" t="s">
        <v>1614</v>
      </c>
      <c r="S787" s="5">
        <v>30.12</v>
      </c>
      <c r="T787" s="3">
        <v>45829</v>
      </c>
      <c r="U787" s="3">
        <v>45838</v>
      </c>
      <c r="V787" t="s">
        <v>70</v>
      </c>
      <c r="W787">
        <f t="shared" si="62"/>
        <v>1264.47615</v>
      </c>
      <c r="X787">
        <f t="shared" si="63"/>
        <v>1750.1399999999999</v>
      </c>
      <c r="Y787">
        <f t="shared" si="64"/>
        <v>485.66384999999991</v>
      </c>
      <c r="Z787" s="8" t="str">
        <f t="shared" si="61"/>
        <v>High</v>
      </c>
      <c r="AA787" s="12">
        <f>DATE(YEAR(Table1[[#This Row],[OrderDate]]),MONTH(Table1[[#This Row],[OrderDate]]),1)</f>
        <v>45809</v>
      </c>
    </row>
    <row r="788" spans="1:27" x14ac:dyDescent="0.3">
      <c r="A788" s="3">
        <v>45836</v>
      </c>
      <c r="B788" t="s">
        <v>11</v>
      </c>
      <c r="C788" t="s">
        <v>35</v>
      </c>
      <c r="D788" t="str">
        <f>TRIM(Table1[[#This Row],[Product]])</f>
        <v>Tablet</v>
      </c>
      <c r="E788" t="str">
        <f>PROPER(Table1[[#This Row],[Column1]])</f>
        <v>Tablet</v>
      </c>
      <c r="F788" s="8" t="str">
        <f t="shared" si="60"/>
        <v>Technology</v>
      </c>
      <c r="G788" s="5">
        <v>13</v>
      </c>
      <c r="H788">
        <v>341.38</v>
      </c>
      <c r="I788" t="s">
        <v>78</v>
      </c>
      <c r="J788" t="s">
        <v>65</v>
      </c>
      <c r="K788" s="7">
        <v>0.15</v>
      </c>
      <c r="L788" t="s">
        <v>18</v>
      </c>
      <c r="M788" s="5">
        <v>3772.2489999999989</v>
      </c>
      <c r="N788" t="s">
        <v>88</v>
      </c>
      <c r="P788" s="5">
        <v>0</v>
      </c>
      <c r="Q788" t="s">
        <v>1615</v>
      </c>
      <c r="R788" t="s">
        <v>1616</v>
      </c>
      <c r="S788" s="5">
        <v>18.2</v>
      </c>
      <c r="T788" s="3">
        <v>45836</v>
      </c>
      <c r="U788" s="3">
        <v>45839</v>
      </c>
      <c r="V788" t="s">
        <v>74</v>
      </c>
      <c r="W788">
        <f t="shared" si="62"/>
        <v>3206.4116499999991</v>
      </c>
      <c r="X788">
        <f t="shared" si="63"/>
        <v>4437.9399999999996</v>
      </c>
      <c r="Y788">
        <f t="shared" si="64"/>
        <v>1231.5283500000005</v>
      </c>
      <c r="Z788" s="8" t="str">
        <f t="shared" si="61"/>
        <v>High</v>
      </c>
      <c r="AA788" s="12">
        <f>DATE(YEAR(Table1[[#This Row],[OrderDate]]),MONTH(Table1[[#This Row],[OrderDate]]),1)</f>
        <v>45809</v>
      </c>
    </row>
    <row r="789" spans="1:27" x14ac:dyDescent="0.3">
      <c r="A789" s="3">
        <v>45752</v>
      </c>
      <c r="B789" t="s">
        <v>16</v>
      </c>
      <c r="C789" t="s">
        <v>29</v>
      </c>
      <c r="D789" t="str">
        <f>TRIM(Table1[[#This Row],[Product]])</f>
        <v>Chair</v>
      </c>
      <c r="E789" t="str">
        <f>PROPER(Table1[[#This Row],[Column1]])</f>
        <v>Chair</v>
      </c>
      <c r="F789" s="8" t="str">
        <f t="shared" si="60"/>
        <v>Furniture</v>
      </c>
      <c r="G789" s="5">
        <v>19</v>
      </c>
      <c r="H789">
        <v>267.02999999999997</v>
      </c>
      <c r="I789" t="s">
        <v>81</v>
      </c>
      <c r="J789" t="s">
        <v>58</v>
      </c>
      <c r="K789" s="7">
        <v>0.15</v>
      </c>
      <c r="L789" t="s">
        <v>19</v>
      </c>
      <c r="M789" s="5">
        <v>4312.5344999999998</v>
      </c>
      <c r="N789" t="s">
        <v>59</v>
      </c>
      <c r="O789" t="s">
        <v>67</v>
      </c>
      <c r="P789" s="5">
        <v>1</v>
      </c>
      <c r="Q789" t="s">
        <v>1617</v>
      </c>
      <c r="R789" t="s">
        <v>1618</v>
      </c>
      <c r="S789" s="5">
        <v>35.82</v>
      </c>
      <c r="T789" s="3">
        <v>45752</v>
      </c>
      <c r="U789" s="3">
        <v>45760</v>
      </c>
      <c r="V789" t="s">
        <v>95</v>
      </c>
      <c r="W789">
        <f t="shared" si="62"/>
        <v>3665.6543249999995</v>
      </c>
      <c r="X789">
        <f t="shared" si="63"/>
        <v>5073.57</v>
      </c>
      <c r="Y789">
        <f t="shared" si="64"/>
        <v>1407.9156750000002</v>
      </c>
      <c r="Z789" s="8" t="str">
        <f t="shared" si="61"/>
        <v>High</v>
      </c>
      <c r="AA789" s="12">
        <f>DATE(YEAR(Table1[[#This Row],[OrderDate]]),MONTH(Table1[[#This Row],[OrderDate]]),1)</f>
        <v>45748</v>
      </c>
    </row>
    <row r="790" spans="1:27" x14ac:dyDescent="0.3">
      <c r="A790" s="3">
        <v>45356</v>
      </c>
      <c r="B790" t="s">
        <v>13</v>
      </c>
      <c r="C790" t="s">
        <v>34</v>
      </c>
      <c r="D790" t="str">
        <f>TRIM(Table1[[#This Row],[Product]])</f>
        <v>Printer</v>
      </c>
      <c r="E790" t="str">
        <f>PROPER(Table1[[#This Row],[Column1]])</f>
        <v>Printer</v>
      </c>
      <c r="F790" s="8" t="str">
        <f t="shared" si="60"/>
        <v>Office Supplies</v>
      </c>
      <c r="G790" s="5">
        <v>7</v>
      </c>
      <c r="H790">
        <v>77.69</v>
      </c>
      <c r="I790" t="s">
        <v>81</v>
      </c>
      <c r="J790" t="s">
        <v>58</v>
      </c>
      <c r="K790" s="7">
        <v>0</v>
      </c>
      <c r="L790" t="s">
        <v>21</v>
      </c>
      <c r="M790" s="5">
        <v>543.82999999999993</v>
      </c>
      <c r="N790" t="s">
        <v>82</v>
      </c>
      <c r="O790" t="s">
        <v>67</v>
      </c>
      <c r="P790" s="5">
        <v>0</v>
      </c>
      <c r="Q790" t="s">
        <v>1619</v>
      </c>
      <c r="R790" t="s">
        <v>1620</v>
      </c>
      <c r="S790" s="5">
        <v>41.89</v>
      </c>
      <c r="T790" s="3">
        <v>45356</v>
      </c>
      <c r="U790" s="3">
        <v>45363</v>
      </c>
      <c r="V790" t="s">
        <v>70</v>
      </c>
      <c r="W790">
        <f t="shared" si="62"/>
        <v>543.82999999999993</v>
      </c>
      <c r="X790">
        <f t="shared" si="63"/>
        <v>543.82999999999993</v>
      </c>
      <c r="Y790">
        <f t="shared" si="64"/>
        <v>0</v>
      </c>
      <c r="Z790" s="8" t="str">
        <f t="shared" si="61"/>
        <v>No Discount</v>
      </c>
      <c r="AA790" s="12">
        <f>DATE(YEAR(Table1[[#This Row],[OrderDate]]),MONTH(Table1[[#This Row],[OrderDate]]),1)</f>
        <v>45352</v>
      </c>
    </row>
    <row r="791" spans="1:27" x14ac:dyDescent="0.3">
      <c r="A791" s="3">
        <v>45360</v>
      </c>
      <c r="B791" t="s">
        <v>9</v>
      </c>
      <c r="C791" t="s">
        <v>33</v>
      </c>
      <c r="D791" t="str">
        <f>TRIM(Table1[[#This Row],[Product]])</f>
        <v>Phone</v>
      </c>
      <c r="E791" t="str">
        <f>PROPER(Table1[[#This Row],[Column1]])</f>
        <v>Phone</v>
      </c>
      <c r="F791" s="8" t="str">
        <f t="shared" si="60"/>
        <v>Technology</v>
      </c>
      <c r="G791" s="5">
        <v>20</v>
      </c>
      <c r="H791">
        <v>312.43</v>
      </c>
      <c r="I791" t="s">
        <v>78</v>
      </c>
      <c r="J791" t="s">
        <v>65</v>
      </c>
      <c r="K791" s="7">
        <v>0</v>
      </c>
      <c r="L791" t="s">
        <v>21</v>
      </c>
      <c r="M791" s="5">
        <v>6248.6</v>
      </c>
      <c r="N791" t="s">
        <v>82</v>
      </c>
      <c r="O791" t="s">
        <v>67</v>
      </c>
      <c r="P791" s="5">
        <v>0</v>
      </c>
      <c r="Q791" t="s">
        <v>1621</v>
      </c>
      <c r="R791" t="s">
        <v>1622</v>
      </c>
      <c r="S791" s="5">
        <v>28.11</v>
      </c>
      <c r="T791" s="3">
        <v>45360</v>
      </c>
      <c r="U791" s="3">
        <v>45362</v>
      </c>
      <c r="V791" t="s">
        <v>63</v>
      </c>
      <c r="W791">
        <f t="shared" si="62"/>
        <v>6248.6</v>
      </c>
      <c r="X791">
        <f t="shared" si="63"/>
        <v>6248.6</v>
      </c>
      <c r="Y791">
        <f t="shared" si="64"/>
        <v>0</v>
      </c>
      <c r="Z791" s="8" t="str">
        <f t="shared" si="61"/>
        <v>No Discount</v>
      </c>
      <c r="AA791" s="12">
        <f>DATE(YEAR(Table1[[#This Row],[OrderDate]]),MONTH(Table1[[#This Row],[OrderDate]]),1)</f>
        <v>45352</v>
      </c>
    </row>
    <row r="792" spans="1:27" x14ac:dyDescent="0.3">
      <c r="A792" s="3">
        <v>45713</v>
      </c>
      <c r="B792" t="s">
        <v>7</v>
      </c>
      <c r="C792" t="s">
        <v>32</v>
      </c>
      <c r="D792" t="str">
        <f>TRIM(Table1[[#This Row],[Product]])</f>
        <v>Monitor</v>
      </c>
      <c r="E792" t="str">
        <f>PROPER(Table1[[#This Row],[Column1]])</f>
        <v>Monitor</v>
      </c>
      <c r="F792" s="8" t="str">
        <f t="shared" si="60"/>
        <v>Technology</v>
      </c>
      <c r="G792" s="5">
        <v>19</v>
      </c>
      <c r="H792">
        <v>14.1</v>
      </c>
      <c r="I792" t="s">
        <v>78</v>
      </c>
      <c r="J792" t="s">
        <v>58</v>
      </c>
      <c r="K792" s="7">
        <v>0.05</v>
      </c>
      <c r="L792" t="s">
        <v>21</v>
      </c>
      <c r="M792" s="5">
        <v>254.505</v>
      </c>
      <c r="N792" t="s">
        <v>88</v>
      </c>
      <c r="O792" t="s">
        <v>60</v>
      </c>
      <c r="P792" s="5">
        <v>0</v>
      </c>
      <c r="Q792" t="s">
        <v>1623</v>
      </c>
      <c r="R792" t="s">
        <v>1624</v>
      </c>
      <c r="S792" s="5">
        <v>37.840000000000003</v>
      </c>
      <c r="T792" s="3">
        <v>45713</v>
      </c>
      <c r="U792" s="3">
        <v>45716</v>
      </c>
      <c r="V792" t="s">
        <v>77</v>
      </c>
      <c r="W792">
        <f t="shared" si="62"/>
        <v>241.77974999999998</v>
      </c>
      <c r="X792">
        <f t="shared" si="63"/>
        <v>267.89999999999998</v>
      </c>
      <c r="Y792">
        <f t="shared" si="64"/>
        <v>26.120249999999999</v>
      </c>
      <c r="Z792" s="8" t="str">
        <f t="shared" si="61"/>
        <v>Medium</v>
      </c>
      <c r="AA792" s="12">
        <f>DATE(YEAR(Table1[[#This Row],[OrderDate]]),MONTH(Table1[[#This Row],[OrderDate]]),1)</f>
        <v>45689</v>
      </c>
    </row>
    <row r="793" spans="1:27" x14ac:dyDescent="0.3">
      <c r="A793" s="3">
        <v>45612</v>
      </c>
      <c r="B793" t="s">
        <v>16</v>
      </c>
      <c r="C793" t="s">
        <v>35</v>
      </c>
      <c r="D793" t="str">
        <f>TRIM(Table1[[#This Row],[Product]])</f>
        <v>Tablet</v>
      </c>
      <c r="E793" t="str">
        <f>PROPER(Table1[[#This Row],[Column1]])</f>
        <v>Tablet</v>
      </c>
      <c r="F793" s="8" t="str">
        <f t="shared" si="60"/>
        <v>Technology</v>
      </c>
      <c r="G793" s="5">
        <v>17</v>
      </c>
      <c r="H793">
        <v>266.83</v>
      </c>
      <c r="I793" t="s">
        <v>81</v>
      </c>
      <c r="J793" t="s">
        <v>65</v>
      </c>
      <c r="K793" s="7">
        <v>0.05</v>
      </c>
      <c r="L793" t="s">
        <v>27</v>
      </c>
      <c r="M793" s="5">
        <v>4309.3044999999993</v>
      </c>
      <c r="N793" t="s">
        <v>82</v>
      </c>
      <c r="O793" t="s">
        <v>71</v>
      </c>
      <c r="P793" s="5">
        <v>0</v>
      </c>
      <c r="Q793" t="s">
        <v>1625</v>
      </c>
      <c r="R793" t="s">
        <v>1626</v>
      </c>
      <c r="S793" s="5">
        <v>32.520000000000003</v>
      </c>
      <c r="T793" s="3">
        <v>45612</v>
      </c>
      <c r="U793" s="3">
        <v>45619</v>
      </c>
      <c r="V793" t="s">
        <v>95</v>
      </c>
      <c r="W793">
        <f t="shared" si="62"/>
        <v>4093.8392749999989</v>
      </c>
      <c r="X793">
        <f t="shared" si="63"/>
        <v>4536.1099999999997</v>
      </c>
      <c r="Y793">
        <f t="shared" si="64"/>
        <v>442.27072500000077</v>
      </c>
      <c r="Z793" s="8" t="str">
        <f t="shared" si="61"/>
        <v>Medium</v>
      </c>
      <c r="AA793" s="12">
        <f>DATE(YEAR(Table1[[#This Row],[OrderDate]]),MONTH(Table1[[#This Row],[OrderDate]]),1)</f>
        <v>45597</v>
      </c>
    </row>
    <row r="794" spans="1:27" x14ac:dyDescent="0.3">
      <c r="A794" s="3">
        <v>45505</v>
      </c>
      <c r="B794" t="s">
        <v>13</v>
      </c>
      <c r="C794" t="s">
        <v>34</v>
      </c>
      <c r="D794" t="str">
        <f>TRIM(Table1[[#This Row],[Product]])</f>
        <v>Printer</v>
      </c>
      <c r="E794" t="str">
        <f>PROPER(Table1[[#This Row],[Column1]])</f>
        <v>Printer</v>
      </c>
      <c r="F794" s="8" t="str">
        <f t="shared" si="60"/>
        <v>Office Supplies</v>
      </c>
      <c r="G794" s="5">
        <v>20</v>
      </c>
      <c r="H794">
        <v>248.11</v>
      </c>
      <c r="I794" t="s">
        <v>81</v>
      </c>
      <c r="J794" t="s">
        <v>58</v>
      </c>
      <c r="K794" s="7">
        <v>0.05</v>
      </c>
      <c r="L794" t="s">
        <v>21</v>
      </c>
      <c r="M794" s="5">
        <v>4714.09</v>
      </c>
      <c r="N794" t="s">
        <v>59</v>
      </c>
      <c r="O794" t="s">
        <v>67</v>
      </c>
      <c r="P794" s="5">
        <v>0</v>
      </c>
      <c r="Q794" t="s">
        <v>1627</v>
      </c>
      <c r="R794" t="s">
        <v>1628</v>
      </c>
      <c r="S794" s="5">
        <v>22.96</v>
      </c>
      <c r="T794" s="3">
        <v>45505</v>
      </c>
      <c r="U794" s="3">
        <v>45510</v>
      </c>
      <c r="V794" t="s">
        <v>70</v>
      </c>
      <c r="W794">
        <f t="shared" si="62"/>
        <v>4478.3855000000003</v>
      </c>
      <c r="X794">
        <f t="shared" si="63"/>
        <v>4962.2000000000007</v>
      </c>
      <c r="Y794">
        <f t="shared" si="64"/>
        <v>483.81450000000041</v>
      </c>
      <c r="Z794" s="8" t="str">
        <f t="shared" si="61"/>
        <v>Medium</v>
      </c>
      <c r="AA794" s="12">
        <f>DATE(YEAR(Table1[[#This Row],[OrderDate]]),MONTH(Table1[[#This Row],[OrderDate]]),1)</f>
        <v>45505</v>
      </c>
    </row>
    <row r="795" spans="1:27" x14ac:dyDescent="0.3">
      <c r="A795" s="3">
        <v>45402</v>
      </c>
      <c r="B795" t="s">
        <v>16</v>
      </c>
      <c r="C795" t="s">
        <v>29</v>
      </c>
      <c r="D795" t="str">
        <f>TRIM(Table1[[#This Row],[Product]])</f>
        <v>Chair</v>
      </c>
      <c r="E795" t="str">
        <f>PROPER(Table1[[#This Row],[Column1]])</f>
        <v>Chair</v>
      </c>
      <c r="F795" s="8" t="str">
        <f t="shared" si="60"/>
        <v>Furniture</v>
      </c>
      <c r="G795" s="5">
        <v>5</v>
      </c>
      <c r="H795">
        <v>316.76</v>
      </c>
      <c r="I795" t="s">
        <v>57</v>
      </c>
      <c r="J795" t="s">
        <v>65</v>
      </c>
      <c r="K795" s="7">
        <v>0.05</v>
      </c>
      <c r="L795" t="s">
        <v>18</v>
      </c>
      <c r="M795" s="5">
        <v>1504.61</v>
      </c>
      <c r="N795" t="s">
        <v>66</v>
      </c>
      <c r="O795" t="s">
        <v>60</v>
      </c>
      <c r="P795" s="5">
        <v>1</v>
      </c>
      <c r="Q795" t="s">
        <v>1629</v>
      </c>
      <c r="R795" t="s">
        <v>1324</v>
      </c>
      <c r="S795" s="5">
        <v>12.7</v>
      </c>
      <c r="T795" s="3">
        <v>45402</v>
      </c>
      <c r="U795" s="3">
        <v>45412</v>
      </c>
      <c r="V795" t="s">
        <v>95</v>
      </c>
      <c r="W795">
        <f t="shared" si="62"/>
        <v>1429.3794999999998</v>
      </c>
      <c r="X795">
        <f t="shared" si="63"/>
        <v>1583.8</v>
      </c>
      <c r="Y795">
        <f t="shared" si="64"/>
        <v>154.42050000000017</v>
      </c>
      <c r="Z795" s="8" t="str">
        <f t="shared" si="61"/>
        <v>Medium</v>
      </c>
      <c r="AA795" s="12">
        <f>DATE(YEAR(Table1[[#This Row],[OrderDate]]),MONTH(Table1[[#This Row],[OrderDate]]),1)</f>
        <v>45383</v>
      </c>
    </row>
    <row r="796" spans="1:27" x14ac:dyDescent="0.3">
      <c r="A796" s="3">
        <v>45402</v>
      </c>
      <c r="B796" t="s">
        <v>13</v>
      </c>
      <c r="C796" t="s">
        <v>31</v>
      </c>
      <c r="D796" t="str">
        <f>TRIM(Table1[[#This Row],[Product]])</f>
        <v>Laptop</v>
      </c>
      <c r="E796" t="str">
        <f>PROPER(Table1[[#This Row],[Column1]])</f>
        <v>Laptop</v>
      </c>
      <c r="F796" s="8" t="str">
        <f t="shared" si="60"/>
        <v>Technology</v>
      </c>
      <c r="G796" s="5">
        <v>2</v>
      </c>
      <c r="H796">
        <v>169.62</v>
      </c>
      <c r="I796" t="s">
        <v>78</v>
      </c>
      <c r="J796" t="s">
        <v>65</v>
      </c>
      <c r="K796" s="7">
        <v>0.1</v>
      </c>
      <c r="L796" t="s">
        <v>18</v>
      </c>
      <c r="M796" s="5">
        <v>305.31599999999997</v>
      </c>
      <c r="N796" t="s">
        <v>85</v>
      </c>
      <c r="P796" s="5">
        <v>0</v>
      </c>
      <c r="Q796" t="s">
        <v>1630</v>
      </c>
      <c r="R796" t="s">
        <v>1631</v>
      </c>
      <c r="S796" s="5">
        <v>45.41</v>
      </c>
      <c r="T796" s="3">
        <v>45402</v>
      </c>
      <c r="U796" s="3">
        <v>45407</v>
      </c>
      <c r="V796" t="s">
        <v>70</v>
      </c>
      <c r="W796">
        <f t="shared" si="62"/>
        <v>274.78440000000001</v>
      </c>
      <c r="X796">
        <f t="shared" si="63"/>
        <v>339.24</v>
      </c>
      <c r="Y796">
        <f t="shared" si="64"/>
        <v>64.455600000000004</v>
      </c>
      <c r="Z796" s="8" t="str">
        <f t="shared" si="61"/>
        <v>Medium</v>
      </c>
      <c r="AA796" s="12">
        <f>DATE(YEAR(Table1[[#This Row],[OrderDate]]),MONTH(Table1[[#This Row],[OrderDate]]),1)</f>
        <v>45383</v>
      </c>
    </row>
    <row r="797" spans="1:27" x14ac:dyDescent="0.3">
      <c r="A797" s="3">
        <v>45191</v>
      </c>
      <c r="B797" t="s">
        <v>11</v>
      </c>
      <c r="C797" t="s">
        <v>31</v>
      </c>
      <c r="D797" t="str">
        <f>TRIM(Table1[[#This Row],[Product]])</f>
        <v>Laptop</v>
      </c>
      <c r="E797" t="str">
        <f>PROPER(Table1[[#This Row],[Column1]])</f>
        <v>Laptop</v>
      </c>
      <c r="F797" s="8" t="str">
        <f t="shared" si="60"/>
        <v>Technology</v>
      </c>
      <c r="G797" s="5">
        <v>19</v>
      </c>
      <c r="H797">
        <v>35.380000000000003</v>
      </c>
      <c r="I797" t="s">
        <v>64</v>
      </c>
      <c r="J797" t="s">
        <v>65</v>
      </c>
      <c r="K797" s="7">
        <v>0.15</v>
      </c>
      <c r="L797" t="s">
        <v>23</v>
      </c>
      <c r="M797" s="5">
        <v>571.38700000000006</v>
      </c>
      <c r="N797" t="s">
        <v>59</v>
      </c>
      <c r="O797" t="s">
        <v>67</v>
      </c>
      <c r="P797" s="5">
        <v>0</v>
      </c>
      <c r="Q797" t="s">
        <v>1632</v>
      </c>
      <c r="R797" t="s">
        <v>1633</v>
      </c>
      <c r="S797" s="5">
        <v>7.06</v>
      </c>
      <c r="T797" s="3">
        <v>45191</v>
      </c>
      <c r="U797" s="3">
        <v>45197</v>
      </c>
      <c r="V797" t="s">
        <v>74</v>
      </c>
      <c r="W797">
        <f t="shared" si="62"/>
        <v>485.67895000000004</v>
      </c>
      <c r="X797">
        <f t="shared" si="63"/>
        <v>672.22</v>
      </c>
      <c r="Y797">
        <f t="shared" si="64"/>
        <v>186.54104999999998</v>
      </c>
      <c r="Z797" s="8" t="str">
        <f t="shared" si="61"/>
        <v>High</v>
      </c>
      <c r="AA797" s="12">
        <f>DATE(YEAR(Table1[[#This Row],[OrderDate]]),MONTH(Table1[[#This Row],[OrderDate]]),1)</f>
        <v>45170</v>
      </c>
    </row>
    <row r="798" spans="1:27" x14ac:dyDescent="0.3">
      <c r="A798" s="3">
        <v>45709</v>
      </c>
      <c r="B798" t="s">
        <v>16</v>
      </c>
      <c r="C798" t="s">
        <v>29</v>
      </c>
      <c r="D798" t="str">
        <f>TRIM(Table1[[#This Row],[Product]])</f>
        <v>Chair</v>
      </c>
      <c r="E798" t="str">
        <f>PROPER(Table1[[#This Row],[Column1]])</f>
        <v>Chair</v>
      </c>
      <c r="F798" s="8" t="str">
        <f t="shared" si="60"/>
        <v>Furniture</v>
      </c>
      <c r="G798" s="5">
        <v>3</v>
      </c>
      <c r="H798">
        <v>264.08</v>
      </c>
      <c r="I798" t="s">
        <v>64</v>
      </c>
      <c r="J798" t="s">
        <v>65</v>
      </c>
      <c r="K798" s="7">
        <v>0.1</v>
      </c>
      <c r="L798" t="s">
        <v>23</v>
      </c>
      <c r="M798" s="5">
        <v>713.01600000000008</v>
      </c>
      <c r="N798" t="s">
        <v>59</v>
      </c>
      <c r="P798" s="5">
        <v>0</v>
      </c>
      <c r="Q798" t="s">
        <v>1634</v>
      </c>
      <c r="R798" t="s">
        <v>1635</v>
      </c>
      <c r="S798" s="5">
        <v>25.39</v>
      </c>
      <c r="T798" s="3">
        <v>45709</v>
      </c>
      <c r="U798" s="3">
        <v>45718</v>
      </c>
      <c r="V798" t="s">
        <v>95</v>
      </c>
      <c r="W798">
        <f t="shared" si="62"/>
        <v>641.71440000000007</v>
      </c>
      <c r="X798">
        <f t="shared" si="63"/>
        <v>792.24</v>
      </c>
      <c r="Y798">
        <f t="shared" si="64"/>
        <v>150.52559999999994</v>
      </c>
      <c r="Z798" s="8" t="str">
        <f t="shared" si="61"/>
        <v>Medium</v>
      </c>
      <c r="AA798" s="12">
        <f>DATE(YEAR(Table1[[#This Row],[OrderDate]]),MONTH(Table1[[#This Row],[OrderDate]]),1)</f>
        <v>45689</v>
      </c>
    </row>
    <row r="799" spans="1:27" x14ac:dyDescent="0.3">
      <c r="A799" s="3">
        <v>45832</v>
      </c>
      <c r="B799" t="s">
        <v>9</v>
      </c>
      <c r="C799" t="s">
        <v>35</v>
      </c>
      <c r="D799" t="str">
        <f>TRIM(Table1[[#This Row],[Product]])</f>
        <v>Tablet</v>
      </c>
      <c r="E799" t="str">
        <f>PROPER(Table1[[#This Row],[Column1]])</f>
        <v>Tablet</v>
      </c>
      <c r="F799" s="8" t="str">
        <f t="shared" si="60"/>
        <v>Technology</v>
      </c>
      <c r="G799" s="5">
        <v>5</v>
      </c>
      <c r="H799">
        <v>137.56</v>
      </c>
      <c r="I799" t="s">
        <v>78</v>
      </c>
      <c r="J799" t="s">
        <v>58</v>
      </c>
      <c r="K799" s="7">
        <v>0.15</v>
      </c>
      <c r="L799" t="s">
        <v>23</v>
      </c>
      <c r="M799" s="5">
        <v>584.63</v>
      </c>
      <c r="N799" t="s">
        <v>85</v>
      </c>
      <c r="O799" t="s">
        <v>67</v>
      </c>
      <c r="P799" s="5">
        <v>0</v>
      </c>
      <c r="Q799" t="s">
        <v>1636</v>
      </c>
      <c r="R799" t="s">
        <v>285</v>
      </c>
      <c r="S799" s="5">
        <v>6.45</v>
      </c>
      <c r="T799" s="3">
        <v>45832</v>
      </c>
      <c r="U799" s="3">
        <v>45839</v>
      </c>
      <c r="V799" t="s">
        <v>63</v>
      </c>
      <c r="W799">
        <f t="shared" si="62"/>
        <v>496.93549999999999</v>
      </c>
      <c r="X799">
        <f t="shared" si="63"/>
        <v>687.8</v>
      </c>
      <c r="Y799">
        <f t="shared" si="64"/>
        <v>190.86449999999996</v>
      </c>
      <c r="Z799" s="8" t="str">
        <f t="shared" si="61"/>
        <v>High</v>
      </c>
      <c r="AA799" s="12">
        <f>DATE(YEAR(Table1[[#This Row],[OrderDate]]),MONTH(Table1[[#This Row],[OrderDate]]),1)</f>
        <v>45809</v>
      </c>
    </row>
    <row r="800" spans="1:27" x14ac:dyDescent="0.3">
      <c r="A800" s="3">
        <v>45258</v>
      </c>
      <c r="B800" t="s">
        <v>7</v>
      </c>
      <c r="C800" t="s">
        <v>31</v>
      </c>
      <c r="D800" t="str">
        <f>TRIM(Table1[[#This Row],[Product]])</f>
        <v>Laptop</v>
      </c>
      <c r="E800" t="str">
        <f>PROPER(Table1[[#This Row],[Column1]])</f>
        <v>Laptop</v>
      </c>
      <c r="F800" s="8" t="str">
        <f t="shared" si="60"/>
        <v>Technology</v>
      </c>
      <c r="G800" s="5">
        <v>8</v>
      </c>
      <c r="H800">
        <v>157.93</v>
      </c>
      <c r="I800" t="s">
        <v>57</v>
      </c>
      <c r="J800" t="s">
        <v>65</v>
      </c>
      <c r="K800" s="7">
        <v>0.15</v>
      </c>
      <c r="L800" t="s">
        <v>23</v>
      </c>
      <c r="M800" s="5">
        <v>1073.924</v>
      </c>
      <c r="N800" t="s">
        <v>59</v>
      </c>
      <c r="O800" t="s">
        <v>67</v>
      </c>
      <c r="P800" s="5">
        <v>0</v>
      </c>
      <c r="Q800" t="s">
        <v>1637</v>
      </c>
      <c r="R800" t="s">
        <v>1638</v>
      </c>
      <c r="S800" s="5">
        <v>6.31</v>
      </c>
      <c r="T800" s="3">
        <v>45258</v>
      </c>
      <c r="U800" s="3">
        <v>45265</v>
      </c>
      <c r="V800" t="s">
        <v>77</v>
      </c>
      <c r="W800">
        <f t="shared" si="62"/>
        <v>912.83539999999994</v>
      </c>
      <c r="X800">
        <f t="shared" si="63"/>
        <v>1263.44</v>
      </c>
      <c r="Y800">
        <f t="shared" si="64"/>
        <v>350.60460000000012</v>
      </c>
      <c r="Z800" s="8" t="str">
        <f t="shared" si="61"/>
        <v>High</v>
      </c>
      <c r="AA800" s="12">
        <f>DATE(YEAR(Table1[[#This Row],[OrderDate]]),MONTH(Table1[[#This Row],[OrderDate]]),1)</f>
        <v>45231</v>
      </c>
    </row>
    <row r="801" spans="1:27" x14ac:dyDescent="0.3">
      <c r="A801" s="3">
        <v>45390</v>
      </c>
      <c r="B801" t="s">
        <v>11</v>
      </c>
      <c r="C801" t="s">
        <v>30</v>
      </c>
      <c r="D801" t="str">
        <f>TRIM(Table1[[#This Row],[Product]])</f>
        <v>Desk</v>
      </c>
      <c r="E801" t="str">
        <f>PROPER(Table1[[#This Row],[Column1]])</f>
        <v>Desk</v>
      </c>
      <c r="F801" s="8" t="str">
        <f t="shared" si="60"/>
        <v>Furniture</v>
      </c>
      <c r="G801" s="5">
        <v>6</v>
      </c>
      <c r="H801">
        <v>126.86</v>
      </c>
      <c r="I801" t="s">
        <v>78</v>
      </c>
      <c r="J801" t="s">
        <v>58</v>
      </c>
      <c r="K801" s="7">
        <v>0.05</v>
      </c>
      <c r="L801" t="s">
        <v>25</v>
      </c>
      <c r="M801" s="5">
        <v>723.10199999999998</v>
      </c>
      <c r="N801" t="s">
        <v>85</v>
      </c>
      <c r="O801" t="s">
        <v>60</v>
      </c>
      <c r="P801" s="5">
        <v>0</v>
      </c>
      <c r="Q801" t="s">
        <v>1639</v>
      </c>
      <c r="R801" t="s">
        <v>1640</v>
      </c>
      <c r="S801" s="5">
        <v>35.49</v>
      </c>
      <c r="T801" s="3">
        <v>45390</v>
      </c>
      <c r="U801" s="3">
        <v>45399</v>
      </c>
      <c r="V801" t="s">
        <v>74</v>
      </c>
      <c r="W801">
        <f t="shared" si="62"/>
        <v>686.94689999999991</v>
      </c>
      <c r="X801">
        <f t="shared" si="63"/>
        <v>761.16</v>
      </c>
      <c r="Y801">
        <f t="shared" si="64"/>
        <v>74.213100000000054</v>
      </c>
      <c r="Z801" s="8" t="str">
        <f t="shared" si="61"/>
        <v>Medium</v>
      </c>
      <c r="AA801" s="12">
        <f>DATE(YEAR(Table1[[#This Row],[OrderDate]]),MONTH(Table1[[#This Row],[OrderDate]]),1)</f>
        <v>45383</v>
      </c>
    </row>
    <row r="802" spans="1:27" x14ac:dyDescent="0.3">
      <c r="A802" s="3">
        <v>45664</v>
      </c>
      <c r="B802" t="s">
        <v>11</v>
      </c>
      <c r="C802" t="s">
        <v>29</v>
      </c>
      <c r="D802" t="str">
        <f>TRIM(Table1[[#This Row],[Product]])</f>
        <v>Chair</v>
      </c>
      <c r="E802" t="str">
        <f>PROPER(Table1[[#This Row],[Column1]])</f>
        <v>Chair</v>
      </c>
      <c r="F802" s="8" t="str">
        <f t="shared" si="60"/>
        <v>Furniture</v>
      </c>
      <c r="G802" s="5">
        <v>15</v>
      </c>
      <c r="H802">
        <v>240.05</v>
      </c>
      <c r="I802" t="s">
        <v>78</v>
      </c>
      <c r="J802" t="s">
        <v>65</v>
      </c>
      <c r="K802" s="7">
        <v>0.05</v>
      </c>
      <c r="L802" t="s">
        <v>21</v>
      </c>
      <c r="M802" s="5">
        <v>3420.7125000000001</v>
      </c>
      <c r="N802" t="s">
        <v>82</v>
      </c>
      <c r="O802" t="s">
        <v>60</v>
      </c>
      <c r="P802" s="5">
        <v>0</v>
      </c>
      <c r="Q802" t="s">
        <v>1641</v>
      </c>
      <c r="R802" t="s">
        <v>1445</v>
      </c>
      <c r="S802" s="5">
        <v>14.31</v>
      </c>
      <c r="T802" s="3">
        <v>45664</v>
      </c>
      <c r="U802" s="3">
        <v>45671</v>
      </c>
      <c r="V802" t="s">
        <v>74</v>
      </c>
      <c r="W802">
        <f t="shared" si="62"/>
        <v>3249.6768750000001</v>
      </c>
      <c r="X802">
        <f t="shared" si="63"/>
        <v>3600.75</v>
      </c>
      <c r="Y802">
        <f t="shared" si="64"/>
        <v>351.07312499999989</v>
      </c>
      <c r="Z802" s="8" t="str">
        <f t="shared" si="61"/>
        <v>Medium</v>
      </c>
      <c r="AA802" s="12">
        <f>DATE(YEAR(Table1[[#This Row],[OrderDate]]),MONTH(Table1[[#This Row],[OrderDate]]),1)</f>
        <v>45658</v>
      </c>
    </row>
    <row r="803" spans="1:27" x14ac:dyDescent="0.3">
      <c r="A803" s="3">
        <v>44981</v>
      </c>
      <c r="B803" t="s">
        <v>13</v>
      </c>
      <c r="C803" t="s">
        <v>35</v>
      </c>
      <c r="D803" t="str">
        <f>TRIM(Table1[[#This Row],[Product]])</f>
        <v>Tablet</v>
      </c>
      <c r="E803" t="str">
        <f>PROPER(Table1[[#This Row],[Column1]])</f>
        <v>Tablet</v>
      </c>
      <c r="F803" s="8" t="str">
        <f t="shared" si="60"/>
        <v>Technology</v>
      </c>
      <c r="G803" s="5">
        <v>3</v>
      </c>
      <c r="H803">
        <v>37.630000000000003</v>
      </c>
      <c r="I803" t="s">
        <v>64</v>
      </c>
      <c r="J803" t="s">
        <v>58</v>
      </c>
      <c r="K803" s="7">
        <v>0.1</v>
      </c>
      <c r="L803" t="s">
        <v>21</v>
      </c>
      <c r="M803" s="5">
        <v>101.601</v>
      </c>
      <c r="N803" t="s">
        <v>85</v>
      </c>
      <c r="O803" t="s">
        <v>60</v>
      </c>
      <c r="P803" s="5">
        <v>0</v>
      </c>
      <c r="Q803" t="s">
        <v>1642</v>
      </c>
      <c r="R803" t="s">
        <v>1643</v>
      </c>
      <c r="S803" s="5">
        <v>43.7</v>
      </c>
      <c r="T803" s="3">
        <v>44981</v>
      </c>
      <c r="U803" s="3">
        <v>44988</v>
      </c>
      <c r="V803" t="s">
        <v>70</v>
      </c>
      <c r="W803">
        <f t="shared" si="62"/>
        <v>91.440899999999999</v>
      </c>
      <c r="X803">
        <f t="shared" si="63"/>
        <v>112.89000000000001</v>
      </c>
      <c r="Y803">
        <f t="shared" si="64"/>
        <v>21.449100000000016</v>
      </c>
      <c r="Z803" s="8" t="str">
        <f t="shared" si="61"/>
        <v>Medium</v>
      </c>
      <c r="AA803" s="12">
        <f>DATE(YEAR(Table1[[#This Row],[OrderDate]]),MONTH(Table1[[#This Row],[OrderDate]]),1)</f>
        <v>44958</v>
      </c>
    </row>
    <row r="804" spans="1:27" x14ac:dyDescent="0.3">
      <c r="A804" s="3">
        <v>45218</v>
      </c>
      <c r="B804" t="s">
        <v>9</v>
      </c>
      <c r="C804" t="s">
        <v>29</v>
      </c>
      <c r="D804" t="str">
        <f>TRIM(Table1[[#This Row],[Product]])</f>
        <v>Chair</v>
      </c>
      <c r="E804" t="str">
        <f>PROPER(Table1[[#This Row],[Column1]])</f>
        <v>Chair</v>
      </c>
      <c r="F804" s="8" t="str">
        <f t="shared" si="60"/>
        <v>Furniture</v>
      </c>
      <c r="G804" s="5">
        <v>13</v>
      </c>
      <c r="H804">
        <v>393.1</v>
      </c>
      <c r="I804" t="s">
        <v>57</v>
      </c>
      <c r="J804" t="s">
        <v>58</v>
      </c>
      <c r="K804" s="7">
        <v>0.1</v>
      </c>
      <c r="L804" t="s">
        <v>18</v>
      </c>
      <c r="M804" s="5">
        <v>4599.2700000000004</v>
      </c>
      <c r="N804" t="s">
        <v>59</v>
      </c>
      <c r="P804" s="5">
        <v>0</v>
      </c>
      <c r="Q804" t="s">
        <v>1644</v>
      </c>
      <c r="R804" t="s">
        <v>90</v>
      </c>
      <c r="S804" s="5">
        <v>12.64</v>
      </c>
      <c r="T804" s="3">
        <v>45218</v>
      </c>
      <c r="U804" s="3">
        <v>45225</v>
      </c>
      <c r="V804" t="s">
        <v>63</v>
      </c>
      <c r="W804">
        <f t="shared" si="62"/>
        <v>4139.3430000000008</v>
      </c>
      <c r="X804">
        <f t="shared" si="63"/>
        <v>5110.3</v>
      </c>
      <c r="Y804">
        <f t="shared" si="64"/>
        <v>970.95699999999943</v>
      </c>
      <c r="Z804" s="8" t="str">
        <f t="shared" si="61"/>
        <v>Medium</v>
      </c>
      <c r="AA804" s="12">
        <f>DATE(YEAR(Table1[[#This Row],[OrderDate]]),MONTH(Table1[[#This Row],[OrderDate]]),1)</f>
        <v>45200</v>
      </c>
    </row>
    <row r="805" spans="1:27" x14ac:dyDescent="0.3">
      <c r="A805" s="3">
        <v>45460</v>
      </c>
      <c r="B805" t="s">
        <v>11</v>
      </c>
      <c r="C805" t="s">
        <v>29</v>
      </c>
      <c r="D805" t="str">
        <f>TRIM(Table1[[#This Row],[Product]])</f>
        <v>Chair</v>
      </c>
      <c r="E805" t="str">
        <f>PROPER(Table1[[#This Row],[Column1]])</f>
        <v>Chair</v>
      </c>
      <c r="F805" s="8" t="str">
        <f t="shared" si="60"/>
        <v>Furniture</v>
      </c>
      <c r="G805" s="5">
        <v>10</v>
      </c>
      <c r="H805">
        <v>83.86</v>
      </c>
      <c r="I805" t="s">
        <v>64</v>
      </c>
      <c r="J805" t="s">
        <v>58</v>
      </c>
      <c r="K805" s="7">
        <v>0.15</v>
      </c>
      <c r="L805" t="s">
        <v>18</v>
      </c>
      <c r="M805" s="5">
        <v>712.81</v>
      </c>
      <c r="N805" t="s">
        <v>82</v>
      </c>
      <c r="P805" s="5">
        <v>0</v>
      </c>
      <c r="Q805" t="s">
        <v>1645</v>
      </c>
      <c r="R805" t="s">
        <v>1646</v>
      </c>
      <c r="S805" s="5">
        <v>41.11</v>
      </c>
      <c r="T805" s="3">
        <v>45460</v>
      </c>
      <c r="U805" s="3">
        <v>45464</v>
      </c>
      <c r="V805" t="s">
        <v>74</v>
      </c>
      <c r="W805">
        <f t="shared" si="62"/>
        <v>605.88849999999991</v>
      </c>
      <c r="X805">
        <f t="shared" si="63"/>
        <v>838.6</v>
      </c>
      <c r="Y805">
        <f t="shared" si="64"/>
        <v>232.71150000000011</v>
      </c>
      <c r="Z805" s="8" t="str">
        <f t="shared" si="61"/>
        <v>High</v>
      </c>
      <c r="AA805" s="12">
        <f>DATE(YEAR(Table1[[#This Row],[OrderDate]]),MONTH(Table1[[#This Row],[OrderDate]]),1)</f>
        <v>45444</v>
      </c>
    </row>
    <row r="806" spans="1:27" x14ac:dyDescent="0.3">
      <c r="A806" s="3">
        <v>45098</v>
      </c>
      <c r="B806" t="s">
        <v>7</v>
      </c>
      <c r="C806" t="s">
        <v>30</v>
      </c>
      <c r="D806" t="str">
        <f>TRIM(Table1[[#This Row],[Product]])</f>
        <v>Desk</v>
      </c>
      <c r="E806" t="str">
        <f>PROPER(Table1[[#This Row],[Column1]])</f>
        <v>Desk</v>
      </c>
      <c r="F806" s="8" t="str">
        <f t="shared" si="60"/>
        <v>Furniture</v>
      </c>
      <c r="G806" s="5">
        <v>10</v>
      </c>
      <c r="H806">
        <v>110.07</v>
      </c>
      <c r="I806" t="s">
        <v>57</v>
      </c>
      <c r="J806" t="s">
        <v>58</v>
      </c>
      <c r="K806" s="7">
        <v>0</v>
      </c>
      <c r="L806" t="s">
        <v>27</v>
      </c>
      <c r="M806" s="5">
        <v>1100.7</v>
      </c>
      <c r="N806" t="s">
        <v>82</v>
      </c>
      <c r="P806" s="5">
        <v>0</v>
      </c>
      <c r="Q806" t="s">
        <v>1647</v>
      </c>
      <c r="R806" t="s">
        <v>1648</v>
      </c>
      <c r="S806" s="5">
        <v>18.47</v>
      </c>
      <c r="T806" s="3">
        <v>45098</v>
      </c>
      <c r="U806" s="3">
        <v>45106</v>
      </c>
      <c r="V806" t="s">
        <v>77</v>
      </c>
      <c r="W806">
        <f t="shared" si="62"/>
        <v>1100.7</v>
      </c>
      <c r="X806">
        <f t="shared" si="63"/>
        <v>1100.6999999999998</v>
      </c>
      <c r="Y806">
        <f t="shared" si="64"/>
        <v>0</v>
      </c>
      <c r="Z806" s="8" t="str">
        <f t="shared" si="61"/>
        <v>No Discount</v>
      </c>
      <c r="AA806" s="12">
        <f>DATE(YEAR(Table1[[#This Row],[OrderDate]]),MONTH(Table1[[#This Row],[OrderDate]]),1)</f>
        <v>45078</v>
      </c>
    </row>
    <row r="807" spans="1:27" x14ac:dyDescent="0.3">
      <c r="A807" s="3">
        <v>45534</v>
      </c>
      <c r="B807" t="s">
        <v>9</v>
      </c>
      <c r="C807" t="s">
        <v>33</v>
      </c>
      <c r="D807" t="str">
        <f>TRIM(Table1[[#This Row],[Product]])</f>
        <v>Phone</v>
      </c>
      <c r="E807" t="str">
        <f>PROPER(Table1[[#This Row],[Column1]])</f>
        <v>Phone</v>
      </c>
      <c r="F807" s="8" t="str">
        <f t="shared" si="60"/>
        <v>Technology</v>
      </c>
      <c r="G807" s="5">
        <v>6</v>
      </c>
      <c r="H807">
        <v>288.98</v>
      </c>
      <c r="I807" t="s">
        <v>78</v>
      </c>
      <c r="J807" t="s">
        <v>58</v>
      </c>
      <c r="K807" s="7">
        <v>0.15</v>
      </c>
      <c r="L807" t="s">
        <v>23</v>
      </c>
      <c r="M807" s="5">
        <v>1473.798</v>
      </c>
      <c r="N807" t="s">
        <v>66</v>
      </c>
      <c r="P807" s="5">
        <v>0</v>
      </c>
      <c r="Q807" t="s">
        <v>1649</v>
      </c>
      <c r="R807" t="s">
        <v>1650</v>
      </c>
      <c r="S807" s="5">
        <v>38.630000000000003</v>
      </c>
      <c r="T807" s="3">
        <v>45534</v>
      </c>
      <c r="U807" s="3">
        <v>45537</v>
      </c>
      <c r="V807" t="s">
        <v>63</v>
      </c>
      <c r="W807">
        <f t="shared" si="62"/>
        <v>1252.7283</v>
      </c>
      <c r="X807">
        <f t="shared" si="63"/>
        <v>1733.88</v>
      </c>
      <c r="Y807">
        <f t="shared" si="64"/>
        <v>481.15170000000012</v>
      </c>
      <c r="Z807" s="8" t="str">
        <f t="shared" si="61"/>
        <v>High</v>
      </c>
      <c r="AA807" s="12">
        <f>DATE(YEAR(Table1[[#This Row],[OrderDate]]),MONTH(Table1[[#This Row],[OrderDate]]),1)</f>
        <v>45505</v>
      </c>
    </row>
    <row r="808" spans="1:27" x14ac:dyDescent="0.3">
      <c r="A808" s="3">
        <v>45660</v>
      </c>
      <c r="B808" t="s">
        <v>7</v>
      </c>
      <c r="C808" t="s">
        <v>30</v>
      </c>
      <c r="D808" t="str">
        <f>TRIM(Table1[[#This Row],[Product]])</f>
        <v>Desk</v>
      </c>
      <c r="E808" t="str">
        <f>PROPER(Table1[[#This Row],[Column1]])</f>
        <v>Desk</v>
      </c>
      <c r="F808" s="8" t="str">
        <f t="shared" si="60"/>
        <v>Furniture</v>
      </c>
      <c r="G808" s="5">
        <v>10</v>
      </c>
      <c r="H808">
        <v>451.14</v>
      </c>
      <c r="I808" t="s">
        <v>64</v>
      </c>
      <c r="J808" t="s">
        <v>65</v>
      </c>
      <c r="K808" s="7">
        <v>0</v>
      </c>
      <c r="L808" t="s">
        <v>19</v>
      </c>
      <c r="M808" s="5">
        <v>4511.3999999999996</v>
      </c>
      <c r="N808" t="s">
        <v>66</v>
      </c>
      <c r="O808" t="s">
        <v>60</v>
      </c>
      <c r="P808" s="5">
        <v>0</v>
      </c>
      <c r="Q808" t="s">
        <v>1651</v>
      </c>
      <c r="R808" t="s">
        <v>1652</v>
      </c>
      <c r="S808" s="5">
        <v>29.96</v>
      </c>
      <c r="T808" s="3">
        <v>45660</v>
      </c>
      <c r="U808" s="3">
        <v>45670</v>
      </c>
      <c r="V808" t="s">
        <v>77</v>
      </c>
      <c r="W808">
        <f t="shared" si="62"/>
        <v>4511.3999999999996</v>
      </c>
      <c r="X808">
        <f t="shared" si="63"/>
        <v>4511.3999999999996</v>
      </c>
      <c r="Y808">
        <f t="shared" si="64"/>
        <v>0</v>
      </c>
      <c r="Z808" s="8" t="str">
        <f t="shared" si="61"/>
        <v>No Discount</v>
      </c>
      <c r="AA808" s="12">
        <f>DATE(YEAR(Table1[[#This Row],[OrderDate]]),MONTH(Table1[[#This Row],[OrderDate]]),1)</f>
        <v>45658</v>
      </c>
    </row>
    <row r="809" spans="1:27" x14ac:dyDescent="0.3">
      <c r="A809" s="3">
        <v>44980</v>
      </c>
      <c r="B809" t="s">
        <v>16</v>
      </c>
      <c r="C809" t="s">
        <v>34</v>
      </c>
      <c r="D809" t="str">
        <f>TRIM(Table1[[#This Row],[Product]])</f>
        <v>Printer</v>
      </c>
      <c r="E809" t="str">
        <f>PROPER(Table1[[#This Row],[Column1]])</f>
        <v>Printer</v>
      </c>
      <c r="F809" s="8" t="str">
        <f t="shared" si="60"/>
        <v>Office Supplies</v>
      </c>
      <c r="G809" s="5">
        <v>16</v>
      </c>
      <c r="H809">
        <v>509.08</v>
      </c>
      <c r="I809" t="s">
        <v>78</v>
      </c>
      <c r="J809" t="s">
        <v>58</v>
      </c>
      <c r="K809" s="7">
        <v>0</v>
      </c>
      <c r="L809" t="s">
        <v>21</v>
      </c>
      <c r="M809" s="5">
        <v>8145.28</v>
      </c>
      <c r="N809" t="s">
        <v>59</v>
      </c>
      <c r="O809" t="s">
        <v>60</v>
      </c>
      <c r="P809" s="5">
        <v>0</v>
      </c>
      <c r="Q809" t="s">
        <v>1653</v>
      </c>
      <c r="R809" t="s">
        <v>906</v>
      </c>
      <c r="S809" s="5">
        <v>37.53</v>
      </c>
      <c r="T809" s="3">
        <v>44980</v>
      </c>
      <c r="U809" s="3">
        <v>44987</v>
      </c>
      <c r="V809" t="s">
        <v>95</v>
      </c>
      <c r="W809">
        <f t="shared" si="62"/>
        <v>8145.28</v>
      </c>
      <c r="X809">
        <f t="shared" si="63"/>
        <v>8145.28</v>
      </c>
      <c r="Y809">
        <f t="shared" si="64"/>
        <v>0</v>
      </c>
      <c r="Z809" s="8" t="str">
        <f t="shared" si="61"/>
        <v>No Discount</v>
      </c>
      <c r="AA809" s="12">
        <f>DATE(YEAR(Table1[[#This Row],[OrderDate]]),MONTH(Table1[[#This Row],[OrderDate]]),1)</f>
        <v>44958</v>
      </c>
    </row>
    <row r="810" spans="1:27" x14ac:dyDescent="0.3">
      <c r="A810" s="3">
        <v>45773</v>
      </c>
      <c r="B810" t="s">
        <v>7</v>
      </c>
      <c r="C810" t="s">
        <v>34</v>
      </c>
      <c r="D810" t="str">
        <f>TRIM(Table1[[#This Row],[Product]])</f>
        <v>Printer</v>
      </c>
      <c r="E810" t="str">
        <f>PROPER(Table1[[#This Row],[Column1]])</f>
        <v>Printer</v>
      </c>
      <c r="F810" s="8" t="str">
        <f t="shared" si="60"/>
        <v>Office Supplies</v>
      </c>
      <c r="G810" s="5">
        <v>4</v>
      </c>
      <c r="H810">
        <v>582.73</v>
      </c>
      <c r="I810" t="s">
        <v>81</v>
      </c>
      <c r="J810" t="s">
        <v>58</v>
      </c>
      <c r="K810" s="7">
        <v>0.05</v>
      </c>
      <c r="L810" t="s">
        <v>21</v>
      </c>
      <c r="M810" s="5">
        <v>2214.3739999999998</v>
      </c>
      <c r="N810" t="s">
        <v>88</v>
      </c>
      <c r="O810" t="s">
        <v>71</v>
      </c>
      <c r="P810" s="5">
        <v>0</v>
      </c>
      <c r="Q810" t="s">
        <v>1654</v>
      </c>
      <c r="R810" t="s">
        <v>1655</v>
      </c>
      <c r="S810" s="5">
        <v>44.26</v>
      </c>
      <c r="T810" s="3">
        <v>45773</v>
      </c>
      <c r="U810" s="3">
        <v>45776</v>
      </c>
      <c r="V810" t="s">
        <v>77</v>
      </c>
      <c r="W810">
        <f t="shared" si="62"/>
        <v>2103.6552999999999</v>
      </c>
      <c r="X810">
        <f t="shared" si="63"/>
        <v>2330.92</v>
      </c>
      <c r="Y810">
        <f t="shared" si="64"/>
        <v>227.26470000000018</v>
      </c>
      <c r="Z810" s="8" t="str">
        <f t="shared" si="61"/>
        <v>Medium</v>
      </c>
      <c r="AA810" s="12">
        <f>DATE(YEAR(Table1[[#This Row],[OrderDate]]),MONTH(Table1[[#This Row],[OrderDate]]),1)</f>
        <v>45748</v>
      </c>
    </row>
    <row r="811" spans="1:27" x14ac:dyDescent="0.3">
      <c r="A811" s="3">
        <v>45085</v>
      </c>
      <c r="B811" t="s">
        <v>13</v>
      </c>
      <c r="C811" t="s">
        <v>33</v>
      </c>
      <c r="D811" t="str">
        <f>TRIM(Table1[[#This Row],[Product]])</f>
        <v>Phone</v>
      </c>
      <c r="E811" t="str">
        <f>PROPER(Table1[[#This Row],[Column1]])</f>
        <v>Phone</v>
      </c>
      <c r="F811" s="8" t="str">
        <f t="shared" si="60"/>
        <v>Technology</v>
      </c>
      <c r="G811" s="5">
        <v>9</v>
      </c>
      <c r="H811">
        <v>115.24</v>
      </c>
      <c r="I811" t="s">
        <v>57</v>
      </c>
      <c r="J811" t="s">
        <v>58</v>
      </c>
      <c r="K811" s="7">
        <v>0</v>
      </c>
      <c r="L811" t="s">
        <v>18</v>
      </c>
      <c r="M811" s="5">
        <v>1037.1600000000001</v>
      </c>
      <c r="N811" t="s">
        <v>82</v>
      </c>
      <c r="O811" t="s">
        <v>60</v>
      </c>
      <c r="P811" s="5">
        <v>0</v>
      </c>
      <c r="Q811" t="s">
        <v>1656</v>
      </c>
      <c r="R811" t="s">
        <v>1657</v>
      </c>
      <c r="S811" s="5">
        <v>8.2799999999999994</v>
      </c>
      <c r="T811" s="3">
        <v>45085</v>
      </c>
      <c r="U811" s="3">
        <v>45091</v>
      </c>
      <c r="V811" t="s">
        <v>70</v>
      </c>
      <c r="W811">
        <f t="shared" si="62"/>
        <v>1037.1600000000001</v>
      </c>
      <c r="X811">
        <f t="shared" si="63"/>
        <v>1037.1599999999999</v>
      </c>
      <c r="Y811">
        <f t="shared" si="64"/>
        <v>0</v>
      </c>
      <c r="Z811" s="8" t="str">
        <f t="shared" si="61"/>
        <v>No Discount</v>
      </c>
      <c r="AA811" s="12">
        <f>DATE(YEAR(Table1[[#This Row],[OrderDate]]),MONTH(Table1[[#This Row],[OrderDate]]),1)</f>
        <v>45078</v>
      </c>
    </row>
    <row r="812" spans="1:27" x14ac:dyDescent="0.3">
      <c r="A812" s="3">
        <v>45001</v>
      </c>
      <c r="B812" t="s">
        <v>11</v>
      </c>
      <c r="C812" t="s">
        <v>32</v>
      </c>
      <c r="D812" t="str">
        <f>TRIM(Table1[[#This Row],[Product]])</f>
        <v>Monitor</v>
      </c>
      <c r="E812" t="str">
        <f>PROPER(Table1[[#This Row],[Column1]])</f>
        <v>Monitor</v>
      </c>
      <c r="F812" s="8" t="str">
        <f t="shared" si="60"/>
        <v>Technology</v>
      </c>
      <c r="G812" s="5">
        <v>14</v>
      </c>
      <c r="H812">
        <v>565.45000000000005</v>
      </c>
      <c r="I812" t="s">
        <v>81</v>
      </c>
      <c r="J812" t="s">
        <v>58</v>
      </c>
      <c r="K812" s="7">
        <v>0.1</v>
      </c>
      <c r="L812" t="s">
        <v>25</v>
      </c>
      <c r="M812" s="5">
        <v>7124.670000000001</v>
      </c>
      <c r="N812" t="s">
        <v>59</v>
      </c>
      <c r="O812" t="s">
        <v>71</v>
      </c>
      <c r="P812" s="5">
        <v>0</v>
      </c>
      <c r="Q812" t="s">
        <v>1658</v>
      </c>
      <c r="R812" t="s">
        <v>1659</v>
      </c>
      <c r="S812" s="5">
        <v>24.4</v>
      </c>
      <c r="T812" s="3">
        <v>45001</v>
      </c>
      <c r="U812" s="3">
        <v>45010</v>
      </c>
      <c r="V812" t="s">
        <v>74</v>
      </c>
      <c r="W812">
        <f t="shared" si="62"/>
        <v>6412.2030000000013</v>
      </c>
      <c r="X812">
        <f t="shared" si="63"/>
        <v>7916.3000000000011</v>
      </c>
      <c r="Y812">
        <f t="shared" si="64"/>
        <v>1504.0969999999998</v>
      </c>
      <c r="Z812" s="8" t="str">
        <f t="shared" si="61"/>
        <v>Medium</v>
      </c>
      <c r="AA812" s="12">
        <f>DATE(YEAR(Table1[[#This Row],[OrderDate]]),MONTH(Table1[[#This Row],[OrderDate]]),1)</f>
        <v>44986</v>
      </c>
    </row>
    <row r="813" spans="1:27" x14ac:dyDescent="0.3">
      <c r="A813" s="3">
        <v>45588</v>
      </c>
      <c r="B813" t="s">
        <v>11</v>
      </c>
      <c r="C813" t="s">
        <v>33</v>
      </c>
      <c r="D813" t="str">
        <f>TRIM(Table1[[#This Row],[Product]])</f>
        <v>Phone</v>
      </c>
      <c r="E813" t="str">
        <f>PROPER(Table1[[#This Row],[Column1]])</f>
        <v>Phone</v>
      </c>
      <c r="F813" s="8" t="str">
        <f t="shared" si="60"/>
        <v>Technology</v>
      </c>
      <c r="G813" s="5">
        <v>11</v>
      </c>
      <c r="H813">
        <v>121.54</v>
      </c>
      <c r="I813" t="s">
        <v>81</v>
      </c>
      <c r="J813" t="s">
        <v>58</v>
      </c>
      <c r="K813" s="7">
        <v>0</v>
      </c>
      <c r="L813" t="s">
        <v>21</v>
      </c>
      <c r="M813" s="5">
        <v>1336.94</v>
      </c>
      <c r="N813" t="s">
        <v>82</v>
      </c>
      <c r="O813" t="s">
        <v>67</v>
      </c>
      <c r="P813" s="5">
        <v>0</v>
      </c>
      <c r="Q813" t="s">
        <v>1660</v>
      </c>
      <c r="R813" t="s">
        <v>1661</v>
      </c>
      <c r="S813" s="5">
        <v>16.62</v>
      </c>
      <c r="T813" s="3">
        <v>45588</v>
      </c>
      <c r="U813" s="3">
        <v>45593</v>
      </c>
      <c r="V813" t="s">
        <v>74</v>
      </c>
      <c r="W813">
        <f t="shared" si="62"/>
        <v>1336.94</v>
      </c>
      <c r="X813">
        <f t="shared" si="63"/>
        <v>1336.94</v>
      </c>
      <c r="Y813">
        <f t="shared" si="64"/>
        <v>0</v>
      </c>
      <c r="Z813" s="8" t="str">
        <f t="shared" si="61"/>
        <v>No Discount</v>
      </c>
      <c r="AA813" s="12">
        <f>DATE(YEAR(Table1[[#This Row],[OrderDate]]),MONTH(Table1[[#This Row],[OrderDate]]),1)</f>
        <v>45566</v>
      </c>
    </row>
    <row r="814" spans="1:27" x14ac:dyDescent="0.3">
      <c r="A814" s="3">
        <v>45800</v>
      </c>
      <c r="B814" t="s">
        <v>9</v>
      </c>
      <c r="C814" t="s">
        <v>34</v>
      </c>
      <c r="D814" t="str">
        <f>TRIM(Table1[[#This Row],[Product]])</f>
        <v>Printer</v>
      </c>
      <c r="E814" t="str">
        <f>PROPER(Table1[[#This Row],[Column1]])</f>
        <v>Printer</v>
      </c>
      <c r="F814" s="8" t="str">
        <f t="shared" si="60"/>
        <v>Office Supplies</v>
      </c>
      <c r="G814" s="5">
        <v>9</v>
      </c>
      <c r="H814">
        <v>160.15</v>
      </c>
      <c r="I814" t="s">
        <v>81</v>
      </c>
      <c r="J814" t="s">
        <v>65</v>
      </c>
      <c r="K814" s="7">
        <v>0.1</v>
      </c>
      <c r="L814" t="s">
        <v>18</v>
      </c>
      <c r="M814" s="5">
        <v>1297.2149999999999</v>
      </c>
      <c r="N814" t="s">
        <v>85</v>
      </c>
      <c r="P814" s="5">
        <v>1</v>
      </c>
      <c r="Q814" t="s">
        <v>1662</v>
      </c>
      <c r="R814" t="s">
        <v>1663</v>
      </c>
      <c r="S814" s="5">
        <v>29.64</v>
      </c>
      <c r="T814" s="3">
        <v>45800</v>
      </c>
      <c r="U814" s="3">
        <v>45805</v>
      </c>
      <c r="V814" t="s">
        <v>63</v>
      </c>
      <c r="W814">
        <f t="shared" si="62"/>
        <v>1167.4935</v>
      </c>
      <c r="X814">
        <f t="shared" si="63"/>
        <v>1441.3500000000001</v>
      </c>
      <c r="Y814">
        <f t="shared" si="64"/>
        <v>273.8565000000001</v>
      </c>
      <c r="Z814" s="8" t="str">
        <f t="shared" si="61"/>
        <v>Medium</v>
      </c>
      <c r="AA814" s="12">
        <f>DATE(YEAR(Table1[[#This Row],[OrderDate]]),MONTH(Table1[[#This Row],[OrderDate]]),1)</f>
        <v>45778</v>
      </c>
    </row>
    <row r="815" spans="1:27" x14ac:dyDescent="0.3">
      <c r="A815" s="3">
        <v>45052</v>
      </c>
      <c r="B815" t="s">
        <v>9</v>
      </c>
      <c r="C815" t="s">
        <v>30</v>
      </c>
      <c r="D815" t="str">
        <f>TRIM(Table1[[#This Row],[Product]])</f>
        <v>Desk</v>
      </c>
      <c r="E815" t="str">
        <f>PROPER(Table1[[#This Row],[Column1]])</f>
        <v>Desk</v>
      </c>
      <c r="F815" s="8" t="str">
        <f t="shared" si="60"/>
        <v>Furniture</v>
      </c>
      <c r="G815" s="5">
        <v>14</v>
      </c>
      <c r="H815">
        <v>175.66</v>
      </c>
      <c r="I815" t="s">
        <v>57</v>
      </c>
      <c r="J815" t="s">
        <v>58</v>
      </c>
      <c r="K815" s="7">
        <v>0.05</v>
      </c>
      <c r="L815" t="s">
        <v>19</v>
      </c>
      <c r="M815" s="5">
        <v>2336.2779999999998</v>
      </c>
      <c r="N815" t="s">
        <v>88</v>
      </c>
      <c r="O815" t="s">
        <v>67</v>
      </c>
      <c r="P815" s="5">
        <v>0</v>
      </c>
      <c r="Q815" t="s">
        <v>1664</v>
      </c>
      <c r="R815" t="s">
        <v>1665</v>
      </c>
      <c r="S815" s="5">
        <v>26.12</v>
      </c>
      <c r="T815" s="3">
        <v>45052</v>
      </c>
      <c r="U815" s="3">
        <v>45060</v>
      </c>
      <c r="V815" t="s">
        <v>63</v>
      </c>
      <c r="W815">
        <f t="shared" si="62"/>
        <v>2219.4640999999997</v>
      </c>
      <c r="X815">
        <f t="shared" si="63"/>
        <v>2459.2399999999998</v>
      </c>
      <c r="Y815">
        <f t="shared" si="64"/>
        <v>239.77590000000009</v>
      </c>
      <c r="Z815" s="8" t="str">
        <f t="shared" si="61"/>
        <v>Medium</v>
      </c>
      <c r="AA815" s="12">
        <f>DATE(YEAR(Table1[[#This Row],[OrderDate]]),MONTH(Table1[[#This Row],[OrderDate]]),1)</f>
        <v>45047</v>
      </c>
    </row>
    <row r="816" spans="1:27" x14ac:dyDescent="0.3">
      <c r="A816" s="3">
        <v>45519</v>
      </c>
      <c r="B816" t="s">
        <v>13</v>
      </c>
      <c r="C816" t="s">
        <v>35</v>
      </c>
      <c r="D816" t="str">
        <f>TRIM(Table1[[#This Row],[Product]])</f>
        <v>Tablet</v>
      </c>
      <c r="E816" t="str">
        <f>PROPER(Table1[[#This Row],[Column1]])</f>
        <v>Tablet</v>
      </c>
      <c r="F816" s="8" t="str">
        <f t="shared" si="60"/>
        <v>Technology</v>
      </c>
      <c r="G816" s="5">
        <v>3</v>
      </c>
      <c r="H816">
        <v>437.97</v>
      </c>
      <c r="I816" t="s">
        <v>78</v>
      </c>
      <c r="J816" t="s">
        <v>58</v>
      </c>
      <c r="K816" s="7">
        <v>0.05</v>
      </c>
      <c r="L816" t="s">
        <v>25</v>
      </c>
      <c r="M816" s="5">
        <v>1248.2145</v>
      </c>
      <c r="N816" t="s">
        <v>88</v>
      </c>
      <c r="O816" t="s">
        <v>67</v>
      </c>
      <c r="P816" s="5">
        <v>1</v>
      </c>
      <c r="Q816" t="s">
        <v>1666</v>
      </c>
      <c r="R816" t="s">
        <v>1667</v>
      </c>
      <c r="S816" s="5">
        <v>23.29</v>
      </c>
      <c r="T816" s="3">
        <v>45519</v>
      </c>
      <c r="U816" s="3">
        <v>45526</v>
      </c>
      <c r="V816" t="s">
        <v>70</v>
      </c>
      <c r="W816">
        <f t="shared" si="62"/>
        <v>1185.8037750000001</v>
      </c>
      <c r="X816">
        <f t="shared" si="63"/>
        <v>1313.91</v>
      </c>
      <c r="Y816">
        <f t="shared" si="64"/>
        <v>128.10622499999999</v>
      </c>
      <c r="Z816" s="8" t="str">
        <f t="shared" si="61"/>
        <v>Medium</v>
      </c>
      <c r="AA816" s="12">
        <f>DATE(YEAR(Table1[[#This Row],[OrderDate]]),MONTH(Table1[[#This Row],[OrderDate]]),1)</f>
        <v>45505</v>
      </c>
    </row>
    <row r="817" spans="1:27" x14ac:dyDescent="0.3">
      <c r="A817" s="3">
        <v>45161</v>
      </c>
      <c r="B817" t="s">
        <v>13</v>
      </c>
      <c r="C817" t="s">
        <v>34</v>
      </c>
      <c r="D817" t="str">
        <f>TRIM(Table1[[#This Row],[Product]])</f>
        <v>Printer</v>
      </c>
      <c r="E817" t="str">
        <f>PROPER(Table1[[#This Row],[Column1]])</f>
        <v>Printer</v>
      </c>
      <c r="F817" s="8" t="str">
        <f t="shared" si="60"/>
        <v>Office Supplies</v>
      </c>
      <c r="G817" s="5">
        <v>12</v>
      </c>
      <c r="H817">
        <v>411.59</v>
      </c>
      <c r="I817" t="s">
        <v>57</v>
      </c>
      <c r="J817" t="s">
        <v>58</v>
      </c>
      <c r="K817" s="7">
        <v>0.15</v>
      </c>
      <c r="L817" t="s">
        <v>23</v>
      </c>
      <c r="M817" s="5">
        <v>4198.2179999999998</v>
      </c>
      <c r="N817" t="s">
        <v>88</v>
      </c>
      <c r="O817" t="s">
        <v>60</v>
      </c>
      <c r="P817" s="5">
        <v>0</v>
      </c>
      <c r="Q817" t="s">
        <v>1668</v>
      </c>
      <c r="R817" t="s">
        <v>1669</v>
      </c>
      <c r="S817" s="5">
        <v>19.170000000000002</v>
      </c>
      <c r="T817" s="3">
        <v>45161</v>
      </c>
      <c r="U817" s="3">
        <v>45169</v>
      </c>
      <c r="V817" t="s">
        <v>70</v>
      </c>
      <c r="W817">
        <f t="shared" si="62"/>
        <v>3568.4852999999998</v>
      </c>
      <c r="X817">
        <f t="shared" si="63"/>
        <v>4939.08</v>
      </c>
      <c r="Y817">
        <f t="shared" si="64"/>
        <v>1370.5947000000001</v>
      </c>
      <c r="Z817" s="8" t="str">
        <f t="shared" si="61"/>
        <v>High</v>
      </c>
      <c r="AA817" s="12">
        <f>DATE(YEAR(Table1[[#This Row],[OrderDate]]),MONTH(Table1[[#This Row],[OrderDate]]),1)</f>
        <v>45139</v>
      </c>
    </row>
    <row r="818" spans="1:27" x14ac:dyDescent="0.3">
      <c r="A818" s="3">
        <v>45760</v>
      </c>
      <c r="B818" t="s">
        <v>13</v>
      </c>
      <c r="C818" t="s">
        <v>31</v>
      </c>
      <c r="D818" t="str">
        <f>TRIM(Table1[[#This Row],[Product]])</f>
        <v>Laptop</v>
      </c>
      <c r="E818" t="str">
        <f>PROPER(Table1[[#This Row],[Column1]])</f>
        <v>Laptop</v>
      </c>
      <c r="F818" s="8" t="str">
        <f t="shared" si="60"/>
        <v>Technology</v>
      </c>
      <c r="G818" s="5">
        <v>1</v>
      </c>
      <c r="H818">
        <v>163.29</v>
      </c>
      <c r="I818" t="s">
        <v>57</v>
      </c>
      <c r="J818" t="s">
        <v>65</v>
      </c>
      <c r="K818" s="7">
        <v>0</v>
      </c>
      <c r="L818" t="s">
        <v>23</v>
      </c>
      <c r="M818" s="5">
        <v>163.29</v>
      </c>
      <c r="N818" t="s">
        <v>82</v>
      </c>
      <c r="O818" t="s">
        <v>71</v>
      </c>
      <c r="P818" s="5">
        <v>0</v>
      </c>
      <c r="Q818" t="s">
        <v>1670</v>
      </c>
      <c r="R818" t="s">
        <v>1671</v>
      </c>
      <c r="S818" s="5">
        <v>21.15</v>
      </c>
      <c r="T818" s="3">
        <v>45760</v>
      </c>
      <c r="U818" s="3">
        <v>45769</v>
      </c>
      <c r="V818" t="s">
        <v>70</v>
      </c>
      <c r="W818">
        <f t="shared" si="62"/>
        <v>163.29</v>
      </c>
      <c r="X818">
        <f t="shared" si="63"/>
        <v>163.29</v>
      </c>
      <c r="Y818">
        <f t="shared" si="64"/>
        <v>0</v>
      </c>
      <c r="Z818" s="8" t="str">
        <f t="shared" si="61"/>
        <v>No Discount</v>
      </c>
      <c r="AA818" s="12">
        <f>DATE(YEAR(Table1[[#This Row],[OrderDate]]),MONTH(Table1[[#This Row],[OrderDate]]),1)</f>
        <v>45748</v>
      </c>
    </row>
    <row r="819" spans="1:27" x14ac:dyDescent="0.3">
      <c r="A819" s="3">
        <v>45454</v>
      </c>
      <c r="B819" t="s">
        <v>7</v>
      </c>
      <c r="C819" t="s">
        <v>30</v>
      </c>
      <c r="D819" t="str">
        <f>TRIM(Table1[[#This Row],[Product]])</f>
        <v>Desk</v>
      </c>
      <c r="E819" t="str">
        <f>PROPER(Table1[[#This Row],[Column1]])</f>
        <v>Desk</v>
      </c>
      <c r="F819" s="8" t="str">
        <f t="shared" si="60"/>
        <v>Furniture</v>
      </c>
      <c r="G819" s="5">
        <v>5</v>
      </c>
      <c r="H819">
        <v>538.52</v>
      </c>
      <c r="I819" t="s">
        <v>57</v>
      </c>
      <c r="J819" t="s">
        <v>58</v>
      </c>
      <c r="K819" s="7">
        <v>0.05</v>
      </c>
      <c r="L819" t="s">
        <v>18</v>
      </c>
      <c r="M819" s="5">
        <v>2557.9699999999998</v>
      </c>
      <c r="N819" t="s">
        <v>66</v>
      </c>
      <c r="P819" s="5">
        <v>0</v>
      </c>
      <c r="Q819" t="s">
        <v>1672</v>
      </c>
      <c r="R819" t="s">
        <v>1673</v>
      </c>
      <c r="S819" s="5">
        <v>45.81</v>
      </c>
      <c r="T819" s="3">
        <v>45454</v>
      </c>
      <c r="U819" s="3">
        <v>45460</v>
      </c>
      <c r="V819" t="s">
        <v>77</v>
      </c>
      <c r="W819">
        <f t="shared" si="62"/>
        <v>2430.0714999999996</v>
      </c>
      <c r="X819">
        <f t="shared" si="63"/>
        <v>2692.6</v>
      </c>
      <c r="Y819">
        <f t="shared" si="64"/>
        <v>262.52850000000035</v>
      </c>
      <c r="Z819" s="8" t="str">
        <f t="shared" si="61"/>
        <v>Medium</v>
      </c>
      <c r="AA819" s="12">
        <f>DATE(YEAR(Table1[[#This Row],[OrderDate]]),MONTH(Table1[[#This Row],[OrderDate]]),1)</f>
        <v>45444</v>
      </c>
    </row>
    <row r="820" spans="1:27" x14ac:dyDescent="0.3">
      <c r="A820" s="3">
        <v>45411</v>
      </c>
      <c r="B820" t="s">
        <v>13</v>
      </c>
      <c r="C820" t="s">
        <v>33</v>
      </c>
      <c r="D820" t="str">
        <f>TRIM(Table1[[#This Row],[Product]])</f>
        <v>Phone</v>
      </c>
      <c r="E820" t="str">
        <f>PROPER(Table1[[#This Row],[Column1]])</f>
        <v>Phone</v>
      </c>
      <c r="F820" s="8" t="str">
        <f t="shared" si="60"/>
        <v>Technology</v>
      </c>
      <c r="G820" s="5">
        <v>11</v>
      </c>
      <c r="H820">
        <v>255.95</v>
      </c>
      <c r="I820" t="s">
        <v>78</v>
      </c>
      <c r="J820" t="s">
        <v>58</v>
      </c>
      <c r="K820" s="7">
        <v>0.1</v>
      </c>
      <c r="L820" t="s">
        <v>18</v>
      </c>
      <c r="M820" s="5">
        <v>2533.9050000000002</v>
      </c>
      <c r="N820" t="s">
        <v>59</v>
      </c>
      <c r="P820" s="5">
        <v>0</v>
      </c>
      <c r="Q820" t="s">
        <v>1674</v>
      </c>
      <c r="R820" t="s">
        <v>1675</v>
      </c>
      <c r="S820" s="5">
        <v>21.99</v>
      </c>
      <c r="T820" s="3">
        <v>45411</v>
      </c>
      <c r="U820" s="3">
        <v>45416</v>
      </c>
      <c r="V820" t="s">
        <v>70</v>
      </c>
      <c r="W820">
        <f t="shared" si="62"/>
        <v>2280.5145000000002</v>
      </c>
      <c r="X820">
        <f t="shared" si="63"/>
        <v>2815.45</v>
      </c>
      <c r="Y820">
        <f t="shared" si="64"/>
        <v>534.93549999999959</v>
      </c>
      <c r="Z820" s="8" t="str">
        <f t="shared" si="61"/>
        <v>Medium</v>
      </c>
      <c r="AA820" s="12">
        <f>DATE(YEAR(Table1[[#This Row],[OrderDate]]),MONTH(Table1[[#This Row],[OrderDate]]),1)</f>
        <v>45383</v>
      </c>
    </row>
    <row r="821" spans="1:27" x14ac:dyDescent="0.3">
      <c r="A821" s="3">
        <v>45012</v>
      </c>
      <c r="B821" t="s">
        <v>13</v>
      </c>
      <c r="C821" t="s">
        <v>30</v>
      </c>
      <c r="D821" t="str">
        <f>TRIM(Table1[[#This Row],[Product]])</f>
        <v>Desk</v>
      </c>
      <c r="E821" t="str">
        <f>PROPER(Table1[[#This Row],[Column1]])</f>
        <v>Desk</v>
      </c>
      <c r="F821" s="8" t="str">
        <f t="shared" si="60"/>
        <v>Furniture</v>
      </c>
      <c r="G821" s="5">
        <v>7</v>
      </c>
      <c r="H821">
        <v>290.22000000000003</v>
      </c>
      <c r="I821" t="s">
        <v>64</v>
      </c>
      <c r="J821" t="s">
        <v>65</v>
      </c>
      <c r="K821" s="7">
        <v>0.1</v>
      </c>
      <c r="L821" t="s">
        <v>18</v>
      </c>
      <c r="M821" s="5">
        <v>1828.386</v>
      </c>
      <c r="N821" t="s">
        <v>88</v>
      </c>
      <c r="O821" t="s">
        <v>71</v>
      </c>
      <c r="P821" s="5">
        <v>0</v>
      </c>
      <c r="Q821" t="s">
        <v>1676</v>
      </c>
      <c r="R821" t="s">
        <v>1677</v>
      </c>
      <c r="S821" s="5">
        <v>33.15</v>
      </c>
      <c r="T821" s="3">
        <v>45012</v>
      </c>
      <c r="U821" s="3">
        <v>45020</v>
      </c>
      <c r="V821" t="s">
        <v>70</v>
      </c>
      <c r="W821">
        <f t="shared" si="62"/>
        <v>1645.5473999999999</v>
      </c>
      <c r="X821">
        <f t="shared" si="63"/>
        <v>2031.5400000000002</v>
      </c>
      <c r="Y821">
        <f t="shared" si="64"/>
        <v>385.99260000000027</v>
      </c>
      <c r="Z821" s="8" t="str">
        <f t="shared" si="61"/>
        <v>Medium</v>
      </c>
      <c r="AA821" s="12">
        <f>DATE(YEAR(Table1[[#This Row],[OrderDate]]),MONTH(Table1[[#This Row],[OrderDate]]),1)</f>
        <v>44986</v>
      </c>
    </row>
    <row r="822" spans="1:27" x14ac:dyDescent="0.3">
      <c r="A822" s="3">
        <v>45588</v>
      </c>
      <c r="B822" t="s">
        <v>11</v>
      </c>
      <c r="C822" t="s">
        <v>29</v>
      </c>
      <c r="D822" t="str">
        <f>TRIM(Table1[[#This Row],[Product]])</f>
        <v>Chair</v>
      </c>
      <c r="E822" t="str">
        <f>PROPER(Table1[[#This Row],[Column1]])</f>
        <v>Chair</v>
      </c>
      <c r="F822" s="8" t="str">
        <f t="shared" si="60"/>
        <v>Furniture</v>
      </c>
      <c r="G822" s="5">
        <v>20</v>
      </c>
      <c r="H822">
        <v>198.95</v>
      </c>
      <c r="I822" t="s">
        <v>57</v>
      </c>
      <c r="J822" t="s">
        <v>65</v>
      </c>
      <c r="K822" s="7">
        <v>0.1</v>
      </c>
      <c r="L822" t="s">
        <v>23</v>
      </c>
      <c r="M822" s="5">
        <v>3581.1</v>
      </c>
      <c r="N822" t="s">
        <v>82</v>
      </c>
      <c r="P822" s="5">
        <v>1</v>
      </c>
      <c r="Q822" t="s">
        <v>1678</v>
      </c>
      <c r="R822" t="s">
        <v>1679</v>
      </c>
      <c r="S822" s="5">
        <v>5.16</v>
      </c>
      <c r="T822" s="3">
        <v>45588</v>
      </c>
      <c r="U822" s="3">
        <v>45590</v>
      </c>
      <c r="V822" t="s">
        <v>74</v>
      </c>
      <c r="W822">
        <f t="shared" si="62"/>
        <v>3222.99</v>
      </c>
      <c r="X822">
        <f t="shared" si="63"/>
        <v>3979</v>
      </c>
      <c r="Y822">
        <f t="shared" si="64"/>
        <v>756.01000000000022</v>
      </c>
      <c r="Z822" s="8" t="str">
        <f t="shared" si="61"/>
        <v>Medium</v>
      </c>
      <c r="AA822" s="12">
        <f>DATE(YEAR(Table1[[#This Row],[OrderDate]]),MONTH(Table1[[#This Row],[OrderDate]]),1)</f>
        <v>45566</v>
      </c>
    </row>
    <row r="823" spans="1:27" x14ac:dyDescent="0.3">
      <c r="A823" s="3">
        <v>45098</v>
      </c>
      <c r="B823" t="s">
        <v>11</v>
      </c>
      <c r="C823" t="s">
        <v>34</v>
      </c>
      <c r="D823" t="str">
        <f>TRIM(Table1[[#This Row],[Product]])</f>
        <v>Printer</v>
      </c>
      <c r="E823" t="str">
        <f>PROPER(Table1[[#This Row],[Column1]])</f>
        <v>Printer</v>
      </c>
      <c r="F823" s="8" t="str">
        <f t="shared" si="60"/>
        <v>Office Supplies</v>
      </c>
      <c r="G823" s="5">
        <v>11</v>
      </c>
      <c r="H823">
        <v>577.1</v>
      </c>
      <c r="I823" t="s">
        <v>78</v>
      </c>
      <c r="J823" t="s">
        <v>65</v>
      </c>
      <c r="K823" s="7">
        <v>0.15</v>
      </c>
      <c r="L823" t="s">
        <v>27</v>
      </c>
      <c r="M823" s="5">
        <v>5395.8850000000002</v>
      </c>
      <c r="N823" t="s">
        <v>88</v>
      </c>
      <c r="O823" t="s">
        <v>67</v>
      </c>
      <c r="P823" s="5">
        <v>0</v>
      </c>
      <c r="Q823" t="s">
        <v>1680</v>
      </c>
      <c r="R823" t="s">
        <v>695</v>
      </c>
      <c r="S823" s="5">
        <v>13.16</v>
      </c>
      <c r="T823" s="3">
        <v>45098</v>
      </c>
      <c r="U823" s="3">
        <v>45105</v>
      </c>
      <c r="V823" t="s">
        <v>74</v>
      </c>
      <c r="W823">
        <f t="shared" si="62"/>
        <v>4586.5022500000005</v>
      </c>
      <c r="X823">
        <f t="shared" si="63"/>
        <v>6348.1</v>
      </c>
      <c r="Y823">
        <f t="shared" si="64"/>
        <v>1761.5977499999999</v>
      </c>
      <c r="Z823" s="8" t="str">
        <f t="shared" si="61"/>
        <v>High</v>
      </c>
      <c r="AA823" s="12">
        <f>DATE(YEAR(Table1[[#This Row],[OrderDate]]),MONTH(Table1[[#This Row],[OrderDate]]),1)</f>
        <v>45078</v>
      </c>
    </row>
    <row r="824" spans="1:27" x14ac:dyDescent="0.3">
      <c r="A824" s="3">
        <v>45058</v>
      </c>
      <c r="B824" t="s">
        <v>7</v>
      </c>
      <c r="C824" t="s">
        <v>34</v>
      </c>
      <c r="D824" t="str">
        <f>TRIM(Table1[[#This Row],[Product]])</f>
        <v>Printer</v>
      </c>
      <c r="E824" t="str">
        <f>PROPER(Table1[[#This Row],[Column1]])</f>
        <v>Printer</v>
      </c>
      <c r="F824" s="8" t="str">
        <f t="shared" si="60"/>
        <v>Office Supplies</v>
      </c>
      <c r="G824" s="5">
        <v>10</v>
      </c>
      <c r="H824">
        <v>50.1</v>
      </c>
      <c r="I824" t="s">
        <v>64</v>
      </c>
      <c r="J824" t="s">
        <v>58</v>
      </c>
      <c r="K824" s="7">
        <v>0.1</v>
      </c>
      <c r="L824" t="s">
        <v>19</v>
      </c>
      <c r="M824" s="5">
        <v>450.9</v>
      </c>
      <c r="N824" t="s">
        <v>88</v>
      </c>
      <c r="O824" t="s">
        <v>60</v>
      </c>
      <c r="P824" s="5">
        <v>1</v>
      </c>
      <c r="Q824" t="s">
        <v>1681</v>
      </c>
      <c r="R824" t="s">
        <v>1243</v>
      </c>
      <c r="S824" s="5">
        <v>23.43</v>
      </c>
      <c r="T824" s="3">
        <v>45058</v>
      </c>
      <c r="U824" s="3">
        <v>45065</v>
      </c>
      <c r="V824" t="s">
        <v>77</v>
      </c>
      <c r="W824">
        <f t="shared" si="62"/>
        <v>405.81</v>
      </c>
      <c r="X824">
        <f t="shared" si="63"/>
        <v>501</v>
      </c>
      <c r="Y824">
        <f t="shared" si="64"/>
        <v>95.19</v>
      </c>
      <c r="Z824" s="8" t="str">
        <f t="shared" si="61"/>
        <v>Medium</v>
      </c>
      <c r="AA824" s="12">
        <f>DATE(YEAR(Table1[[#This Row],[OrderDate]]),MONTH(Table1[[#This Row],[OrderDate]]),1)</f>
        <v>45047</v>
      </c>
    </row>
    <row r="825" spans="1:27" x14ac:dyDescent="0.3">
      <c r="A825" s="3">
        <v>45585</v>
      </c>
      <c r="B825" t="s">
        <v>7</v>
      </c>
      <c r="C825" t="s">
        <v>34</v>
      </c>
      <c r="D825" t="str">
        <f>TRIM(Table1[[#This Row],[Product]])</f>
        <v>Printer</v>
      </c>
      <c r="E825" t="str">
        <f>PROPER(Table1[[#This Row],[Column1]])</f>
        <v>Printer</v>
      </c>
      <c r="F825" s="8" t="str">
        <f t="shared" si="60"/>
        <v>Office Supplies</v>
      </c>
      <c r="G825" s="5">
        <v>19</v>
      </c>
      <c r="H825">
        <v>554.5</v>
      </c>
      <c r="I825" t="s">
        <v>57</v>
      </c>
      <c r="J825" t="s">
        <v>65</v>
      </c>
      <c r="K825" s="7">
        <v>0.15</v>
      </c>
      <c r="L825" t="s">
        <v>21</v>
      </c>
      <c r="M825" s="5">
        <v>8955.1749999999993</v>
      </c>
      <c r="N825" t="s">
        <v>59</v>
      </c>
      <c r="P825" s="5">
        <v>1</v>
      </c>
      <c r="Q825" t="s">
        <v>1682</v>
      </c>
      <c r="R825" t="s">
        <v>1683</v>
      </c>
      <c r="S825" s="5">
        <v>47.16</v>
      </c>
      <c r="T825" s="3">
        <v>45585</v>
      </c>
      <c r="U825" s="3">
        <v>45589</v>
      </c>
      <c r="V825" t="s">
        <v>77</v>
      </c>
      <c r="W825">
        <f t="shared" si="62"/>
        <v>7611.8987499999994</v>
      </c>
      <c r="X825">
        <f t="shared" si="63"/>
        <v>10535.5</v>
      </c>
      <c r="Y825">
        <f t="shared" si="64"/>
        <v>2923.6012500000006</v>
      </c>
      <c r="Z825" s="8" t="str">
        <f t="shared" si="61"/>
        <v>High</v>
      </c>
      <c r="AA825" s="12">
        <f>DATE(YEAR(Table1[[#This Row],[OrderDate]]),MONTH(Table1[[#This Row],[OrderDate]]),1)</f>
        <v>45566</v>
      </c>
    </row>
    <row r="826" spans="1:27" x14ac:dyDescent="0.3">
      <c r="A826" s="3">
        <v>45386</v>
      </c>
      <c r="B826" t="s">
        <v>11</v>
      </c>
      <c r="C826" t="s">
        <v>31</v>
      </c>
      <c r="D826" t="str">
        <f>TRIM(Table1[[#This Row],[Product]])</f>
        <v>Laptop</v>
      </c>
      <c r="E826" t="str">
        <f>PROPER(Table1[[#This Row],[Column1]])</f>
        <v>Laptop</v>
      </c>
      <c r="F826" s="8" t="str">
        <f t="shared" si="60"/>
        <v>Technology</v>
      </c>
      <c r="G826" s="5">
        <v>14</v>
      </c>
      <c r="H826">
        <v>117.31</v>
      </c>
      <c r="I826" t="s">
        <v>64</v>
      </c>
      <c r="J826" t="s">
        <v>58</v>
      </c>
      <c r="K826" s="7">
        <v>0</v>
      </c>
      <c r="L826" t="s">
        <v>23</v>
      </c>
      <c r="M826" s="5">
        <v>1642.34</v>
      </c>
      <c r="N826" t="s">
        <v>59</v>
      </c>
      <c r="O826" t="s">
        <v>71</v>
      </c>
      <c r="P826" s="5">
        <v>0</v>
      </c>
      <c r="Q826" t="s">
        <v>1684</v>
      </c>
      <c r="R826" t="s">
        <v>1685</v>
      </c>
      <c r="S826" s="5">
        <v>41.24</v>
      </c>
      <c r="T826" s="3">
        <v>45386</v>
      </c>
      <c r="U826" s="3">
        <v>45389</v>
      </c>
      <c r="V826" t="s">
        <v>74</v>
      </c>
      <c r="W826">
        <f t="shared" si="62"/>
        <v>1642.34</v>
      </c>
      <c r="X826">
        <f t="shared" si="63"/>
        <v>1642.3400000000001</v>
      </c>
      <c r="Y826">
        <f t="shared" si="64"/>
        <v>0</v>
      </c>
      <c r="Z826" s="8" t="str">
        <f t="shared" si="61"/>
        <v>No Discount</v>
      </c>
      <c r="AA826" s="12">
        <f>DATE(YEAR(Table1[[#This Row],[OrderDate]]),MONTH(Table1[[#This Row],[OrderDate]]),1)</f>
        <v>45383</v>
      </c>
    </row>
    <row r="827" spans="1:27" x14ac:dyDescent="0.3">
      <c r="A827" s="3">
        <v>45669</v>
      </c>
      <c r="B827" t="s">
        <v>7</v>
      </c>
      <c r="C827" t="s">
        <v>35</v>
      </c>
      <c r="D827" t="str">
        <f>TRIM(Table1[[#This Row],[Product]])</f>
        <v>Tablet</v>
      </c>
      <c r="E827" t="str">
        <f>PROPER(Table1[[#This Row],[Column1]])</f>
        <v>Tablet</v>
      </c>
      <c r="F827" s="8" t="str">
        <f t="shared" si="60"/>
        <v>Technology</v>
      </c>
      <c r="G827" s="5">
        <v>3</v>
      </c>
      <c r="H827">
        <v>193.98</v>
      </c>
      <c r="I827" t="s">
        <v>64</v>
      </c>
      <c r="J827" t="s">
        <v>65</v>
      </c>
      <c r="K827" s="7">
        <v>0</v>
      </c>
      <c r="L827" t="s">
        <v>19</v>
      </c>
      <c r="M827" s="5">
        <v>581.93999999999994</v>
      </c>
      <c r="N827" t="s">
        <v>82</v>
      </c>
      <c r="O827" t="s">
        <v>71</v>
      </c>
      <c r="P827" s="5">
        <v>0</v>
      </c>
      <c r="Q827" t="s">
        <v>1686</v>
      </c>
      <c r="R827" t="s">
        <v>1687</v>
      </c>
      <c r="S827" s="5">
        <v>27.53</v>
      </c>
      <c r="T827" s="3">
        <v>45669</v>
      </c>
      <c r="U827" s="3">
        <v>45673</v>
      </c>
      <c r="V827" t="s">
        <v>77</v>
      </c>
      <c r="W827">
        <f t="shared" si="62"/>
        <v>581.93999999999994</v>
      </c>
      <c r="X827">
        <f t="shared" si="63"/>
        <v>581.93999999999994</v>
      </c>
      <c r="Y827">
        <f t="shared" si="64"/>
        <v>0</v>
      </c>
      <c r="Z827" s="8" t="str">
        <f t="shared" si="61"/>
        <v>No Discount</v>
      </c>
      <c r="AA827" s="12">
        <f>DATE(YEAR(Table1[[#This Row],[OrderDate]]),MONTH(Table1[[#This Row],[OrderDate]]),1)</f>
        <v>45658</v>
      </c>
    </row>
    <row r="828" spans="1:27" x14ac:dyDescent="0.3">
      <c r="A828" s="3">
        <v>45131</v>
      </c>
      <c r="B828" t="s">
        <v>13</v>
      </c>
      <c r="C828" t="s">
        <v>33</v>
      </c>
      <c r="D828" t="str">
        <f>TRIM(Table1[[#This Row],[Product]])</f>
        <v>Phone</v>
      </c>
      <c r="E828" t="str">
        <f>PROPER(Table1[[#This Row],[Column1]])</f>
        <v>Phone</v>
      </c>
      <c r="F828" s="8" t="str">
        <f t="shared" si="60"/>
        <v>Technology</v>
      </c>
      <c r="G828" s="5">
        <v>20</v>
      </c>
      <c r="H828">
        <v>386.86</v>
      </c>
      <c r="I828" t="s">
        <v>64</v>
      </c>
      <c r="J828" t="s">
        <v>58</v>
      </c>
      <c r="K828" s="7">
        <v>0.05</v>
      </c>
      <c r="L828" t="s">
        <v>21</v>
      </c>
      <c r="M828" s="5">
        <v>7350.34</v>
      </c>
      <c r="N828" t="s">
        <v>59</v>
      </c>
      <c r="O828" t="s">
        <v>71</v>
      </c>
      <c r="P828" s="5">
        <v>0</v>
      </c>
      <c r="Q828" t="s">
        <v>1688</v>
      </c>
      <c r="R828" t="s">
        <v>1689</v>
      </c>
      <c r="S828" s="5">
        <v>41.56</v>
      </c>
      <c r="T828" s="3">
        <v>45131</v>
      </c>
      <c r="U828" s="3">
        <v>45136</v>
      </c>
      <c r="V828" t="s">
        <v>70</v>
      </c>
      <c r="W828">
        <f t="shared" si="62"/>
        <v>6982.8229999999994</v>
      </c>
      <c r="X828">
        <f t="shared" si="63"/>
        <v>7737.2000000000007</v>
      </c>
      <c r="Y828">
        <f t="shared" si="64"/>
        <v>754.37700000000132</v>
      </c>
      <c r="Z828" s="8" t="str">
        <f t="shared" si="61"/>
        <v>Medium</v>
      </c>
      <c r="AA828" s="12">
        <f>DATE(YEAR(Table1[[#This Row],[OrderDate]]),MONTH(Table1[[#This Row],[OrderDate]]),1)</f>
        <v>45108</v>
      </c>
    </row>
    <row r="829" spans="1:27" x14ac:dyDescent="0.3">
      <c r="A829" s="3">
        <v>45178</v>
      </c>
      <c r="B829" t="s">
        <v>11</v>
      </c>
      <c r="C829" t="s">
        <v>29</v>
      </c>
      <c r="D829" t="str">
        <f>TRIM(Table1[[#This Row],[Product]])</f>
        <v>Chair</v>
      </c>
      <c r="E829" t="str">
        <f>PROPER(Table1[[#This Row],[Column1]])</f>
        <v>Chair</v>
      </c>
      <c r="F829" s="8" t="str">
        <f t="shared" si="60"/>
        <v>Furniture</v>
      </c>
      <c r="G829" s="5">
        <v>12</v>
      </c>
      <c r="H829">
        <v>81.33</v>
      </c>
      <c r="I829" t="s">
        <v>81</v>
      </c>
      <c r="J829" t="s">
        <v>58</v>
      </c>
      <c r="K829" s="7">
        <v>0</v>
      </c>
      <c r="L829" t="s">
        <v>21</v>
      </c>
      <c r="M829" s="5">
        <v>975.96</v>
      </c>
      <c r="N829" t="s">
        <v>88</v>
      </c>
      <c r="O829" t="s">
        <v>67</v>
      </c>
      <c r="P829" s="5">
        <v>1</v>
      </c>
      <c r="Q829" t="s">
        <v>1690</v>
      </c>
      <c r="R829" t="s">
        <v>1496</v>
      </c>
      <c r="S829" s="5">
        <v>30.73</v>
      </c>
      <c r="T829" s="3">
        <v>45178</v>
      </c>
      <c r="U829" s="3">
        <v>45182</v>
      </c>
      <c r="V829" t="s">
        <v>74</v>
      </c>
      <c r="W829">
        <f t="shared" si="62"/>
        <v>975.96</v>
      </c>
      <c r="X829">
        <f t="shared" si="63"/>
        <v>975.96</v>
      </c>
      <c r="Y829">
        <f t="shared" si="64"/>
        <v>0</v>
      </c>
      <c r="Z829" s="8" t="str">
        <f t="shared" si="61"/>
        <v>No Discount</v>
      </c>
      <c r="AA829" s="12">
        <f>DATE(YEAR(Table1[[#This Row],[OrderDate]]),MONTH(Table1[[#This Row],[OrderDate]]),1)</f>
        <v>45170</v>
      </c>
    </row>
    <row r="830" spans="1:27" x14ac:dyDescent="0.3">
      <c r="A830" s="3">
        <v>45402</v>
      </c>
      <c r="B830" t="s">
        <v>9</v>
      </c>
      <c r="C830" t="s">
        <v>34</v>
      </c>
      <c r="D830" t="str">
        <f>TRIM(Table1[[#This Row],[Product]])</f>
        <v>Printer</v>
      </c>
      <c r="E830" t="str">
        <f>PROPER(Table1[[#This Row],[Column1]])</f>
        <v>Printer</v>
      </c>
      <c r="F830" s="8" t="str">
        <f t="shared" si="60"/>
        <v>Office Supplies</v>
      </c>
      <c r="G830" s="5">
        <v>5</v>
      </c>
      <c r="H830">
        <v>550.65</v>
      </c>
      <c r="I830" t="s">
        <v>64</v>
      </c>
      <c r="J830" t="s">
        <v>65</v>
      </c>
      <c r="K830" s="7">
        <v>0.15</v>
      </c>
      <c r="L830" t="s">
        <v>19</v>
      </c>
      <c r="M830" s="5">
        <v>2340.2624999999998</v>
      </c>
      <c r="N830" t="s">
        <v>66</v>
      </c>
      <c r="P830" s="5">
        <v>0</v>
      </c>
      <c r="Q830" t="s">
        <v>1691</v>
      </c>
      <c r="R830" t="s">
        <v>1692</v>
      </c>
      <c r="S830" s="5">
        <v>16.82</v>
      </c>
      <c r="T830" s="3">
        <v>45402</v>
      </c>
      <c r="U830" s="3">
        <v>45409</v>
      </c>
      <c r="V830" t="s">
        <v>63</v>
      </c>
      <c r="W830">
        <f t="shared" si="62"/>
        <v>1989.2231249999998</v>
      </c>
      <c r="X830">
        <f t="shared" si="63"/>
        <v>2753.25</v>
      </c>
      <c r="Y830">
        <f t="shared" si="64"/>
        <v>764.02687500000025</v>
      </c>
      <c r="Z830" s="8" t="str">
        <f t="shared" si="61"/>
        <v>High</v>
      </c>
      <c r="AA830" s="12">
        <f>DATE(YEAR(Table1[[#This Row],[OrderDate]]),MONTH(Table1[[#This Row],[OrderDate]]),1)</f>
        <v>45383</v>
      </c>
    </row>
    <row r="831" spans="1:27" x14ac:dyDescent="0.3">
      <c r="A831" s="3">
        <v>45694</v>
      </c>
      <c r="B831" t="s">
        <v>16</v>
      </c>
      <c r="C831" t="s">
        <v>34</v>
      </c>
      <c r="D831" t="str">
        <f>TRIM(Table1[[#This Row],[Product]])</f>
        <v>Printer</v>
      </c>
      <c r="E831" t="str">
        <f>PROPER(Table1[[#This Row],[Column1]])</f>
        <v>Printer</v>
      </c>
      <c r="F831" s="8" t="str">
        <f t="shared" si="60"/>
        <v>Office Supplies</v>
      </c>
      <c r="G831" s="5">
        <v>4</v>
      </c>
      <c r="H831">
        <v>473.91</v>
      </c>
      <c r="I831" t="s">
        <v>64</v>
      </c>
      <c r="J831" t="s">
        <v>65</v>
      </c>
      <c r="K831" s="7">
        <v>0.05</v>
      </c>
      <c r="L831" t="s">
        <v>25</v>
      </c>
      <c r="M831" s="5">
        <v>1800.8579999999999</v>
      </c>
      <c r="N831" t="s">
        <v>82</v>
      </c>
      <c r="O831" t="s">
        <v>67</v>
      </c>
      <c r="P831" s="5">
        <v>0</v>
      </c>
      <c r="Q831" t="s">
        <v>1693</v>
      </c>
      <c r="R831" t="s">
        <v>1458</v>
      </c>
      <c r="S831" s="5">
        <v>29.22</v>
      </c>
      <c r="T831" s="3">
        <v>45694</v>
      </c>
      <c r="U831" s="3">
        <v>45702</v>
      </c>
      <c r="V831" t="s">
        <v>95</v>
      </c>
      <c r="W831">
        <f t="shared" si="62"/>
        <v>1710.8150999999998</v>
      </c>
      <c r="X831">
        <f t="shared" si="63"/>
        <v>1895.64</v>
      </c>
      <c r="Y831">
        <f t="shared" si="64"/>
        <v>184.8249000000003</v>
      </c>
      <c r="Z831" s="8" t="str">
        <f t="shared" si="61"/>
        <v>Medium</v>
      </c>
      <c r="AA831" s="12">
        <f>DATE(YEAR(Table1[[#This Row],[OrderDate]]),MONTH(Table1[[#This Row],[OrderDate]]),1)</f>
        <v>45689</v>
      </c>
    </row>
    <row r="832" spans="1:27" x14ac:dyDescent="0.3">
      <c r="A832" s="3">
        <v>45095</v>
      </c>
      <c r="B832" t="s">
        <v>16</v>
      </c>
      <c r="C832" t="s">
        <v>35</v>
      </c>
      <c r="D832" t="str">
        <f>TRIM(Table1[[#This Row],[Product]])</f>
        <v>Tablet</v>
      </c>
      <c r="E832" t="str">
        <f>PROPER(Table1[[#This Row],[Column1]])</f>
        <v>Tablet</v>
      </c>
      <c r="F832" s="8" t="str">
        <f t="shared" si="60"/>
        <v>Technology</v>
      </c>
      <c r="G832" s="5">
        <v>19</v>
      </c>
      <c r="H832">
        <v>25.22</v>
      </c>
      <c r="I832" t="s">
        <v>78</v>
      </c>
      <c r="J832" t="s">
        <v>58</v>
      </c>
      <c r="K832" s="7">
        <v>0</v>
      </c>
      <c r="L832" t="s">
        <v>19</v>
      </c>
      <c r="M832" s="5">
        <v>479.17999999999989</v>
      </c>
      <c r="N832" t="s">
        <v>82</v>
      </c>
      <c r="P832" s="5">
        <v>0</v>
      </c>
      <c r="Q832" t="s">
        <v>1694</v>
      </c>
      <c r="R832" t="s">
        <v>1695</v>
      </c>
      <c r="S832" s="5">
        <v>31.31</v>
      </c>
      <c r="T832" s="3">
        <v>45095</v>
      </c>
      <c r="U832" s="3">
        <v>45099</v>
      </c>
      <c r="V832" t="s">
        <v>95</v>
      </c>
      <c r="W832">
        <f t="shared" si="62"/>
        <v>479.17999999999989</v>
      </c>
      <c r="X832">
        <f t="shared" si="63"/>
        <v>479.17999999999995</v>
      </c>
      <c r="Y832">
        <f t="shared" si="64"/>
        <v>0</v>
      </c>
      <c r="Z832" s="8" t="str">
        <f t="shared" si="61"/>
        <v>No Discount</v>
      </c>
      <c r="AA832" s="12">
        <f>DATE(YEAR(Table1[[#This Row],[OrderDate]]),MONTH(Table1[[#This Row],[OrderDate]]),1)</f>
        <v>45078</v>
      </c>
    </row>
    <row r="833" spans="1:27" x14ac:dyDescent="0.3">
      <c r="A833" s="3">
        <v>45597</v>
      </c>
      <c r="B833" t="s">
        <v>11</v>
      </c>
      <c r="C833" t="s">
        <v>33</v>
      </c>
      <c r="D833" t="str">
        <f>TRIM(Table1[[#This Row],[Product]])</f>
        <v>Phone</v>
      </c>
      <c r="E833" t="str">
        <f>PROPER(Table1[[#This Row],[Column1]])</f>
        <v>Phone</v>
      </c>
      <c r="F833" s="8" t="str">
        <f t="shared" si="60"/>
        <v>Technology</v>
      </c>
      <c r="G833" s="5">
        <v>2</v>
      </c>
      <c r="H833">
        <v>437.04</v>
      </c>
      <c r="I833" t="s">
        <v>78</v>
      </c>
      <c r="J833" t="s">
        <v>58</v>
      </c>
      <c r="K833" s="7">
        <v>0</v>
      </c>
      <c r="L833" t="s">
        <v>27</v>
      </c>
      <c r="M833" s="5">
        <v>874.08</v>
      </c>
      <c r="N833" t="s">
        <v>82</v>
      </c>
      <c r="O833" t="s">
        <v>67</v>
      </c>
      <c r="P833" s="5">
        <v>1</v>
      </c>
      <c r="Q833" t="s">
        <v>1696</v>
      </c>
      <c r="R833" t="s">
        <v>1697</v>
      </c>
      <c r="S833" s="5">
        <v>37.369999999999997</v>
      </c>
      <c r="T833" s="3">
        <v>45597</v>
      </c>
      <c r="U833" s="3">
        <v>45604</v>
      </c>
      <c r="V833" t="s">
        <v>74</v>
      </c>
      <c r="W833">
        <f t="shared" si="62"/>
        <v>874.08</v>
      </c>
      <c r="X833">
        <f t="shared" si="63"/>
        <v>874.08</v>
      </c>
      <c r="Y833">
        <f t="shared" si="64"/>
        <v>0</v>
      </c>
      <c r="Z833" s="8" t="str">
        <f t="shared" si="61"/>
        <v>No Discount</v>
      </c>
      <c r="AA833" s="12">
        <f>DATE(YEAR(Table1[[#This Row],[OrderDate]]),MONTH(Table1[[#This Row],[OrderDate]]),1)</f>
        <v>45597</v>
      </c>
    </row>
    <row r="834" spans="1:27" x14ac:dyDescent="0.3">
      <c r="A834" s="3">
        <v>45516</v>
      </c>
      <c r="B834" t="s">
        <v>16</v>
      </c>
      <c r="C834" t="s">
        <v>30</v>
      </c>
      <c r="D834" t="str">
        <f>TRIM(Table1[[#This Row],[Product]])</f>
        <v>Desk</v>
      </c>
      <c r="E834" t="str">
        <f>PROPER(Table1[[#This Row],[Column1]])</f>
        <v>Desk</v>
      </c>
      <c r="F834" s="8" t="str">
        <f t="shared" ref="F834:F897" si="65">IF(OR(E834="Chair",E834="Desk"),"Furniture",IF(OR(E834="Laptop",E834="Monitor",E834="Phone",E834="Tablet"),"Technology",IF(E834="Printer","Office Supplies","Other")))</f>
        <v>Furniture</v>
      </c>
      <c r="G834" s="5">
        <v>5</v>
      </c>
      <c r="H834">
        <v>448.86</v>
      </c>
      <c r="I834" t="s">
        <v>78</v>
      </c>
      <c r="J834" t="s">
        <v>58</v>
      </c>
      <c r="K834" s="7">
        <v>0.15</v>
      </c>
      <c r="L834" t="s">
        <v>27</v>
      </c>
      <c r="M834" s="5">
        <v>1907.655</v>
      </c>
      <c r="N834" t="s">
        <v>82</v>
      </c>
      <c r="O834" t="s">
        <v>67</v>
      </c>
      <c r="P834" s="5">
        <v>1</v>
      </c>
      <c r="Q834" t="s">
        <v>1698</v>
      </c>
      <c r="R834" t="s">
        <v>1699</v>
      </c>
      <c r="S834" s="5">
        <v>21.22</v>
      </c>
      <c r="T834" s="3">
        <v>45516</v>
      </c>
      <c r="U834" s="3">
        <v>45525</v>
      </c>
      <c r="V834" t="s">
        <v>95</v>
      </c>
      <c r="W834">
        <f t="shared" si="62"/>
        <v>1621.50675</v>
      </c>
      <c r="X834">
        <f t="shared" si="63"/>
        <v>2244.3000000000002</v>
      </c>
      <c r="Y834">
        <f t="shared" si="64"/>
        <v>622.79325000000017</v>
      </c>
      <c r="Z834" s="8" t="str">
        <f t="shared" ref="Z834:Z897" si="66">IF(K834=0,"No Discount",IF(K834&lt;5%,"Low",IF(K834&lt;15%,"Medium","High")))</f>
        <v>High</v>
      </c>
      <c r="AA834" s="12">
        <f>DATE(YEAR(Table1[[#This Row],[OrderDate]]),MONTH(Table1[[#This Row],[OrderDate]]),1)</f>
        <v>45505</v>
      </c>
    </row>
    <row r="835" spans="1:27" x14ac:dyDescent="0.3">
      <c r="A835" s="3">
        <v>45755</v>
      </c>
      <c r="B835" t="s">
        <v>7</v>
      </c>
      <c r="C835" t="s">
        <v>33</v>
      </c>
      <c r="D835" t="str">
        <f>TRIM(Table1[[#This Row],[Product]])</f>
        <v>Phone</v>
      </c>
      <c r="E835" t="str">
        <f>PROPER(Table1[[#This Row],[Column1]])</f>
        <v>Phone</v>
      </c>
      <c r="F835" s="8" t="str">
        <f t="shared" si="65"/>
        <v>Technology</v>
      </c>
      <c r="G835" s="5">
        <v>14</v>
      </c>
      <c r="H835">
        <v>299.94</v>
      </c>
      <c r="I835" t="s">
        <v>81</v>
      </c>
      <c r="J835" t="s">
        <v>65</v>
      </c>
      <c r="K835" s="7">
        <v>0</v>
      </c>
      <c r="L835" t="s">
        <v>21</v>
      </c>
      <c r="M835" s="5">
        <v>4199.16</v>
      </c>
      <c r="N835" t="s">
        <v>66</v>
      </c>
      <c r="O835" t="s">
        <v>60</v>
      </c>
      <c r="P835" s="5">
        <v>0</v>
      </c>
      <c r="Q835" t="s">
        <v>1700</v>
      </c>
      <c r="R835" t="s">
        <v>1701</v>
      </c>
      <c r="S835" s="5">
        <v>21.04</v>
      </c>
      <c r="T835" s="3">
        <v>45755</v>
      </c>
      <c r="U835" s="3">
        <v>45764</v>
      </c>
      <c r="V835" t="s">
        <v>77</v>
      </c>
      <c r="W835">
        <f t="shared" ref="W835:W898" si="67">M835*(1-K835)</f>
        <v>4199.16</v>
      </c>
      <c r="X835">
        <f t="shared" ref="X835:X898" si="68">G835*H835</f>
        <v>4199.16</v>
      </c>
      <c r="Y835">
        <f t="shared" ref="Y835:Y898" si="69">X835-W835</f>
        <v>0</v>
      </c>
      <c r="Z835" s="8" t="str">
        <f t="shared" si="66"/>
        <v>No Discount</v>
      </c>
      <c r="AA835" s="12">
        <f>DATE(YEAR(Table1[[#This Row],[OrderDate]]),MONTH(Table1[[#This Row],[OrderDate]]),1)</f>
        <v>45748</v>
      </c>
    </row>
    <row r="836" spans="1:27" x14ac:dyDescent="0.3">
      <c r="A836" s="3">
        <v>45493</v>
      </c>
      <c r="B836" t="s">
        <v>7</v>
      </c>
      <c r="C836" t="s">
        <v>31</v>
      </c>
      <c r="D836" t="str">
        <f>TRIM(Table1[[#This Row],[Product]])</f>
        <v>Laptop</v>
      </c>
      <c r="E836" t="str">
        <f>PROPER(Table1[[#This Row],[Column1]])</f>
        <v>Laptop</v>
      </c>
      <c r="F836" s="8" t="str">
        <f t="shared" si="65"/>
        <v>Technology</v>
      </c>
      <c r="G836" s="5">
        <v>8</v>
      </c>
      <c r="H836">
        <v>224.18</v>
      </c>
      <c r="I836" t="s">
        <v>57</v>
      </c>
      <c r="J836" t="s">
        <v>65</v>
      </c>
      <c r="K836" s="7">
        <v>0.15</v>
      </c>
      <c r="L836" t="s">
        <v>19</v>
      </c>
      <c r="M836" s="5">
        <v>1524.424</v>
      </c>
      <c r="N836" t="s">
        <v>85</v>
      </c>
      <c r="P836" s="5">
        <v>0</v>
      </c>
      <c r="Q836" t="s">
        <v>1702</v>
      </c>
      <c r="R836" t="s">
        <v>1703</v>
      </c>
      <c r="S836" s="5">
        <v>36.9</v>
      </c>
      <c r="T836" s="3">
        <v>45493</v>
      </c>
      <c r="U836" s="3">
        <v>45499</v>
      </c>
      <c r="V836" t="s">
        <v>77</v>
      </c>
      <c r="W836">
        <f t="shared" si="67"/>
        <v>1295.7603999999999</v>
      </c>
      <c r="X836">
        <f t="shared" si="68"/>
        <v>1793.44</v>
      </c>
      <c r="Y836">
        <f t="shared" si="69"/>
        <v>497.67960000000016</v>
      </c>
      <c r="Z836" s="8" t="str">
        <f t="shared" si="66"/>
        <v>High</v>
      </c>
      <c r="AA836" s="12">
        <f>DATE(YEAR(Table1[[#This Row],[OrderDate]]),MONTH(Table1[[#This Row],[OrderDate]]),1)</f>
        <v>45474</v>
      </c>
    </row>
    <row r="837" spans="1:27" x14ac:dyDescent="0.3">
      <c r="A837" s="3">
        <v>44974</v>
      </c>
      <c r="B837" t="s">
        <v>16</v>
      </c>
      <c r="C837" t="s">
        <v>30</v>
      </c>
      <c r="D837" t="str">
        <f>TRIM(Table1[[#This Row],[Product]])</f>
        <v>Desk</v>
      </c>
      <c r="E837" t="str">
        <f>PROPER(Table1[[#This Row],[Column1]])</f>
        <v>Desk</v>
      </c>
      <c r="F837" s="8" t="str">
        <f t="shared" si="65"/>
        <v>Furniture</v>
      </c>
      <c r="G837" s="5">
        <v>6</v>
      </c>
      <c r="H837">
        <v>327.69</v>
      </c>
      <c r="I837" t="s">
        <v>81</v>
      </c>
      <c r="J837" t="s">
        <v>58</v>
      </c>
      <c r="K837" s="7">
        <v>0.05</v>
      </c>
      <c r="L837" t="s">
        <v>23</v>
      </c>
      <c r="M837" s="5">
        <v>1867.8330000000001</v>
      </c>
      <c r="N837" t="s">
        <v>88</v>
      </c>
      <c r="P837" s="5">
        <v>0</v>
      </c>
      <c r="Q837" t="s">
        <v>1704</v>
      </c>
      <c r="R837" t="s">
        <v>1705</v>
      </c>
      <c r="S837" s="5">
        <v>22.34</v>
      </c>
      <c r="T837" s="3">
        <v>44974</v>
      </c>
      <c r="U837" s="3">
        <v>44978</v>
      </c>
      <c r="V837" t="s">
        <v>95</v>
      </c>
      <c r="W837">
        <f t="shared" si="67"/>
        <v>1774.4413500000001</v>
      </c>
      <c r="X837">
        <f t="shared" si="68"/>
        <v>1966.1399999999999</v>
      </c>
      <c r="Y837">
        <f t="shared" si="69"/>
        <v>191.69864999999982</v>
      </c>
      <c r="Z837" s="8" t="str">
        <f t="shared" si="66"/>
        <v>Medium</v>
      </c>
      <c r="AA837" s="12">
        <f>DATE(YEAR(Table1[[#This Row],[OrderDate]]),MONTH(Table1[[#This Row],[OrderDate]]),1)</f>
        <v>44958</v>
      </c>
    </row>
    <row r="838" spans="1:27" x14ac:dyDescent="0.3">
      <c r="A838" s="3">
        <v>45475</v>
      </c>
      <c r="B838" t="s">
        <v>9</v>
      </c>
      <c r="C838" t="s">
        <v>33</v>
      </c>
      <c r="D838" t="str">
        <f>TRIM(Table1[[#This Row],[Product]])</f>
        <v>Phone</v>
      </c>
      <c r="E838" t="str">
        <f>PROPER(Table1[[#This Row],[Column1]])</f>
        <v>Phone</v>
      </c>
      <c r="F838" s="8" t="str">
        <f t="shared" si="65"/>
        <v>Technology</v>
      </c>
      <c r="G838" s="5">
        <v>8</v>
      </c>
      <c r="H838">
        <v>432.27</v>
      </c>
      <c r="I838" t="s">
        <v>81</v>
      </c>
      <c r="J838" t="s">
        <v>65</v>
      </c>
      <c r="K838" s="7">
        <v>0.05</v>
      </c>
      <c r="L838" t="s">
        <v>25</v>
      </c>
      <c r="M838" s="5">
        <v>3285.251999999999</v>
      </c>
      <c r="N838" t="s">
        <v>88</v>
      </c>
      <c r="O838" t="s">
        <v>60</v>
      </c>
      <c r="P838" s="5">
        <v>1</v>
      </c>
      <c r="Q838" t="s">
        <v>1706</v>
      </c>
      <c r="R838" t="s">
        <v>1707</v>
      </c>
      <c r="S838" s="5">
        <v>20.64</v>
      </c>
      <c r="T838" s="3">
        <v>45475</v>
      </c>
      <c r="U838" s="3">
        <v>45477</v>
      </c>
      <c r="V838" t="s">
        <v>63</v>
      </c>
      <c r="W838">
        <f t="shared" si="67"/>
        <v>3120.989399999999</v>
      </c>
      <c r="X838">
        <f t="shared" si="68"/>
        <v>3458.16</v>
      </c>
      <c r="Y838">
        <f t="shared" si="69"/>
        <v>337.17060000000083</v>
      </c>
      <c r="Z838" s="8" t="str">
        <f t="shared" si="66"/>
        <v>Medium</v>
      </c>
      <c r="AA838" s="12">
        <f>DATE(YEAR(Table1[[#This Row],[OrderDate]]),MONTH(Table1[[#This Row],[OrderDate]]),1)</f>
        <v>45474</v>
      </c>
    </row>
    <row r="839" spans="1:27" x14ac:dyDescent="0.3">
      <c r="A839" s="3">
        <v>45748</v>
      </c>
      <c r="B839" t="s">
        <v>11</v>
      </c>
      <c r="C839" t="s">
        <v>32</v>
      </c>
      <c r="D839" t="str">
        <f>TRIM(Table1[[#This Row],[Product]])</f>
        <v>Monitor</v>
      </c>
      <c r="E839" t="str">
        <f>PROPER(Table1[[#This Row],[Column1]])</f>
        <v>Monitor</v>
      </c>
      <c r="F839" s="8" t="str">
        <f t="shared" si="65"/>
        <v>Technology</v>
      </c>
      <c r="G839" s="5">
        <v>4</v>
      </c>
      <c r="H839">
        <v>249.98</v>
      </c>
      <c r="I839" t="s">
        <v>78</v>
      </c>
      <c r="J839" t="s">
        <v>65</v>
      </c>
      <c r="K839" s="7">
        <v>0.15</v>
      </c>
      <c r="L839" t="s">
        <v>25</v>
      </c>
      <c r="M839" s="5">
        <v>849.9319999999999</v>
      </c>
      <c r="N839" t="s">
        <v>85</v>
      </c>
      <c r="O839" t="s">
        <v>67</v>
      </c>
      <c r="P839" s="5">
        <v>0</v>
      </c>
      <c r="Q839" t="s">
        <v>1708</v>
      </c>
      <c r="R839" t="s">
        <v>1709</v>
      </c>
      <c r="S839" s="5">
        <v>49.08</v>
      </c>
      <c r="T839" s="3">
        <v>45748</v>
      </c>
      <c r="U839" s="3">
        <v>45751</v>
      </c>
      <c r="V839" t="s">
        <v>74</v>
      </c>
      <c r="W839">
        <f t="shared" si="67"/>
        <v>722.44219999999984</v>
      </c>
      <c r="X839">
        <f t="shared" si="68"/>
        <v>999.92</v>
      </c>
      <c r="Y839">
        <f t="shared" si="69"/>
        <v>277.47780000000012</v>
      </c>
      <c r="Z839" s="8" t="str">
        <f t="shared" si="66"/>
        <v>High</v>
      </c>
      <c r="AA839" s="12">
        <f>DATE(YEAR(Table1[[#This Row],[OrderDate]]),MONTH(Table1[[#This Row],[OrderDate]]),1)</f>
        <v>45748</v>
      </c>
    </row>
    <row r="840" spans="1:27" x14ac:dyDescent="0.3">
      <c r="A840" s="3">
        <v>45810</v>
      </c>
      <c r="B840" t="s">
        <v>13</v>
      </c>
      <c r="C840" t="s">
        <v>34</v>
      </c>
      <c r="D840" t="str">
        <f>TRIM(Table1[[#This Row],[Product]])</f>
        <v>Printer</v>
      </c>
      <c r="E840" t="str">
        <f>PROPER(Table1[[#This Row],[Column1]])</f>
        <v>Printer</v>
      </c>
      <c r="F840" s="8" t="str">
        <f t="shared" si="65"/>
        <v>Office Supplies</v>
      </c>
      <c r="G840" s="5">
        <v>14</v>
      </c>
      <c r="H840">
        <v>194.31</v>
      </c>
      <c r="I840" t="s">
        <v>78</v>
      </c>
      <c r="J840" t="s">
        <v>58</v>
      </c>
      <c r="K840" s="7">
        <v>0.15</v>
      </c>
      <c r="L840" t="s">
        <v>27</v>
      </c>
      <c r="M840" s="5">
        <v>2312.2890000000002</v>
      </c>
      <c r="N840" t="s">
        <v>85</v>
      </c>
      <c r="O840" t="s">
        <v>60</v>
      </c>
      <c r="P840" s="5">
        <v>0</v>
      </c>
      <c r="Q840" t="s">
        <v>1710</v>
      </c>
      <c r="R840" t="s">
        <v>1711</v>
      </c>
      <c r="S840" s="5">
        <v>15.3</v>
      </c>
      <c r="T840" s="3">
        <v>45810</v>
      </c>
      <c r="U840" s="3">
        <v>45817</v>
      </c>
      <c r="V840" t="s">
        <v>70</v>
      </c>
      <c r="W840">
        <f t="shared" si="67"/>
        <v>1965.4456500000001</v>
      </c>
      <c r="X840">
        <f t="shared" si="68"/>
        <v>2720.34</v>
      </c>
      <c r="Y840">
        <f t="shared" si="69"/>
        <v>754.89435000000003</v>
      </c>
      <c r="Z840" s="8" t="str">
        <f t="shared" si="66"/>
        <v>High</v>
      </c>
      <c r="AA840" s="12">
        <f>DATE(YEAR(Table1[[#This Row],[OrderDate]]),MONTH(Table1[[#This Row],[OrderDate]]),1)</f>
        <v>45809</v>
      </c>
    </row>
    <row r="841" spans="1:27" x14ac:dyDescent="0.3">
      <c r="A841" s="3">
        <v>45617</v>
      </c>
      <c r="B841" t="s">
        <v>16</v>
      </c>
      <c r="C841" t="s">
        <v>33</v>
      </c>
      <c r="D841" t="str">
        <f>TRIM(Table1[[#This Row],[Product]])</f>
        <v>Phone</v>
      </c>
      <c r="E841" t="str">
        <f>PROPER(Table1[[#This Row],[Column1]])</f>
        <v>Phone</v>
      </c>
      <c r="F841" s="8" t="str">
        <f t="shared" si="65"/>
        <v>Technology</v>
      </c>
      <c r="G841" s="5">
        <v>5</v>
      </c>
      <c r="H841">
        <v>69.290000000000006</v>
      </c>
      <c r="I841" t="s">
        <v>78</v>
      </c>
      <c r="J841" t="s">
        <v>58</v>
      </c>
      <c r="K841" s="7">
        <v>0</v>
      </c>
      <c r="L841" t="s">
        <v>21</v>
      </c>
      <c r="M841" s="5">
        <v>346.45</v>
      </c>
      <c r="N841" t="s">
        <v>82</v>
      </c>
      <c r="P841" s="5">
        <v>0</v>
      </c>
      <c r="Q841" t="s">
        <v>1712</v>
      </c>
      <c r="R841" t="s">
        <v>1713</v>
      </c>
      <c r="S841" s="5">
        <v>20.83</v>
      </c>
      <c r="T841" s="3">
        <v>45617</v>
      </c>
      <c r="U841" s="3">
        <v>45625</v>
      </c>
      <c r="V841" t="s">
        <v>95</v>
      </c>
      <c r="W841">
        <f t="shared" si="67"/>
        <v>346.45</v>
      </c>
      <c r="X841">
        <f t="shared" si="68"/>
        <v>346.45000000000005</v>
      </c>
      <c r="Y841">
        <f t="shared" si="69"/>
        <v>0</v>
      </c>
      <c r="Z841" s="8" t="str">
        <f t="shared" si="66"/>
        <v>No Discount</v>
      </c>
      <c r="AA841" s="12">
        <f>DATE(YEAR(Table1[[#This Row],[OrderDate]]),MONTH(Table1[[#This Row],[OrderDate]]),1)</f>
        <v>45597</v>
      </c>
    </row>
    <row r="842" spans="1:27" x14ac:dyDescent="0.3">
      <c r="A842" s="3">
        <v>45301</v>
      </c>
      <c r="B842" t="s">
        <v>13</v>
      </c>
      <c r="C842" t="s">
        <v>34</v>
      </c>
      <c r="D842" t="str">
        <f>TRIM(Table1[[#This Row],[Product]])</f>
        <v>Printer</v>
      </c>
      <c r="E842" t="str">
        <f>PROPER(Table1[[#This Row],[Column1]])</f>
        <v>Printer</v>
      </c>
      <c r="F842" s="8" t="str">
        <f t="shared" si="65"/>
        <v>Office Supplies</v>
      </c>
      <c r="G842" s="5">
        <v>15</v>
      </c>
      <c r="H842">
        <v>306.91000000000003</v>
      </c>
      <c r="I842" t="s">
        <v>64</v>
      </c>
      <c r="J842" t="s">
        <v>65</v>
      </c>
      <c r="K842" s="7">
        <v>0</v>
      </c>
      <c r="L842" t="s">
        <v>21</v>
      </c>
      <c r="M842" s="5">
        <v>4603.6500000000005</v>
      </c>
      <c r="N842" t="s">
        <v>88</v>
      </c>
      <c r="O842" t="s">
        <v>60</v>
      </c>
      <c r="P842" s="5">
        <v>1</v>
      </c>
      <c r="Q842" t="s">
        <v>1714</v>
      </c>
      <c r="R842" t="s">
        <v>1715</v>
      </c>
      <c r="S842" s="5">
        <v>19.38</v>
      </c>
      <c r="T842" s="3">
        <v>45301</v>
      </c>
      <c r="U842" s="3">
        <v>45305</v>
      </c>
      <c r="V842" t="s">
        <v>70</v>
      </c>
      <c r="W842">
        <f t="shared" si="67"/>
        <v>4603.6500000000005</v>
      </c>
      <c r="X842">
        <f t="shared" si="68"/>
        <v>4603.6500000000005</v>
      </c>
      <c r="Y842">
        <f t="shared" si="69"/>
        <v>0</v>
      </c>
      <c r="Z842" s="8" t="str">
        <f t="shared" si="66"/>
        <v>No Discount</v>
      </c>
      <c r="AA842" s="12">
        <f>DATE(YEAR(Table1[[#This Row],[OrderDate]]),MONTH(Table1[[#This Row],[OrderDate]]),1)</f>
        <v>45292</v>
      </c>
    </row>
    <row r="843" spans="1:27" x14ac:dyDescent="0.3">
      <c r="A843" s="3">
        <v>45220</v>
      </c>
      <c r="B843" t="s">
        <v>11</v>
      </c>
      <c r="C843" t="s">
        <v>30</v>
      </c>
      <c r="D843" t="str">
        <f>TRIM(Table1[[#This Row],[Product]])</f>
        <v>Desk</v>
      </c>
      <c r="E843" t="str">
        <f>PROPER(Table1[[#This Row],[Column1]])</f>
        <v>Desk</v>
      </c>
      <c r="F843" s="8" t="str">
        <f t="shared" si="65"/>
        <v>Furniture</v>
      </c>
      <c r="G843" s="5">
        <v>4</v>
      </c>
      <c r="H843">
        <v>390.3</v>
      </c>
      <c r="I843" t="s">
        <v>64</v>
      </c>
      <c r="J843" t="s">
        <v>65</v>
      </c>
      <c r="K843" s="7">
        <v>0.15</v>
      </c>
      <c r="L843" t="s">
        <v>23</v>
      </c>
      <c r="M843" s="5">
        <v>1327.02</v>
      </c>
      <c r="N843" t="s">
        <v>85</v>
      </c>
      <c r="P843" s="5">
        <v>0</v>
      </c>
      <c r="Q843" t="s">
        <v>1716</v>
      </c>
      <c r="R843" t="s">
        <v>1717</v>
      </c>
      <c r="S843" s="5">
        <v>43.56</v>
      </c>
      <c r="T843" s="3">
        <v>45220</v>
      </c>
      <c r="U843" s="3">
        <v>45225</v>
      </c>
      <c r="V843" t="s">
        <v>74</v>
      </c>
      <c r="W843">
        <f t="shared" si="67"/>
        <v>1127.9669999999999</v>
      </c>
      <c r="X843">
        <f t="shared" si="68"/>
        <v>1561.2</v>
      </c>
      <c r="Y843">
        <f t="shared" si="69"/>
        <v>433.23300000000017</v>
      </c>
      <c r="Z843" s="8" t="str">
        <f t="shared" si="66"/>
        <v>High</v>
      </c>
      <c r="AA843" s="12">
        <f>DATE(YEAR(Table1[[#This Row],[OrderDate]]),MONTH(Table1[[#This Row],[OrderDate]]),1)</f>
        <v>45200</v>
      </c>
    </row>
    <row r="844" spans="1:27" x14ac:dyDescent="0.3">
      <c r="A844" s="3">
        <v>45677</v>
      </c>
      <c r="B844" t="s">
        <v>11</v>
      </c>
      <c r="C844" t="s">
        <v>33</v>
      </c>
      <c r="D844" t="str">
        <f>TRIM(Table1[[#This Row],[Product]])</f>
        <v>Phone</v>
      </c>
      <c r="E844" t="str">
        <f>PROPER(Table1[[#This Row],[Column1]])</f>
        <v>Phone</v>
      </c>
      <c r="F844" s="8" t="str">
        <f t="shared" si="65"/>
        <v>Technology</v>
      </c>
      <c r="G844" s="5">
        <v>7</v>
      </c>
      <c r="H844">
        <v>61.83</v>
      </c>
      <c r="I844" t="s">
        <v>57</v>
      </c>
      <c r="J844" t="s">
        <v>65</v>
      </c>
      <c r="K844" s="7">
        <v>0</v>
      </c>
      <c r="L844" t="s">
        <v>23</v>
      </c>
      <c r="M844" s="5">
        <v>432.81</v>
      </c>
      <c r="N844" t="s">
        <v>59</v>
      </c>
      <c r="O844" t="s">
        <v>71</v>
      </c>
      <c r="P844" s="5">
        <v>0</v>
      </c>
      <c r="Q844" t="s">
        <v>1718</v>
      </c>
      <c r="R844" t="s">
        <v>1719</v>
      </c>
      <c r="S844" s="5">
        <v>25.49</v>
      </c>
      <c r="T844" s="3">
        <v>45677</v>
      </c>
      <c r="U844" s="3">
        <v>45679</v>
      </c>
      <c r="V844" t="s">
        <v>74</v>
      </c>
      <c r="W844">
        <f t="shared" si="67"/>
        <v>432.81</v>
      </c>
      <c r="X844">
        <f t="shared" si="68"/>
        <v>432.81</v>
      </c>
      <c r="Y844">
        <f t="shared" si="69"/>
        <v>0</v>
      </c>
      <c r="Z844" s="8" t="str">
        <f t="shared" si="66"/>
        <v>No Discount</v>
      </c>
      <c r="AA844" s="12">
        <f>DATE(YEAR(Table1[[#This Row],[OrderDate]]),MONTH(Table1[[#This Row],[OrderDate]]),1)</f>
        <v>45658</v>
      </c>
    </row>
    <row r="845" spans="1:27" x14ac:dyDescent="0.3">
      <c r="A845" s="3">
        <v>45605</v>
      </c>
      <c r="B845" t="s">
        <v>16</v>
      </c>
      <c r="C845" t="s">
        <v>32</v>
      </c>
      <c r="D845" t="str">
        <f>TRIM(Table1[[#This Row],[Product]])</f>
        <v>Monitor</v>
      </c>
      <c r="E845" t="str">
        <f>PROPER(Table1[[#This Row],[Column1]])</f>
        <v>Monitor</v>
      </c>
      <c r="F845" s="8" t="str">
        <f t="shared" si="65"/>
        <v>Technology</v>
      </c>
      <c r="G845" s="5">
        <v>7</v>
      </c>
      <c r="H845">
        <v>83.32</v>
      </c>
      <c r="I845" t="s">
        <v>81</v>
      </c>
      <c r="J845" t="s">
        <v>58</v>
      </c>
      <c r="K845" s="7">
        <v>0.05</v>
      </c>
      <c r="L845" t="s">
        <v>21</v>
      </c>
      <c r="M845" s="5">
        <v>554.07799999999997</v>
      </c>
      <c r="N845" t="s">
        <v>88</v>
      </c>
      <c r="O845" t="s">
        <v>60</v>
      </c>
      <c r="P845" s="5">
        <v>0</v>
      </c>
      <c r="Q845" t="s">
        <v>1720</v>
      </c>
      <c r="R845" t="s">
        <v>1721</v>
      </c>
      <c r="S845" s="5">
        <v>23.4</v>
      </c>
      <c r="T845" s="3">
        <v>45605</v>
      </c>
      <c r="U845" s="3">
        <v>45613</v>
      </c>
      <c r="V845" t="s">
        <v>95</v>
      </c>
      <c r="W845">
        <f t="shared" si="67"/>
        <v>526.3741</v>
      </c>
      <c r="X845">
        <f t="shared" si="68"/>
        <v>583.24</v>
      </c>
      <c r="Y845">
        <f t="shared" si="69"/>
        <v>56.865900000000011</v>
      </c>
      <c r="Z845" s="8" t="str">
        <f t="shared" si="66"/>
        <v>Medium</v>
      </c>
      <c r="AA845" s="12">
        <f>DATE(YEAR(Table1[[#This Row],[OrderDate]]),MONTH(Table1[[#This Row],[OrderDate]]),1)</f>
        <v>45597</v>
      </c>
    </row>
    <row r="846" spans="1:27" x14ac:dyDescent="0.3">
      <c r="A846" s="3">
        <v>45385</v>
      </c>
      <c r="B846" t="s">
        <v>16</v>
      </c>
      <c r="C846" t="s">
        <v>32</v>
      </c>
      <c r="D846" t="str">
        <f>TRIM(Table1[[#This Row],[Product]])</f>
        <v>Monitor</v>
      </c>
      <c r="E846" t="str">
        <f>PROPER(Table1[[#This Row],[Column1]])</f>
        <v>Monitor</v>
      </c>
      <c r="F846" s="8" t="str">
        <f t="shared" si="65"/>
        <v>Technology</v>
      </c>
      <c r="G846" s="5">
        <v>4</v>
      </c>
      <c r="H846">
        <v>563.05999999999995</v>
      </c>
      <c r="I846" t="s">
        <v>81</v>
      </c>
      <c r="J846" t="s">
        <v>65</v>
      </c>
      <c r="K846" s="7">
        <v>0.05</v>
      </c>
      <c r="L846" t="s">
        <v>19</v>
      </c>
      <c r="M846" s="5">
        <v>2139.6280000000002</v>
      </c>
      <c r="N846" t="s">
        <v>88</v>
      </c>
      <c r="O846" t="s">
        <v>71</v>
      </c>
      <c r="P846" s="5">
        <v>0</v>
      </c>
      <c r="Q846" t="s">
        <v>1722</v>
      </c>
      <c r="R846" t="s">
        <v>1723</v>
      </c>
      <c r="S846" s="5">
        <v>19.5</v>
      </c>
      <c r="T846" s="3">
        <v>45385</v>
      </c>
      <c r="U846" s="3">
        <v>45389</v>
      </c>
      <c r="V846" t="s">
        <v>95</v>
      </c>
      <c r="W846">
        <f t="shared" si="67"/>
        <v>2032.6466</v>
      </c>
      <c r="X846">
        <f t="shared" si="68"/>
        <v>2252.2399999999998</v>
      </c>
      <c r="Y846">
        <f t="shared" si="69"/>
        <v>219.59339999999975</v>
      </c>
      <c r="Z846" s="8" t="str">
        <f t="shared" si="66"/>
        <v>Medium</v>
      </c>
      <c r="AA846" s="12">
        <f>DATE(YEAR(Table1[[#This Row],[OrderDate]]),MONTH(Table1[[#This Row],[OrderDate]]),1)</f>
        <v>45383</v>
      </c>
    </row>
    <row r="847" spans="1:27" x14ac:dyDescent="0.3">
      <c r="A847" s="3">
        <v>45297</v>
      </c>
      <c r="B847" t="s">
        <v>11</v>
      </c>
      <c r="C847" t="s">
        <v>33</v>
      </c>
      <c r="D847" t="str">
        <f>TRIM(Table1[[#This Row],[Product]])</f>
        <v>Phone</v>
      </c>
      <c r="E847" t="str">
        <f>PROPER(Table1[[#This Row],[Column1]])</f>
        <v>Phone</v>
      </c>
      <c r="F847" s="8" t="str">
        <f t="shared" si="65"/>
        <v>Technology</v>
      </c>
      <c r="G847" s="5">
        <v>13</v>
      </c>
      <c r="H847">
        <v>256.35000000000002</v>
      </c>
      <c r="I847" t="s">
        <v>81</v>
      </c>
      <c r="J847" t="s">
        <v>58</v>
      </c>
      <c r="K847" s="7">
        <v>0.15</v>
      </c>
      <c r="L847" t="s">
        <v>18</v>
      </c>
      <c r="M847" s="5">
        <v>2832.6675</v>
      </c>
      <c r="N847" t="s">
        <v>88</v>
      </c>
      <c r="O847" t="s">
        <v>67</v>
      </c>
      <c r="P847" s="5">
        <v>0</v>
      </c>
      <c r="Q847" t="s">
        <v>1724</v>
      </c>
      <c r="R847" t="s">
        <v>1725</v>
      </c>
      <c r="S847" s="5">
        <v>26.04</v>
      </c>
      <c r="T847" s="3">
        <v>45297</v>
      </c>
      <c r="U847" s="3">
        <v>45299</v>
      </c>
      <c r="V847" t="s">
        <v>74</v>
      </c>
      <c r="W847">
        <f t="shared" si="67"/>
        <v>2407.7673749999999</v>
      </c>
      <c r="X847">
        <f t="shared" si="68"/>
        <v>3332.55</v>
      </c>
      <c r="Y847">
        <f t="shared" si="69"/>
        <v>924.78262500000028</v>
      </c>
      <c r="Z847" s="8" t="str">
        <f t="shared" si="66"/>
        <v>High</v>
      </c>
      <c r="AA847" s="12">
        <f>DATE(YEAR(Table1[[#This Row],[OrderDate]]),MONTH(Table1[[#This Row],[OrderDate]]),1)</f>
        <v>45292</v>
      </c>
    </row>
    <row r="848" spans="1:27" x14ac:dyDescent="0.3">
      <c r="A848" s="3">
        <v>45140</v>
      </c>
      <c r="B848" t="s">
        <v>7</v>
      </c>
      <c r="C848" t="s">
        <v>34</v>
      </c>
      <c r="D848" t="str">
        <f>TRIM(Table1[[#This Row],[Product]])</f>
        <v>Printer</v>
      </c>
      <c r="E848" t="str">
        <f>PROPER(Table1[[#This Row],[Column1]])</f>
        <v>Printer</v>
      </c>
      <c r="F848" s="8" t="str">
        <f t="shared" si="65"/>
        <v>Office Supplies</v>
      </c>
      <c r="G848" s="5">
        <v>9</v>
      </c>
      <c r="H848">
        <v>303.26</v>
      </c>
      <c r="I848" t="s">
        <v>64</v>
      </c>
      <c r="J848" t="s">
        <v>58</v>
      </c>
      <c r="K848" s="7">
        <v>0.05</v>
      </c>
      <c r="L848" t="s">
        <v>23</v>
      </c>
      <c r="M848" s="5">
        <v>2592.873</v>
      </c>
      <c r="N848" t="s">
        <v>85</v>
      </c>
      <c r="O848" t="s">
        <v>60</v>
      </c>
      <c r="P848" s="5">
        <v>0</v>
      </c>
      <c r="Q848" t="s">
        <v>1726</v>
      </c>
      <c r="R848" t="s">
        <v>1727</v>
      </c>
      <c r="S848" s="5">
        <v>17.010000000000002</v>
      </c>
      <c r="T848" s="3">
        <v>45140</v>
      </c>
      <c r="U848" s="3">
        <v>45143</v>
      </c>
      <c r="V848" t="s">
        <v>77</v>
      </c>
      <c r="W848">
        <f t="shared" si="67"/>
        <v>2463.2293500000001</v>
      </c>
      <c r="X848">
        <f t="shared" si="68"/>
        <v>2729.34</v>
      </c>
      <c r="Y848">
        <f t="shared" si="69"/>
        <v>266.11065000000008</v>
      </c>
      <c r="Z848" s="8" t="str">
        <f t="shared" si="66"/>
        <v>Medium</v>
      </c>
      <c r="AA848" s="12">
        <f>DATE(YEAR(Table1[[#This Row],[OrderDate]]),MONTH(Table1[[#This Row],[OrderDate]]),1)</f>
        <v>45139</v>
      </c>
    </row>
    <row r="849" spans="1:27" x14ac:dyDescent="0.3">
      <c r="A849" s="3">
        <v>45256</v>
      </c>
      <c r="B849" t="s">
        <v>11</v>
      </c>
      <c r="C849" t="s">
        <v>29</v>
      </c>
      <c r="D849" t="str">
        <f>TRIM(Table1[[#This Row],[Product]])</f>
        <v>Chair</v>
      </c>
      <c r="E849" t="str">
        <f>PROPER(Table1[[#This Row],[Column1]])</f>
        <v>Chair</v>
      </c>
      <c r="F849" s="8" t="str">
        <f t="shared" si="65"/>
        <v>Furniture</v>
      </c>
      <c r="G849" s="5">
        <v>9</v>
      </c>
      <c r="H849">
        <v>440.48</v>
      </c>
      <c r="I849" t="s">
        <v>64</v>
      </c>
      <c r="J849" t="s">
        <v>65</v>
      </c>
      <c r="K849" s="7">
        <v>0.15</v>
      </c>
      <c r="L849" t="s">
        <v>23</v>
      </c>
      <c r="M849" s="5">
        <v>3369.672</v>
      </c>
      <c r="N849" t="s">
        <v>66</v>
      </c>
      <c r="O849" t="s">
        <v>71</v>
      </c>
      <c r="P849" s="5">
        <v>0</v>
      </c>
      <c r="Q849" t="s">
        <v>1728</v>
      </c>
      <c r="R849" t="s">
        <v>1729</v>
      </c>
      <c r="S849" s="5">
        <v>32.94</v>
      </c>
      <c r="T849" s="3">
        <v>45256</v>
      </c>
      <c r="U849" s="3">
        <v>45261</v>
      </c>
      <c r="V849" t="s">
        <v>74</v>
      </c>
      <c r="W849">
        <f t="shared" si="67"/>
        <v>2864.2212</v>
      </c>
      <c r="X849">
        <f t="shared" si="68"/>
        <v>3964.32</v>
      </c>
      <c r="Y849">
        <f t="shared" si="69"/>
        <v>1100.0988000000002</v>
      </c>
      <c r="Z849" s="8" t="str">
        <f t="shared" si="66"/>
        <v>High</v>
      </c>
      <c r="AA849" s="12">
        <f>DATE(YEAR(Table1[[#This Row],[OrderDate]]),MONTH(Table1[[#This Row],[OrderDate]]),1)</f>
        <v>45231</v>
      </c>
    </row>
    <row r="850" spans="1:27" x14ac:dyDescent="0.3">
      <c r="A850" s="3">
        <v>45767</v>
      </c>
      <c r="B850" t="s">
        <v>9</v>
      </c>
      <c r="C850" t="s">
        <v>30</v>
      </c>
      <c r="D850" t="str">
        <f>TRIM(Table1[[#This Row],[Product]])</f>
        <v>Desk</v>
      </c>
      <c r="E850" t="str">
        <f>PROPER(Table1[[#This Row],[Column1]])</f>
        <v>Desk</v>
      </c>
      <c r="F850" s="8" t="str">
        <f t="shared" si="65"/>
        <v>Furniture</v>
      </c>
      <c r="G850" s="5">
        <v>17</v>
      </c>
      <c r="H850">
        <v>469.25</v>
      </c>
      <c r="I850" t="s">
        <v>57</v>
      </c>
      <c r="J850" t="s">
        <v>58</v>
      </c>
      <c r="K850" s="7">
        <v>0.05</v>
      </c>
      <c r="L850" t="s">
        <v>19</v>
      </c>
      <c r="M850" s="5">
        <v>7578.3874999999998</v>
      </c>
      <c r="N850" t="s">
        <v>82</v>
      </c>
      <c r="P850" s="5">
        <v>0</v>
      </c>
      <c r="Q850" t="s">
        <v>1730</v>
      </c>
      <c r="R850" t="s">
        <v>1731</v>
      </c>
      <c r="S850" s="5">
        <v>45.76</v>
      </c>
      <c r="T850" s="3">
        <v>45767</v>
      </c>
      <c r="U850" s="3">
        <v>45773</v>
      </c>
      <c r="V850" t="s">
        <v>63</v>
      </c>
      <c r="W850">
        <f t="shared" si="67"/>
        <v>7199.4681249999994</v>
      </c>
      <c r="X850">
        <f t="shared" si="68"/>
        <v>7977.25</v>
      </c>
      <c r="Y850">
        <f t="shared" si="69"/>
        <v>777.78187500000058</v>
      </c>
      <c r="Z850" s="8" t="str">
        <f t="shared" si="66"/>
        <v>Medium</v>
      </c>
      <c r="AA850" s="12">
        <f>DATE(YEAR(Table1[[#This Row],[OrderDate]]),MONTH(Table1[[#This Row],[OrderDate]]),1)</f>
        <v>45748</v>
      </c>
    </row>
    <row r="851" spans="1:27" x14ac:dyDescent="0.3">
      <c r="A851" s="3">
        <v>45289</v>
      </c>
      <c r="B851" t="s">
        <v>13</v>
      </c>
      <c r="C851" t="s">
        <v>29</v>
      </c>
      <c r="D851" t="str">
        <f>TRIM(Table1[[#This Row],[Product]])</f>
        <v>Chair</v>
      </c>
      <c r="E851" t="str">
        <f>PROPER(Table1[[#This Row],[Column1]])</f>
        <v>Chair</v>
      </c>
      <c r="F851" s="8" t="str">
        <f t="shared" si="65"/>
        <v>Furniture</v>
      </c>
      <c r="G851" s="5">
        <v>18</v>
      </c>
      <c r="H851">
        <v>491.76</v>
      </c>
      <c r="I851" t="s">
        <v>64</v>
      </c>
      <c r="J851" t="s">
        <v>58</v>
      </c>
      <c r="K851" s="7">
        <v>0.15</v>
      </c>
      <c r="L851" t="s">
        <v>25</v>
      </c>
      <c r="M851" s="5">
        <v>7523.9279999999999</v>
      </c>
      <c r="N851" t="s">
        <v>82</v>
      </c>
      <c r="O851" t="s">
        <v>67</v>
      </c>
      <c r="P851" s="5">
        <v>0</v>
      </c>
      <c r="Q851" t="s">
        <v>1732</v>
      </c>
      <c r="R851" t="s">
        <v>1733</v>
      </c>
      <c r="S851" s="5">
        <v>37.49</v>
      </c>
      <c r="T851" s="3">
        <v>45289</v>
      </c>
      <c r="U851" s="3">
        <v>45296</v>
      </c>
      <c r="V851" t="s">
        <v>70</v>
      </c>
      <c r="W851">
        <f t="shared" si="67"/>
        <v>6395.3387999999995</v>
      </c>
      <c r="X851">
        <f t="shared" si="68"/>
        <v>8851.68</v>
      </c>
      <c r="Y851">
        <f t="shared" si="69"/>
        <v>2456.3412000000008</v>
      </c>
      <c r="Z851" s="8" t="str">
        <f t="shared" si="66"/>
        <v>High</v>
      </c>
      <c r="AA851" s="12">
        <f>DATE(YEAR(Table1[[#This Row],[OrderDate]]),MONTH(Table1[[#This Row],[OrderDate]]),1)</f>
        <v>45261</v>
      </c>
    </row>
    <row r="852" spans="1:27" x14ac:dyDescent="0.3">
      <c r="A852" s="3">
        <v>45665</v>
      </c>
      <c r="B852" t="s">
        <v>7</v>
      </c>
      <c r="C852" t="s">
        <v>29</v>
      </c>
      <c r="D852" t="str">
        <f>TRIM(Table1[[#This Row],[Product]])</f>
        <v>Chair</v>
      </c>
      <c r="E852" t="str">
        <f>PROPER(Table1[[#This Row],[Column1]])</f>
        <v>Chair</v>
      </c>
      <c r="F852" s="8" t="str">
        <f t="shared" si="65"/>
        <v>Furniture</v>
      </c>
      <c r="G852" s="5">
        <v>19</v>
      </c>
      <c r="H852">
        <v>465.27</v>
      </c>
      <c r="I852" t="s">
        <v>78</v>
      </c>
      <c r="J852" t="s">
        <v>65</v>
      </c>
      <c r="K852" s="7">
        <v>0.05</v>
      </c>
      <c r="L852" t="s">
        <v>23</v>
      </c>
      <c r="M852" s="5">
        <v>8398.1234999999997</v>
      </c>
      <c r="N852" t="s">
        <v>82</v>
      </c>
      <c r="P852" s="5">
        <v>0</v>
      </c>
      <c r="Q852" t="s">
        <v>1734</v>
      </c>
      <c r="R852" t="s">
        <v>1735</v>
      </c>
      <c r="S852" s="5">
        <v>44.95</v>
      </c>
      <c r="T852" s="3">
        <v>45665</v>
      </c>
      <c r="U852" s="3">
        <v>45667</v>
      </c>
      <c r="V852" t="s">
        <v>77</v>
      </c>
      <c r="W852">
        <f t="shared" si="67"/>
        <v>7978.2173249999996</v>
      </c>
      <c r="X852">
        <f t="shared" si="68"/>
        <v>8840.1299999999992</v>
      </c>
      <c r="Y852">
        <f t="shared" si="69"/>
        <v>861.91267499999958</v>
      </c>
      <c r="Z852" s="8" t="str">
        <f t="shared" si="66"/>
        <v>Medium</v>
      </c>
      <c r="AA852" s="12">
        <f>DATE(YEAR(Table1[[#This Row],[OrderDate]]),MONTH(Table1[[#This Row],[OrderDate]]),1)</f>
        <v>45658</v>
      </c>
    </row>
    <row r="853" spans="1:27" x14ac:dyDescent="0.3">
      <c r="A853" s="3">
        <v>45418</v>
      </c>
      <c r="B853" t="s">
        <v>9</v>
      </c>
      <c r="C853" t="s">
        <v>29</v>
      </c>
      <c r="D853" t="str">
        <f>TRIM(Table1[[#This Row],[Product]])</f>
        <v>Chair</v>
      </c>
      <c r="E853" t="str">
        <f>PROPER(Table1[[#This Row],[Column1]])</f>
        <v>Chair</v>
      </c>
      <c r="F853" s="8" t="str">
        <f t="shared" si="65"/>
        <v>Furniture</v>
      </c>
      <c r="G853" s="5">
        <v>18</v>
      </c>
      <c r="H853">
        <v>343.68</v>
      </c>
      <c r="I853" t="s">
        <v>57</v>
      </c>
      <c r="J853" t="s">
        <v>65</v>
      </c>
      <c r="K853" s="7">
        <v>0</v>
      </c>
      <c r="L853" t="s">
        <v>25</v>
      </c>
      <c r="M853" s="5">
        <v>6186.24</v>
      </c>
      <c r="N853" t="s">
        <v>66</v>
      </c>
      <c r="O853" t="s">
        <v>67</v>
      </c>
      <c r="P853" s="5">
        <v>0</v>
      </c>
      <c r="Q853" t="s">
        <v>1736</v>
      </c>
      <c r="R853" t="s">
        <v>1737</v>
      </c>
      <c r="S853" s="5">
        <v>20.37</v>
      </c>
      <c r="T853" s="3">
        <v>45418</v>
      </c>
      <c r="U853" s="3">
        <v>45426</v>
      </c>
      <c r="V853" t="s">
        <v>63</v>
      </c>
      <c r="W853">
        <f t="shared" si="67"/>
        <v>6186.24</v>
      </c>
      <c r="X853">
        <f t="shared" si="68"/>
        <v>6186.24</v>
      </c>
      <c r="Y853">
        <f t="shared" si="69"/>
        <v>0</v>
      </c>
      <c r="Z853" s="8" t="str">
        <f t="shared" si="66"/>
        <v>No Discount</v>
      </c>
      <c r="AA853" s="12">
        <f>DATE(YEAR(Table1[[#This Row],[OrderDate]]),MONTH(Table1[[#This Row],[OrderDate]]),1)</f>
        <v>45413</v>
      </c>
    </row>
    <row r="854" spans="1:27" x14ac:dyDescent="0.3">
      <c r="A854" s="3">
        <v>45550</v>
      </c>
      <c r="B854" t="s">
        <v>11</v>
      </c>
      <c r="C854" t="s">
        <v>30</v>
      </c>
      <c r="D854" t="str">
        <f>TRIM(Table1[[#This Row],[Product]])</f>
        <v>Desk</v>
      </c>
      <c r="E854" t="str">
        <f>PROPER(Table1[[#This Row],[Column1]])</f>
        <v>Desk</v>
      </c>
      <c r="F854" s="8" t="str">
        <f t="shared" si="65"/>
        <v>Furniture</v>
      </c>
      <c r="G854" s="5">
        <v>14</v>
      </c>
      <c r="H854">
        <v>472.51</v>
      </c>
      <c r="I854" t="s">
        <v>81</v>
      </c>
      <c r="J854" t="s">
        <v>58</v>
      </c>
      <c r="K854" s="7">
        <v>0.05</v>
      </c>
      <c r="L854" t="s">
        <v>19</v>
      </c>
      <c r="M854" s="5">
        <v>6284.3829999999989</v>
      </c>
      <c r="N854" t="s">
        <v>66</v>
      </c>
      <c r="P854" s="5">
        <v>0</v>
      </c>
      <c r="Q854" t="s">
        <v>1738</v>
      </c>
      <c r="R854" t="s">
        <v>1739</v>
      </c>
      <c r="S854" s="5">
        <v>13.54</v>
      </c>
      <c r="T854" s="3">
        <v>45550</v>
      </c>
      <c r="U854" s="3">
        <v>45555</v>
      </c>
      <c r="V854" t="s">
        <v>74</v>
      </c>
      <c r="W854">
        <f t="shared" si="67"/>
        <v>5970.163849999999</v>
      </c>
      <c r="X854">
        <f t="shared" si="68"/>
        <v>6615.1399999999994</v>
      </c>
      <c r="Y854">
        <f t="shared" si="69"/>
        <v>644.97615000000042</v>
      </c>
      <c r="Z854" s="8" t="str">
        <f t="shared" si="66"/>
        <v>Medium</v>
      </c>
      <c r="AA854" s="12">
        <f>DATE(YEAR(Table1[[#This Row],[OrderDate]]),MONTH(Table1[[#This Row],[OrderDate]]),1)</f>
        <v>45536</v>
      </c>
    </row>
    <row r="855" spans="1:27" x14ac:dyDescent="0.3">
      <c r="A855" s="3">
        <v>44964</v>
      </c>
      <c r="B855" t="s">
        <v>16</v>
      </c>
      <c r="C855" t="s">
        <v>31</v>
      </c>
      <c r="D855" t="str">
        <f>TRIM(Table1[[#This Row],[Product]])</f>
        <v>Laptop</v>
      </c>
      <c r="E855" t="str">
        <f>PROPER(Table1[[#This Row],[Column1]])</f>
        <v>Laptop</v>
      </c>
      <c r="F855" s="8" t="str">
        <f t="shared" si="65"/>
        <v>Technology</v>
      </c>
      <c r="G855" s="5">
        <v>20</v>
      </c>
      <c r="H855">
        <v>142.52000000000001</v>
      </c>
      <c r="I855" t="s">
        <v>64</v>
      </c>
      <c r="J855" t="s">
        <v>65</v>
      </c>
      <c r="K855" s="7">
        <v>0.1</v>
      </c>
      <c r="L855" t="s">
        <v>25</v>
      </c>
      <c r="M855" s="5">
        <v>2565.36</v>
      </c>
      <c r="N855" t="s">
        <v>88</v>
      </c>
      <c r="O855" t="s">
        <v>60</v>
      </c>
      <c r="P855" s="5">
        <v>0</v>
      </c>
      <c r="Q855" t="s">
        <v>1740</v>
      </c>
      <c r="R855" t="s">
        <v>1741</v>
      </c>
      <c r="S855" s="5">
        <v>30.67</v>
      </c>
      <c r="T855" s="3">
        <v>44964</v>
      </c>
      <c r="U855" s="3">
        <v>44969</v>
      </c>
      <c r="V855" t="s">
        <v>95</v>
      </c>
      <c r="W855">
        <f t="shared" si="67"/>
        <v>2308.8240000000001</v>
      </c>
      <c r="X855">
        <f t="shared" si="68"/>
        <v>2850.4</v>
      </c>
      <c r="Y855">
        <f t="shared" si="69"/>
        <v>541.57600000000002</v>
      </c>
      <c r="Z855" s="8" t="str">
        <f t="shared" si="66"/>
        <v>Medium</v>
      </c>
      <c r="AA855" s="12">
        <f>DATE(YEAR(Table1[[#This Row],[OrderDate]]),MONTH(Table1[[#This Row],[OrderDate]]),1)</f>
        <v>44958</v>
      </c>
    </row>
    <row r="856" spans="1:27" x14ac:dyDescent="0.3">
      <c r="A856" s="3">
        <v>44986</v>
      </c>
      <c r="B856" t="s">
        <v>9</v>
      </c>
      <c r="C856" t="s">
        <v>33</v>
      </c>
      <c r="D856" t="str">
        <f>TRIM(Table1[[#This Row],[Product]])</f>
        <v>Phone</v>
      </c>
      <c r="E856" t="str">
        <f>PROPER(Table1[[#This Row],[Column1]])</f>
        <v>Phone</v>
      </c>
      <c r="F856" s="8" t="str">
        <f t="shared" si="65"/>
        <v>Technology</v>
      </c>
      <c r="G856" s="5">
        <v>1</v>
      </c>
      <c r="H856">
        <v>31.42</v>
      </c>
      <c r="I856" t="s">
        <v>57</v>
      </c>
      <c r="J856" t="s">
        <v>65</v>
      </c>
      <c r="K856" s="7">
        <v>0.05</v>
      </c>
      <c r="L856" t="s">
        <v>19</v>
      </c>
      <c r="M856" s="5">
        <v>29.849</v>
      </c>
      <c r="N856" t="s">
        <v>82</v>
      </c>
      <c r="O856" t="s">
        <v>67</v>
      </c>
      <c r="P856" s="5">
        <v>0</v>
      </c>
      <c r="Q856" t="s">
        <v>1742</v>
      </c>
      <c r="R856" t="s">
        <v>446</v>
      </c>
      <c r="S856" s="5">
        <v>11.35</v>
      </c>
      <c r="T856" s="3">
        <v>44986</v>
      </c>
      <c r="U856" s="3">
        <v>44994</v>
      </c>
      <c r="V856" t="s">
        <v>63</v>
      </c>
      <c r="W856">
        <f t="shared" si="67"/>
        <v>28.356549999999999</v>
      </c>
      <c r="X856">
        <f t="shared" si="68"/>
        <v>31.42</v>
      </c>
      <c r="Y856">
        <f t="shared" si="69"/>
        <v>3.0634500000000031</v>
      </c>
      <c r="Z856" s="8" t="str">
        <f t="shared" si="66"/>
        <v>Medium</v>
      </c>
      <c r="AA856" s="12">
        <f>DATE(YEAR(Table1[[#This Row],[OrderDate]]),MONTH(Table1[[#This Row],[OrderDate]]),1)</f>
        <v>44986</v>
      </c>
    </row>
    <row r="857" spans="1:27" x14ac:dyDescent="0.3">
      <c r="A857" s="3">
        <v>45420</v>
      </c>
      <c r="B857" t="s">
        <v>11</v>
      </c>
      <c r="C857" t="s">
        <v>35</v>
      </c>
      <c r="D857" t="str">
        <f>TRIM(Table1[[#This Row],[Product]])</f>
        <v>Tablet</v>
      </c>
      <c r="E857" t="str">
        <f>PROPER(Table1[[#This Row],[Column1]])</f>
        <v>Tablet</v>
      </c>
      <c r="F857" s="8" t="str">
        <f t="shared" si="65"/>
        <v>Technology</v>
      </c>
      <c r="G857" s="5">
        <v>17</v>
      </c>
      <c r="H857">
        <v>572.29</v>
      </c>
      <c r="I857" t="s">
        <v>81</v>
      </c>
      <c r="J857" t="s">
        <v>65</v>
      </c>
      <c r="K857" s="7">
        <v>0.15</v>
      </c>
      <c r="L857" t="s">
        <v>25</v>
      </c>
      <c r="M857" s="5">
        <v>8269.5905000000002</v>
      </c>
      <c r="N857" t="s">
        <v>59</v>
      </c>
      <c r="O857" t="s">
        <v>67</v>
      </c>
      <c r="P857" s="5">
        <v>1</v>
      </c>
      <c r="Q857" t="s">
        <v>1743</v>
      </c>
      <c r="R857" t="s">
        <v>1744</v>
      </c>
      <c r="S857" s="5">
        <v>44.99</v>
      </c>
      <c r="T857" s="3">
        <v>45420</v>
      </c>
      <c r="U857" s="3">
        <v>45424</v>
      </c>
      <c r="V857" t="s">
        <v>74</v>
      </c>
      <c r="W857">
        <f t="shared" si="67"/>
        <v>7029.1519250000001</v>
      </c>
      <c r="X857">
        <f t="shared" si="68"/>
        <v>9728.93</v>
      </c>
      <c r="Y857">
        <f t="shared" si="69"/>
        <v>2699.7780750000002</v>
      </c>
      <c r="Z857" s="8" t="str">
        <f t="shared" si="66"/>
        <v>High</v>
      </c>
      <c r="AA857" s="12">
        <f>DATE(YEAR(Table1[[#This Row],[OrderDate]]),MONTH(Table1[[#This Row],[OrderDate]]),1)</f>
        <v>45413</v>
      </c>
    </row>
    <row r="858" spans="1:27" x14ac:dyDescent="0.3">
      <c r="A858" s="3">
        <v>45449</v>
      </c>
      <c r="B858" t="s">
        <v>9</v>
      </c>
      <c r="C858" t="s">
        <v>30</v>
      </c>
      <c r="D858" t="str">
        <f>TRIM(Table1[[#This Row],[Product]])</f>
        <v>Desk</v>
      </c>
      <c r="E858" t="str">
        <f>PROPER(Table1[[#This Row],[Column1]])</f>
        <v>Desk</v>
      </c>
      <c r="F858" s="8" t="str">
        <f t="shared" si="65"/>
        <v>Furniture</v>
      </c>
      <c r="G858" s="5">
        <v>18</v>
      </c>
      <c r="H858">
        <v>333.6</v>
      </c>
      <c r="I858" t="s">
        <v>64</v>
      </c>
      <c r="J858" t="s">
        <v>65</v>
      </c>
      <c r="K858" s="7">
        <v>0.1</v>
      </c>
      <c r="L858" t="s">
        <v>21</v>
      </c>
      <c r="M858" s="5">
        <v>5404.3200000000006</v>
      </c>
      <c r="N858" t="s">
        <v>85</v>
      </c>
      <c r="O858" t="s">
        <v>60</v>
      </c>
      <c r="P858" s="5">
        <v>1</v>
      </c>
      <c r="Q858" t="s">
        <v>1745</v>
      </c>
      <c r="R858" t="s">
        <v>1746</v>
      </c>
      <c r="S858" s="5">
        <v>33.79</v>
      </c>
      <c r="T858" s="3">
        <v>45449</v>
      </c>
      <c r="U858" s="3">
        <v>45451</v>
      </c>
      <c r="V858" t="s">
        <v>63</v>
      </c>
      <c r="W858">
        <f t="shared" si="67"/>
        <v>4863.8880000000008</v>
      </c>
      <c r="X858">
        <f t="shared" si="68"/>
        <v>6004.8</v>
      </c>
      <c r="Y858">
        <f t="shared" si="69"/>
        <v>1140.9119999999994</v>
      </c>
      <c r="Z858" s="8" t="str">
        <f t="shared" si="66"/>
        <v>Medium</v>
      </c>
      <c r="AA858" s="12">
        <f>DATE(YEAR(Table1[[#This Row],[OrderDate]]),MONTH(Table1[[#This Row],[OrderDate]]),1)</f>
        <v>45444</v>
      </c>
    </row>
    <row r="859" spans="1:27" x14ac:dyDescent="0.3">
      <c r="A859" s="3">
        <v>45045</v>
      </c>
      <c r="B859" t="s">
        <v>11</v>
      </c>
      <c r="C859" t="s">
        <v>29</v>
      </c>
      <c r="D859" t="str">
        <f>TRIM(Table1[[#This Row],[Product]])</f>
        <v>Chair</v>
      </c>
      <c r="E859" t="str">
        <f>PROPER(Table1[[#This Row],[Column1]])</f>
        <v>Chair</v>
      </c>
      <c r="F859" s="8" t="str">
        <f t="shared" si="65"/>
        <v>Furniture</v>
      </c>
      <c r="G859" s="5">
        <v>9</v>
      </c>
      <c r="H859">
        <v>90.87</v>
      </c>
      <c r="I859" t="s">
        <v>81</v>
      </c>
      <c r="J859" t="s">
        <v>65</v>
      </c>
      <c r="K859" s="7">
        <v>0.15</v>
      </c>
      <c r="L859" t="s">
        <v>21</v>
      </c>
      <c r="M859" s="5">
        <v>695.15549999999996</v>
      </c>
      <c r="N859" t="s">
        <v>85</v>
      </c>
      <c r="O859" t="s">
        <v>71</v>
      </c>
      <c r="P859" s="5">
        <v>0</v>
      </c>
      <c r="Q859" t="s">
        <v>1747</v>
      </c>
      <c r="R859" t="s">
        <v>1748</v>
      </c>
      <c r="S859" s="5">
        <v>26.56</v>
      </c>
      <c r="T859" s="3">
        <v>45045</v>
      </c>
      <c r="U859" s="3">
        <v>45054</v>
      </c>
      <c r="V859" t="s">
        <v>74</v>
      </c>
      <c r="W859">
        <f t="shared" si="67"/>
        <v>590.88217499999996</v>
      </c>
      <c r="X859">
        <f t="shared" si="68"/>
        <v>817.83</v>
      </c>
      <c r="Y859">
        <f t="shared" si="69"/>
        <v>226.94782500000008</v>
      </c>
      <c r="Z859" s="8" t="str">
        <f t="shared" si="66"/>
        <v>High</v>
      </c>
      <c r="AA859" s="12">
        <f>DATE(YEAR(Table1[[#This Row],[OrderDate]]),MONTH(Table1[[#This Row],[OrderDate]]),1)</f>
        <v>45017</v>
      </c>
    </row>
    <row r="860" spans="1:27" x14ac:dyDescent="0.3">
      <c r="A860" s="3">
        <v>45189</v>
      </c>
      <c r="B860" t="s">
        <v>7</v>
      </c>
      <c r="C860" t="s">
        <v>35</v>
      </c>
      <c r="D860" t="str">
        <f>TRIM(Table1[[#This Row],[Product]])</f>
        <v>Tablet</v>
      </c>
      <c r="E860" t="str">
        <f>PROPER(Table1[[#This Row],[Column1]])</f>
        <v>Tablet</v>
      </c>
      <c r="F860" s="8" t="str">
        <f t="shared" si="65"/>
        <v>Technology</v>
      </c>
      <c r="G860" s="5">
        <v>9</v>
      </c>
      <c r="H860">
        <v>588.59</v>
      </c>
      <c r="I860" t="s">
        <v>81</v>
      </c>
      <c r="J860" t="s">
        <v>58</v>
      </c>
      <c r="K860" s="7">
        <v>0.05</v>
      </c>
      <c r="L860" t="s">
        <v>23</v>
      </c>
      <c r="M860" s="5">
        <v>5032.4445000000014</v>
      </c>
      <c r="N860" t="s">
        <v>59</v>
      </c>
      <c r="P860" s="5">
        <v>0</v>
      </c>
      <c r="Q860" t="s">
        <v>1749</v>
      </c>
      <c r="R860" t="s">
        <v>1750</v>
      </c>
      <c r="S860" s="5">
        <v>42.3</v>
      </c>
      <c r="T860" s="3">
        <v>45189</v>
      </c>
      <c r="U860" s="3">
        <v>45191</v>
      </c>
      <c r="V860" t="s">
        <v>77</v>
      </c>
      <c r="W860">
        <f t="shared" si="67"/>
        <v>4780.8222750000014</v>
      </c>
      <c r="X860">
        <f t="shared" si="68"/>
        <v>5297.31</v>
      </c>
      <c r="Y860">
        <f t="shared" si="69"/>
        <v>516.48772499999905</v>
      </c>
      <c r="Z860" s="8" t="str">
        <f t="shared" si="66"/>
        <v>Medium</v>
      </c>
      <c r="AA860" s="12">
        <f>DATE(YEAR(Table1[[#This Row],[OrderDate]]),MONTH(Table1[[#This Row],[OrderDate]]),1)</f>
        <v>45170</v>
      </c>
    </row>
    <row r="861" spans="1:27" x14ac:dyDescent="0.3">
      <c r="A861" s="3">
        <v>45604</v>
      </c>
      <c r="B861" t="s">
        <v>13</v>
      </c>
      <c r="C861" t="s">
        <v>29</v>
      </c>
      <c r="D861" t="str">
        <f>TRIM(Table1[[#This Row],[Product]])</f>
        <v>Chair</v>
      </c>
      <c r="E861" t="str">
        <f>PROPER(Table1[[#This Row],[Column1]])</f>
        <v>Chair</v>
      </c>
      <c r="F861" s="8" t="str">
        <f t="shared" si="65"/>
        <v>Furniture</v>
      </c>
      <c r="G861" s="5">
        <v>18</v>
      </c>
      <c r="H861">
        <v>153.28</v>
      </c>
      <c r="I861" t="s">
        <v>57</v>
      </c>
      <c r="J861" t="s">
        <v>65</v>
      </c>
      <c r="K861" s="7">
        <v>0.05</v>
      </c>
      <c r="L861" t="s">
        <v>27</v>
      </c>
      <c r="M861" s="5">
        <v>2621.0880000000002</v>
      </c>
      <c r="N861" t="s">
        <v>59</v>
      </c>
      <c r="O861" t="s">
        <v>71</v>
      </c>
      <c r="P861" s="5">
        <v>1</v>
      </c>
      <c r="Q861" t="s">
        <v>1751</v>
      </c>
      <c r="R861" t="s">
        <v>1752</v>
      </c>
      <c r="S861" s="5">
        <v>33.71</v>
      </c>
      <c r="T861" s="3">
        <v>45604</v>
      </c>
      <c r="U861" s="3">
        <v>45609</v>
      </c>
      <c r="V861" t="s">
        <v>70</v>
      </c>
      <c r="W861">
        <f t="shared" si="67"/>
        <v>2490.0336000000002</v>
      </c>
      <c r="X861">
        <f t="shared" si="68"/>
        <v>2759.04</v>
      </c>
      <c r="Y861">
        <f t="shared" si="69"/>
        <v>269.00639999999976</v>
      </c>
      <c r="Z861" s="8" t="str">
        <f t="shared" si="66"/>
        <v>Medium</v>
      </c>
      <c r="AA861" s="12">
        <f>DATE(YEAR(Table1[[#This Row],[OrderDate]]),MONTH(Table1[[#This Row],[OrderDate]]),1)</f>
        <v>45597</v>
      </c>
    </row>
    <row r="862" spans="1:27" x14ac:dyDescent="0.3">
      <c r="A862" s="3">
        <v>45007</v>
      </c>
      <c r="B862" t="s">
        <v>11</v>
      </c>
      <c r="C862" t="s">
        <v>34</v>
      </c>
      <c r="D862" t="str">
        <f>TRIM(Table1[[#This Row],[Product]])</f>
        <v>Printer</v>
      </c>
      <c r="E862" t="str">
        <f>PROPER(Table1[[#This Row],[Column1]])</f>
        <v>Printer</v>
      </c>
      <c r="F862" s="8" t="str">
        <f t="shared" si="65"/>
        <v>Office Supplies</v>
      </c>
      <c r="G862" s="5">
        <v>17</v>
      </c>
      <c r="H862">
        <v>194.97</v>
      </c>
      <c r="I862" t="s">
        <v>64</v>
      </c>
      <c r="J862" t="s">
        <v>65</v>
      </c>
      <c r="K862" s="7">
        <v>0.15</v>
      </c>
      <c r="L862" t="s">
        <v>21</v>
      </c>
      <c r="M862" s="5">
        <v>2817.3164999999999</v>
      </c>
      <c r="N862" t="s">
        <v>66</v>
      </c>
      <c r="O862" t="s">
        <v>67</v>
      </c>
      <c r="P862" s="5">
        <v>1</v>
      </c>
      <c r="Q862" t="s">
        <v>1753</v>
      </c>
      <c r="R862" t="s">
        <v>1754</v>
      </c>
      <c r="S862" s="5">
        <v>5.59</v>
      </c>
      <c r="T862" s="3">
        <v>45007</v>
      </c>
      <c r="U862" s="3">
        <v>45015</v>
      </c>
      <c r="V862" t="s">
        <v>74</v>
      </c>
      <c r="W862">
        <f t="shared" si="67"/>
        <v>2394.7190249999999</v>
      </c>
      <c r="X862">
        <f t="shared" si="68"/>
        <v>3314.49</v>
      </c>
      <c r="Y862">
        <f t="shared" si="69"/>
        <v>919.77097499999991</v>
      </c>
      <c r="Z862" s="8" t="str">
        <f t="shared" si="66"/>
        <v>High</v>
      </c>
      <c r="AA862" s="12">
        <f>DATE(YEAR(Table1[[#This Row],[OrderDate]]),MONTH(Table1[[#This Row],[OrderDate]]),1)</f>
        <v>44986</v>
      </c>
    </row>
    <row r="863" spans="1:27" x14ac:dyDescent="0.3">
      <c r="A863" s="3">
        <v>45174</v>
      </c>
      <c r="B863" t="s">
        <v>9</v>
      </c>
      <c r="C863" t="s">
        <v>32</v>
      </c>
      <c r="D863" t="str">
        <f>TRIM(Table1[[#This Row],[Product]])</f>
        <v>Monitor</v>
      </c>
      <c r="E863" t="str">
        <f>PROPER(Table1[[#This Row],[Column1]])</f>
        <v>Monitor</v>
      </c>
      <c r="F863" s="8" t="str">
        <f t="shared" si="65"/>
        <v>Technology</v>
      </c>
      <c r="G863" s="5">
        <v>5</v>
      </c>
      <c r="H863">
        <v>367.61</v>
      </c>
      <c r="I863" t="s">
        <v>78</v>
      </c>
      <c r="J863" t="s">
        <v>65</v>
      </c>
      <c r="K863" s="7">
        <v>0</v>
      </c>
      <c r="L863" t="s">
        <v>18</v>
      </c>
      <c r="M863" s="5">
        <v>1838.05</v>
      </c>
      <c r="N863" t="s">
        <v>82</v>
      </c>
      <c r="O863" t="s">
        <v>67</v>
      </c>
      <c r="P863" s="5">
        <v>0</v>
      </c>
      <c r="Q863" t="s">
        <v>1755</v>
      </c>
      <c r="R863" t="s">
        <v>1756</v>
      </c>
      <c r="S863" s="5">
        <v>19.55</v>
      </c>
      <c r="T863" s="3">
        <v>45174</v>
      </c>
      <c r="U863" s="3">
        <v>45182</v>
      </c>
      <c r="V863" t="s">
        <v>63</v>
      </c>
      <c r="W863">
        <f t="shared" si="67"/>
        <v>1838.05</v>
      </c>
      <c r="X863">
        <f t="shared" si="68"/>
        <v>1838.0500000000002</v>
      </c>
      <c r="Y863">
        <f t="shared" si="69"/>
        <v>0</v>
      </c>
      <c r="Z863" s="8" t="str">
        <f t="shared" si="66"/>
        <v>No Discount</v>
      </c>
      <c r="AA863" s="12">
        <f>DATE(YEAR(Table1[[#This Row],[OrderDate]]),MONTH(Table1[[#This Row],[OrderDate]]),1)</f>
        <v>45170</v>
      </c>
    </row>
    <row r="864" spans="1:27" x14ac:dyDescent="0.3">
      <c r="A864" s="3">
        <v>44983</v>
      </c>
      <c r="B864" t="s">
        <v>9</v>
      </c>
      <c r="C864" t="s">
        <v>31</v>
      </c>
      <c r="D864" t="str">
        <f>TRIM(Table1[[#This Row],[Product]])</f>
        <v>Laptop</v>
      </c>
      <c r="E864" t="str">
        <f>PROPER(Table1[[#This Row],[Column1]])</f>
        <v>Laptop</v>
      </c>
      <c r="F864" s="8" t="str">
        <f t="shared" si="65"/>
        <v>Technology</v>
      </c>
      <c r="G864" s="5">
        <v>17</v>
      </c>
      <c r="H864">
        <v>575.5</v>
      </c>
      <c r="I864" t="s">
        <v>81</v>
      </c>
      <c r="J864" t="s">
        <v>65</v>
      </c>
      <c r="K864" s="7">
        <v>0.05</v>
      </c>
      <c r="L864" t="s">
        <v>18</v>
      </c>
      <c r="M864" s="5">
        <v>9294.3249999999989</v>
      </c>
      <c r="N864" t="s">
        <v>85</v>
      </c>
      <c r="O864" t="s">
        <v>60</v>
      </c>
      <c r="P864" s="5">
        <v>0</v>
      </c>
      <c r="Q864" t="s">
        <v>1757</v>
      </c>
      <c r="R864" t="s">
        <v>1758</v>
      </c>
      <c r="S864" s="5">
        <v>13.42</v>
      </c>
      <c r="T864" s="3">
        <v>44983</v>
      </c>
      <c r="U864" s="3">
        <v>44990</v>
      </c>
      <c r="V864" t="s">
        <v>63</v>
      </c>
      <c r="W864">
        <f t="shared" si="67"/>
        <v>8829.6087499999994</v>
      </c>
      <c r="X864">
        <f t="shared" si="68"/>
        <v>9783.5</v>
      </c>
      <c r="Y864">
        <f t="shared" si="69"/>
        <v>953.89125000000058</v>
      </c>
      <c r="Z864" s="8" t="str">
        <f t="shared" si="66"/>
        <v>Medium</v>
      </c>
      <c r="AA864" s="12">
        <f>DATE(YEAR(Table1[[#This Row],[OrderDate]]),MONTH(Table1[[#This Row],[OrderDate]]),1)</f>
        <v>44958</v>
      </c>
    </row>
    <row r="865" spans="1:27" x14ac:dyDescent="0.3">
      <c r="A865" s="3">
        <v>45622</v>
      </c>
      <c r="B865" t="s">
        <v>16</v>
      </c>
      <c r="C865" t="s">
        <v>29</v>
      </c>
      <c r="D865" t="str">
        <f>TRIM(Table1[[#This Row],[Product]])</f>
        <v>Chair</v>
      </c>
      <c r="E865" t="str">
        <f>PROPER(Table1[[#This Row],[Column1]])</f>
        <v>Chair</v>
      </c>
      <c r="F865" s="8" t="str">
        <f t="shared" si="65"/>
        <v>Furniture</v>
      </c>
      <c r="G865" s="5">
        <v>3</v>
      </c>
      <c r="H865">
        <v>229.45</v>
      </c>
      <c r="I865" t="s">
        <v>81</v>
      </c>
      <c r="J865" t="s">
        <v>65</v>
      </c>
      <c r="K865" s="7">
        <v>0.15</v>
      </c>
      <c r="L865" t="s">
        <v>19</v>
      </c>
      <c r="M865" s="5">
        <v>585.09749999999985</v>
      </c>
      <c r="N865" t="s">
        <v>85</v>
      </c>
      <c r="O865" t="s">
        <v>71</v>
      </c>
      <c r="P865" s="5">
        <v>1</v>
      </c>
      <c r="Q865" t="s">
        <v>1759</v>
      </c>
      <c r="R865" t="s">
        <v>1760</v>
      </c>
      <c r="S865" s="5">
        <v>19.809999999999999</v>
      </c>
      <c r="T865" s="3">
        <v>45622</v>
      </c>
      <c r="U865" s="3">
        <v>45625</v>
      </c>
      <c r="V865" t="s">
        <v>95</v>
      </c>
      <c r="W865">
        <f t="shared" si="67"/>
        <v>497.33287499999989</v>
      </c>
      <c r="X865">
        <f t="shared" si="68"/>
        <v>688.34999999999991</v>
      </c>
      <c r="Y865">
        <f t="shared" si="69"/>
        <v>191.01712500000002</v>
      </c>
      <c r="Z865" s="8" t="str">
        <f t="shared" si="66"/>
        <v>High</v>
      </c>
      <c r="AA865" s="12">
        <f>DATE(YEAR(Table1[[#This Row],[OrderDate]]),MONTH(Table1[[#This Row],[OrderDate]]),1)</f>
        <v>45597</v>
      </c>
    </row>
    <row r="866" spans="1:27" x14ac:dyDescent="0.3">
      <c r="A866" s="3">
        <v>45579</v>
      </c>
      <c r="B866" t="s">
        <v>7</v>
      </c>
      <c r="C866" t="s">
        <v>29</v>
      </c>
      <c r="D866" t="str">
        <f>TRIM(Table1[[#This Row],[Product]])</f>
        <v>Chair</v>
      </c>
      <c r="E866" t="str">
        <f>PROPER(Table1[[#This Row],[Column1]])</f>
        <v>Chair</v>
      </c>
      <c r="F866" s="8" t="str">
        <f t="shared" si="65"/>
        <v>Furniture</v>
      </c>
      <c r="G866" s="5">
        <v>3</v>
      </c>
      <c r="H866">
        <v>391.63</v>
      </c>
      <c r="I866" t="s">
        <v>78</v>
      </c>
      <c r="J866" t="s">
        <v>65</v>
      </c>
      <c r="K866" s="7">
        <v>0</v>
      </c>
      <c r="L866" t="s">
        <v>27</v>
      </c>
      <c r="M866" s="5">
        <v>1174.8900000000001</v>
      </c>
      <c r="N866" t="s">
        <v>85</v>
      </c>
      <c r="P866" s="5">
        <v>1</v>
      </c>
      <c r="Q866" t="s">
        <v>1761</v>
      </c>
      <c r="R866" t="s">
        <v>1762</v>
      </c>
      <c r="S866" s="5">
        <v>25.36</v>
      </c>
      <c r="T866" s="3">
        <v>45579</v>
      </c>
      <c r="U866" s="3">
        <v>45582</v>
      </c>
      <c r="V866" t="s">
        <v>77</v>
      </c>
      <c r="W866">
        <f t="shared" si="67"/>
        <v>1174.8900000000001</v>
      </c>
      <c r="X866">
        <f t="shared" si="68"/>
        <v>1174.8899999999999</v>
      </c>
      <c r="Y866">
        <f t="shared" si="69"/>
        <v>0</v>
      </c>
      <c r="Z866" s="8" t="str">
        <f t="shared" si="66"/>
        <v>No Discount</v>
      </c>
      <c r="AA866" s="12">
        <f>DATE(YEAR(Table1[[#This Row],[OrderDate]]),MONTH(Table1[[#This Row],[OrderDate]]),1)</f>
        <v>45566</v>
      </c>
    </row>
    <row r="867" spans="1:27" x14ac:dyDescent="0.3">
      <c r="A867" s="3">
        <v>45075</v>
      </c>
      <c r="B867" t="s">
        <v>7</v>
      </c>
      <c r="C867" t="s">
        <v>31</v>
      </c>
      <c r="D867" t="str">
        <f>TRIM(Table1[[#This Row],[Product]])</f>
        <v>Laptop</v>
      </c>
      <c r="E867" t="str">
        <f>PROPER(Table1[[#This Row],[Column1]])</f>
        <v>Laptop</v>
      </c>
      <c r="F867" s="8" t="str">
        <f t="shared" si="65"/>
        <v>Technology</v>
      </c>
      <c r="G867" s="5">
        <v>15</v>
      </c>
      <c r="H867">
        <v>67.349999999999994</v>
      </c>
      <c r="I867" t="s">
        <v>81</v>
      </c>
      <c r="J867" t="s">
        <v>58</v>
      </c>
      <c r="K867" s="7">
        <v>0.1</v>
      </c>
      <c r="L867" t="s">
        <v>23</v>
      </c>
      <c r="M867" s="5">
        <v>909.22499999999991</v>
      </c>
      <c r="N867" t="s">
        <v>59</v>
      </c>
      <c r="O867" t="s">
        <v>60</v>
      </c>
      <c r="P867" s="5">
        <v>0</v>
      </c>
      <c r="Q867" t="s">
        <v>1763</v>
      </c>
      <c r="R867" t="s">
        <v>1764</v>
      </c>
      <c r="S867" s="5">
        <v>24.85</v>
      </c>
      <c r="T867" s="3">
        <v>45075</v>
      </c>
      <c r="U867" s="3">
        <v>45080</v>
      </c>
      <c r="V867" t="s">
        <v>77</v>
      </c>
      <c r="W867">
        <f t="shared" si="67"/>
        <v>818.3024999999999</v>
      </c>
      <c r="X867">
        <f t="shared" si="68"/>
        <v>1010.2499999999999</v>
      </c>
      <c r="Y867">
        <f t="shared" si="69"/>
        <v>191.94749999999999</v>
      </c>
      <c r="Z867" s="8" t="str">
        <f t="shared" si="66"/>
        <v>Medium</v>
      </c>
      <c r="AA867" s="12">
        <f>DATE(YEAR(Table1[[#This Row],[OrderDate]]),MONTH(Table1[[#This Row],[OrderDate]]),1)</f>
        <v>45047</v>
      </c>
    </row>
    <row r="868" spans="1:27" x14ac:dyDescent="0.3">
      <c r="A868" s="3">
        <v>45373</v>
      </c>
      <c r="B868" t="s">
        <v>7</v>
      </c>
      <c r="C868" t="s">
        <v>31</v>
      </c>
      <c r="D868" t="str">
        <f>TRIM(Table1[[#This Row],[Product]])</f>
        <v>Laptop</v>
      </c>
      <c r="E868" t="str">
        <f>PROPER(Table1[[#This Row],[Column1]])</f>
        <v>Laptop</v>
      </c>
      <c r="F868" s="8" t="str">
        <f t="shared" si="65"/>
        <v>Technology</v>
      </c>
      <c r="G868" s="5">
        <v>6</v>
      </c>
      <c r="H868">
        <v>453.86</v>
      </c>
      <c r="I868" t="s">
        <v>57</v>
      </c>
      <c r="J868" t="s">
        <v>65</v>
      </c>
      <c r="K868" s="7">
        <v>0.15</v>
      </c>
      <c r="L868" t="s">
        <v>18</v>
      </c>
      <c r="M868" s="5">
        <v>2314.6860000000001</v>
      </c>
      <c r="N868" t="s">
        <v>82</v>
      </c>
      <c r="P868" s="5">
        <v>0</v>
      </c>
      <c r="Q868" t="s">
        <v>1765</v>
      </c>
      <c r="R868" t="s">
        <v>1766</v>
      </c>
      <c r="S868" s="5">
        <v>45.32</v>
      </c>
      <c r="T868" s="3">
        <v>45373</v>
      </c>
      <c r="U868" s="3">
        <v>45382</v>
      </c>
      <c r="V868" t="s">
        <v>77</v>
      </c>
      <c r="W868">
        <f t="shared" si="67"/>
        <v>1967.4831000000001</v>
      </c>
      <c r="X868">
        <f t="shared" si="68"/>
        <v>2723.16</v>
      </c>
      <c r="Y868">
        <f t="shared" si="69"/>
        <v>755.6768999999997</v>
      </c>
      <c r="Z868" s="8" t="str">
        <f t="shared" si="66"/>
        <v>High</v>
      </c>
      <c r="AA868" s="12">
        <f>DATE(YEAR(Table1[[#This Row],[OrderDate]]),MONTH(Table1[[#This Row],[OrderDate]]),1)</f>
        <v>45352</v>
      </c>
    </row>
    <row r="869" spans="1:27" x14ac:dyDescent="0.3">
      <c r="A869" s="3">
        <v>45038</v>
      </c>
      <c r="B869" t="s">
        <v>13</v>
      </c>
      <c r="C869" t="s">
        <v>35</v>
      </c>
      <c r="D869" t="str">
        <f>TRIM(Table1[[#This Row],[Product]])</f>
        <v>Tablet</v>
      </c>
      <c r="E869" t="str">
        <f>PROPER(Table1[[#This Row],[Column1]])</f>
        <v>Tablet</v>
      </c>
      <c r="F869" s="8" t="str">
        <f t="shared" si="65"/>
        <v>Technology</v>
      </c>
      <c r="G869" s="5">
        <v>19</v>
      </c>
      <c r="H869">
        <v>537.70000000000005</v>
      </c>
      <c r="I869" t="s">
        <v>81</v>
      </c>
      <c r="J869" t="s">
        <v>58</v>
      </c>
      <c r="K869" s="7">
        <v>0</v>
      </c>
      <c r="L869" t="s">
        <v>19</v>
      </c>
      <c r="M869" s="5">
        <v>10216.299999999999</v>
      </c>
      <c r="N869" t="s">
        <v>59</v>
      </c>
      <c r="O869" t="s">
        <v>67</v>
      </c>
      <c r="P869" s="5">
        <v>0</v>
      </c>
      <c r="Q869" t="s">
        <v>1767</v>
      </c>
      <c r="R869" t="s">
        <v>1768</v>
      </c>
      <c r="S869" s="5">
        <v>45.83</v>
      </c>
      <c r="T869" s="3">
        <v>45038</v>
      </c>
      <c r="U869" s="3">
        <v>45048</v>
      </c>
      <c r="V869" t="s">
        <v>70</v>
      </c>
      <c r="W869">
        <f t="shared" si="67"/>
        <v>10216.299999999999</v>
      </c>
      <c r="X869">
        <f t="shared" si="68"/>
        <v>10216.300000000001</v>
      </c>
      <c r="Y869">
        <f t="shared" si="69"/>
        <v>0</v>
      </c>
      <c r="Z869" s="8" t="str">
        <f t="shared" si="66"/>
        <v>No Discount</v>
      </c>
      <c r="AA869" s="12">
        <f>DATE(YEAR(Table1[[#This Row],[OrderDate]]),MONTH(Table1[[#This Row],[OrderDate]]),1)</f>
        <v>45017</v>
      </c>
    </row>
    <row r="870" spans="1:27" x14ac:dyDescent="0.3">
      <c r="A870" s="3">
        <v>45814</v>
      </c>
      <c r="B870" t="s">
        <v>11</v>
      </c>
      <c r="C870" t="s">
        <v>33</v>
      </c>
      <c r="D870" t="str">
        <f>TRIM(Table1[[#This Row],[Product]])</f>
        <v>Phone</v>
      </c>
      <c r="E870" t="str">
        <f>PROPER(Table1[[#This Row],[Column1]])</f>
        <v>Phone</v>
      </c>
      <c r="F870" s="8" t="str">
        <f t="shared" si="65"/>
        <v>Technology</v>
      </c>
      <c r="G870" s="5">
        <v>5</v>
      </c>
      <c r="H870">
        <v>32.56</v>
      </c>
      <c r="I870" t="s">
        <v>78</v>
      </c>
      <c r="J870" t="s">
        <v>65</v>
      </c>
      <c r="K870" s="7">
        <v>0.05</v>
      </c>
      <c r="L870" t="s">
        <v>23</v>
      </c>
      <c r="M870" s="5">
        <v>154.66</v>
      </c>
      <c r="N870" t="s">
        <v>88</v>
      </c>
      <c r="O870" t="s">
        <v>60</v>
      </c>
      <c r="P870" s="5">
        <v>0</v>
      </c>
      <c r="Q870" t="s">
        <v>1769</v>
      </c>
      <c r="R870" t="s">
        <v>1770</v>
      </c>
      <c r="S870" s="5">
        <v>46.73</v>
      </c>
      <c r="T870" s="3">
        <v>45814</v>
      </c>
      <c r="U870" s="3">
        <v>45820</v>
      </c>
      <c r="V870" t="s">
        <v>74</v>
      </c>
      <c r="W870">
        <f t="shared" si="67"/>
        <v>146.92699999999999</v>
      </c>
      <c r="X870">
        <f t="shared" si="68"/>
        <v>162.80000000000001</v>
      </c>
      <c r="Y870">
        <f t="shared" si="69"/>
        <v>15.873000000000019</v>
      </c>
      <c r="Z870" s="8" t="str">
        <f t="shared" si="66"/>
        <v>Medium</v>
      </c>
      <c r="AA870" s="12">
        <f>DATE(YEAR(Table1[[#This Row],[OrderDate]]),MONTH(Table1[[#This Row],[OrderDate]]),1)</f>
        <v>45809</v>
      </c>
    </row>
    <row r="871" spans="1:27" x14ac:dyDescent="0.3">
      <c r="A871" s="3">
        <v>44951</v>
      </c>
      <c r="B871" t="s">
        <v>7</v>
      </c>
      <c r="C871" t="s">
        <v>31</v>
      </c>
      <c r="D871" t="str">
        <f>TRIM(Table1[[#This Row],[Product]])</f>
        <v>Laptop</v>
      </c>
      <c r="E871" t="str">
        <f>PROPER(Table1[[#This Row],[Column1]])</f>
        <v>Laptop</v>
      </c>
      <c r="F871" s="8" t="str">
        <f t="shared" si="65"/>
        <v>Technology</v>
      </c>
      <c r="G871" s="5">
        <v>2</v>
      </c>
      <c r="H871">
        <v>196.7</v>
      </c>
      <c r="I871" t="s">
        <v>64</v>
      </c>
      <c r="J871" t="s">
        <v>65</v>
      </c>
      <c r="K871" s="7">
        <v>0</v>
      </c>
      <c r="L871" t="s">
        <v>27</v>
      </c>
      <c r="M871" s="5">
        <v>393.4</v>
      </c>
      <c r="N871" t="s">
        <v>59</v>
      </c>
      <c r="O871" t="s">
        <v>60</v>
      </c>
      <c r="P871" s="5">
        <v>0</v>
      </c>
      <c r="Q871" t="s">
        <v>1771</v>
      </c>
      <c r="R871" t="s">
        <v>1772</v>
      </c>
      <c r="S871" s="5">
        <v>35.840000000000003</v>
      </c>
      <c r="T871" s="3">
        <v>44951</v>
      </c>
      <c r="U871" s="3">
        <v>44955</v>
      </c>
      <c r="V871" t="s">
        <v>77</v>
      </c>
      <c r="W871">
        <f t="shared" si="67"/>
        <v>393.4</v>
      </c>
      <c r="X871">
        <f t="shared" si="68"/>
        <v>393.4</v>
      </c>
      <c r="Y871">
        <f t="shared" si="69"/>
        <v>0</v>
      </c>
      <c r="Z871" s="8" t="str">
        <f t="shared" si="66"/>
        <v>No Discount</v>
      </c>
      <c r="AA871" s="12">
        <f>DATE(YEAR(Table1[[#This Row],[OrderDate]]),MONTH(Table1[[#This Row],[OrderDate]]),1)</f>
        <v>44927</v>
      </c>
    </row>
    <row r="872" spans="1:27" x14ac:dyDescent="0.3">
      <c r="A872" s="3">
        <v>45177</v>
      </c>
      <c r="B872" t="s">
        <v>13</v>
      </c>
      <c r="C872" t="s">
        <v>33</v>
      </c>
      <c r="D872" t="str">
        <f>TRIM(Table1[[#This Row],[Product]])</f>
        <v>Phone</v>
      </c>
      <c r="E872" t="str">
        <f>PROPER(Table1[[#This Row],[Column1]])</f>
        <v>Phone</v>
      </c>
      <c r="F872" s="8" t="str">
        <f t="shared" si="65"/>
        <v>Technology</v>
      </c>
      <c r="G872" s="5">
        <v>12</v>
      </c>
      <c r="H872">
        <v>369.45</v>
      </c>
      <c r="I872" t="s">
        <v>81</v>
      </c>
      <c r="J872" t="s">
        <v>58</v>
      </c>
      <c r="K872" s="7">
        <v>0.1</v>
      </c>
      <c r="L872" t="s">
        <v>27</v>
      </c>
      <c r="M872" s="5">
        <v>3990.06</v>
      </c>
      <c r="N872" t="s">
        <v>82</v>
      </c>
      <c r="O872" t="s">
        <v>71</v>
      </c>
      <c r="P872" s="5">
        <v>1</v>
      </c>
      <c r="Q872" t="s">
        <v>1773</v>
      </c>
      <c r="R872" t="s">
        <v>1152</v>
      </c>
      <c r="S872" s="5">
        <v>44.76</v>
      </c>
      <c r="T872" s="3">
        <v>45177</v>
      </c>
      <c r="U872" s="3">
        <v>45179</v>
      </c>
      <c r="V872" t="s">
        <v>70</v>
      </c>
      <c r="W872">
        <f t="shared" si="67"/>
        <v>3591.0540000000001</v>
      </c>
      <c r="X872">
        <f t="shared" si="68"/>
        <v>4433.3999999999996</v>
      </c>
      <c r="Y872">
        <f t="shared" si="69"/>
        <v>842.34599999999955</v>
      </c>
      <c r="Z872" s="8" t="str">
        <f t="shared" si="66"/>
        <v>Medium</v>
      </c>
      <c r="AA872" s="12">
        <f>DATE(YEAR(Table1[[#This Row],[OrderDate]]),MONTH(Table1[[#This Row],[OrderDate]]),1)</f>
        <v>45170</v>
      </c>
    </row>
    <row r="873" spans="1:27" x14ac:dyDescent="0.3">
      <c r="A873" s="3">
        <v>45569</v>
      </c>
      <c r="B873" t="s">
        <v>9</v>
      </c>
      <c r="C873" t="s">
        <v>35</v>
      </c>
      <c r="D873" t="str">
        <f>TRIM(Table1[[#This Row],[Product]])</f>
        <v>Tablet</v>
      </c>
      <c r="E873" t="str">
        <f>PROPER(Table1[[#This Row],[Column1]])</f>
        <v>Tablet</v>
      </c>
      <c r="F873" s="8" t="str">
        <f t="shared" si="65"/>
        <v>Technology</v>
      </c>
      <c r="G873" s="5">
        <v>12</v>
      </c>
      <c r="H873">
        <v>181.96</v>
      </c>
      <c r="I873" t="s">
        <v>81</v>
      </c>
      <c r="J873" t="s">
        <v>65</v>
      </c>
      <c r="K873" s="7">
        <v>0.15</v>
      </c>
      <c r="L873" t="s">
        <v>25</v>
      </c>
      <c r="M873" s="5">
        <v>1855.992</v>
      </c>
      <c r="N873" t="s">
        <v>66</v>
      </c>
      <c r="O873" t="s">
        <v>71</v>
      </c>
      <c r="P873" s="5">
        <v>0</v>
      </c>
      <c r="Q873" t="s">
        <v>1774</v>
      </c>
      <c r="R873" t="s">
        <v>1775</v>
      </c>
      <c r="S873" s="5">
        <v>25.06</v>
      </c>
      <c r="T873" s="3">
        <v>45569</v>
      </c>
      <c r="U873" s="3">
        <v>45576</v>
      </c>
      <c r="V873" t="s">
        <v>63</v>
      </c>
      <c r="W873">
        <f t="shared" si="67"/>
        <v>1577.5932</v>
      </c>
      <c r="X873">
        <f t="shared" si="68"/>
        <v>2183.52</v>
      </c>
      <c r="Y873">
        <f t="shared" si="69"/>
        <v>605.92679999999996</v>
      </c>
      <c r="Z873" s="8" t="str">
        <f t="shared" si="66"/>
        <v>High</v>
      </c>
      <c r="AA873" s="12">
        <f>DATE(YEAR(Table1[[#This Row],[OrderDate]]),MONTH(Table1[[#This Row],[OrderDate]]),1)</f>
        <v>45566</v>
      </c>
    </row>
    <row r="874" spans="1:27" x14ac:dyDescent="0.3">
      <c r="A874" s="3">
        <v>45753</v>
      </c>
      <c r="B874" t="s">
        <v>9</v>
      </c>
      <c r="C874" t="s">
        <v>30</v>
      </c>
      <c r="D874" t="str">
        <f>TRIM(Table1[[#This Row],[Product]])</f>
        <v>Desk</v>
      </c>
      <c r="E874" t="str">
        <f>PROPER(Table1[[#This Row],[Column1]])</f>
        <v>Desk</v>
      </c>
      <c r="F874" s="8" t="str">
        <f t="shared" si="65"/>
        <v>Furniture</v>
      </c>
      <c r="G874" s="5">
        <v>3</v>
      </c>
      <c r="H874">
        <v>32.07</v>
      </c>
      <c r="I874" t="s">
        <v>81</v>
      </c>
      <c r="J874" t="s">
        <v>65</v>
      </c>
      <c r="K874" s="7">
        <v>0.15</v>
      </c>
      <c r="L874" t="s">
        <v>18</v>
      </c>
      <c r="M874" s="5">
        <v>81.778500000000008</v>
      </c>
      <c r="N874" t="s">
        <v>59</v>
      </c>
      <c r="O874" t="s">
        <v>71</v>
      </c>
      <c r="P874" s="5">
        <v>1</v>
      </c>
      <c r="Q874" t="s">
        <v>1776</v>
      </c>
      <c r="R874" t="s">
        <v>1777</v>
      </c>
      <c r="S874" s="5">
        <v>43.18</v>
      </c>
      <c r="T874" s="3">
        <v>45753</v>
      </c>
      <c r="U874" s="3">
        <v>45755</v>
      </c>
      <c r="V874" t="s">
        <v>63</v>
      </c>
      <c r="W874">
        <f t="shared" si="67"/>
        <v>69.511724999999998</v>
      </c>
      <c r="X874">
        <f t="shared" si="68"/>
        <v>96.210000000000008</v>
      </c>
      <c r="Y874">
        <f t="shared" si="69"/>
        <v>26.69827500000001</v>
      </c>
      <c r="Z874" s="8" t="str">
        <f t="shared" si="66"/>
        <v>High</v>
      </c>
      <c r="AA874" s="12">
        <f>DATE(YEAR(Table1[[#This Row],[OrderDate]]),MONTH(Table1[[#This Row],[OrderDate]]),1)</f>
        <v>45748</v>
      </c>
    </row>
    <row r="875" spans="1:27" x14ac:dyDescent="0.3">
      <c r="A875" s="3">
        <v>45529</v>
      </c>
      <c r="B875" t="s">
        <v>9</v>
      </c>
      <c r="C875" t="s">
        <v>31</v>
      </c>
      <c r="D875" t="str">
        <f>TRIM(Table1[[#This Row],[Product]])</f>
        <v>Laptop</v>
      </c>
      <c r="E875" t="str">
        <f>PROPER(Table1[[#This Row],[Column1]])</f>
        <v>Laptop</v>
      </c>
      <c r="F875" s="8" t="str">
        <f t="shared" si="65"/>
        <v>Technology</v>
      </c>
      <c r="G875" s="5">
        <v>15</v>
      </c>
      <c r="H875">
        <v>39.93</v>
      </c>
      <c r="I875" t="s">
        <v>64</v>
      </c>
      <c r="J875" t="s">
        <v>65</v>
      </c>
      <c r="K875" s="7">
        <v>0.15</v>
      </c>
      <c r="L875" t="s">
        <v>23</v>
      </c>
      <c r="M875" s="5">
        <v>509.10750000000002</v>
      </c>
      <c r="N875" t="s">
        <v>85</v>
      </c>
      <c r="O875" t="s">
        <v>71</v>
      </c>
      <c r="P875" s="5">
        <v>0</v>
      </c>
      <c r="Q875" t="s">
        <v>1778</v>
      </c>
      <c r="R875" t="s">
        <v>1779</v>
      </c>
      <c r="S875" s="5">
        <v>33.44</v>
      </c>
      <c r="T875" s="3">
        <v>45529</v>
      </c>
      <c r="U875" s="3">
        <v>45533</v>
      </c>
      <c r="V875" t="s">
        <v>63</v>
      </c>
      <c r="W875">
        <f t="shared" si="67"/>
        <v>432.74137500000001</v>
      </c>
      <c r="X875">
        <f t="shared" si="68"/>
        <v>598.95000000000005</v>
      </c>
      <c r="Y875">
        <f t="shared" si="69"/>
        <v>166.20862500000004</v>
      </c>
      <c r="Z875" s="8" t="str">
        <f t="shared" si="66"/>
        <v>High</v>
      </c>
      <c r="AA875" s="12">
        <f>DATE(YEAR(Table1[[#This Row],[OrderDate]]),MONTH(Table1[[#This Row],[OrderDate]]),1)</f>
        <v>45505</v>
      </c>
    </row>
    <row r="876" spans="1:27" x14ac:dyDescent="0.3">
      <c r="A876" s="3">
        <v>45357</v>
      </c>
      <c r="B876" t="s">
        <v>11</v>
      </c>
      <c r="C876" t="s">
        <v>33</v>
      </c>
      <c r="D876" t="str">
        <f>TRIM(Table1[[#This Row],[Product]])</f>
        <v>Phone</v>
      </c>
      <c r="E876" t="str">
        <f>PROPER(Table1[[#This Row],[Column1]])</f>
        <v>Phone</v>
      </c>
      <c r="F876" s="8" t="str">
        <f t="shared" si="65"/>
        <v>Technology</v>
      </c>
      <c r="G876" s="5">
        <v>7</v>
      </c>
      <c r="H876">
        <v>374.43</v>
      </c>
      <c r="I876" t="s">
        <v>64</v>
      </c>
      <c r="J876" t="s">
        <v>65</v>
      </c>
      <c r="K876" s="7">
        <v>0.15</v>
      </c>
      <c r="L876" t="s">
        <v>21</v>
      </c>
      <c r="M876" s="5">
        <v>2227.8584999999998</v>
      </c>
      <c r="N876" t="s">
        <v>88</v>
      </c>
      <c r="O876" t="s">
        <v>67</v>
      </c>
      <c r="P876" s="5">
        <v>0</v>
      </c>
      <c r="Q876" t="s">
        <v>1780</v>
      </c>
      <c r="R876" t="s">
        <v>1781</v>
      </c>
      <c r="S876" s="5">
        <v>28.97</v>
      </c>
      <c r="T876" s="3">
        <v>45357</v>
      </c>
      <c r="U876" s="3">
        <v>45363</v>
      </c>
      <c r="V876" t="s">
        <v>74</v>
      </c>
      <c r="W876">
        <f t="shared" si="67"/>
        <v>1893.6797249999997</v>
      </c>
      <c r="X876">
        <f t="shared" si="68"/>
        <v>2621.0100000000002</v>
      </c>
      <c r="Y876">
        <f t="shared" si="69"/>
        <v>727.33027500000048</v>
      </c>
      <c r="Z876" s="8" t="str">
        <f t="shared" si="66"/>
        <v>High</v>
      </c>
      <c r="AA876" s="12">
        <f>DATE(YEAR(Table1[[#This Row],[OrderDate]]),MONTH(Table1[[#This Row],[OrderDate]]),1)</f>
        <v>45352</v>
      </c>
    </row>
    <row r="877" spans="1:27" x14ac:dyDescent="0.3">
      <c r="A877" s="3">
        <v>45008</v>
      </c>
      <c r="B877" t="s">
        <v>9</v>
      </c>
      <c r="C877" t="s">
        <v>34</v>
      </c>
      <c r="D877" t="str">
        <f>TRIM(Table1[[#This Row],[Product]])</f>
        <v>Printer</v>
      </c>
      <c r="E877" t="str">
        <f>PROPER(Table1[[#This Row],[Column1]])</f>
        <v>Printer</v>
      </c>
      <c r="F877" s="8" t="str">
        <f t="shared" si="65"/>
        <v>Office Supplies</v>
      </c>
      <c r="G877" s="5">
        <v>2</v>
      </c>
      <c r="H877">
        <v>101.87</v>
      </c>
      <c r="I877" t="s">
        <v>78</v>
      </c>
      <c r="J877" t="s">
        <v>58</v>
      </c>
      <c r="K877" s="7">
        <v>0</v>
      </c>
      <c r="L877" t="s">
        <v>23</v>
      </c>
      <c r="M877" s="5">
        <v>203.74</v>
      </c>
      <c r="N877" t="s">
        <v>88</v>
      </c>
      <c r="O877" t="s">
        <v>60</v>
      </c>
      <c r="P877" s="5">
        <v>0</v>
      </c>
      <c r="Q877" t="s">
        <v>1782</v>
      </c>
      <c r="R877" t="s">
        <v>1783</v>
      </c>
      <c r="S877" s="5">
        <v>28.63</v>
      </c>
      <c r="T877" s="3">
        <v>45008</v>
      </c>
      <c r="U877" s="3">
        <v>45011</v>
      </c>
      <c r="V877" t="s">
        <v>63</v>
      </c>
      <c r="W877">
        <f t="shared" si="67"/>
        <v>203.74</v>
      </c>
      <c r="X877">
        <f t="shared" si="68"/>
        <v>203.74</v>
      </c>
      <c r="Y877">
        <f t="shared" si="69"/>
        <v>0</v>
      </c>
      <c r="Z877" s="8" t="str">
        <f t="shared" si="66"/>
        <v>No Discount</v>
      </c>
      <c r="AA877" s="12">
        <f>DATE(YEAR(Table1[[#This Row],[OrderDate]]),MONTH(Table1[[#This Row],[OrderDate]]),1)</f>
        <v>44986</v>
      </c>
    </row>
    <row r="878" spans="1:27" x14ac:dyDescent="0.3">
      <c r="A878" s="3">
        <v>45304</v>
      </c>
      <c r="B878" t="s">
        <v>7</v>
      </c>
      <c r="C878" t="s">
        <v>35</v>
      </c>
      <c r="D878" t="str">
        <f>TRIM(Table1[[#This Row],[Product]])</f>
        <v>Tablet</v>
      </c>
      <c r="E878" t="str">
        <f>PROPER(Table1[[#This Row],[Column1]])</f>
        <v>Tablet</v>
      </c>
      <c r="F878" s="8" t="str">
        <f t="shared" si="65"/>
        <v>Technology</v>
      </c>
      <c r="G878" s="5">
        <v>13</v>
      </c>
      <c r="H878">
        <v>343.45</v>
      </c>
      <c r="I878" t="s">
        <v>81</v>
      </c>
      <c r="J878" t="s">
        <v>58</v>
      </c>
      <c r="K878" s="7">
        <v>0.05</v>
      </c>
      <c r="L878" t="s">
        <v>18</v>
      </c>
      <c r="M878" s="5">
        <v>4241.6074999999992</v>
      </c>
      <c r="N878" t="s">
        <v>66</v>
      </c>
      <c r="O878" t="s">
        <v>67</v>
      </c>
      <c r="P878" s="5">
        <v>0</v>
      </c>
      <c r="Q878" t="s">
        <v>1784</v>
      </c>
      <c r="R878" t="s">
        <v>1785</v>
      </c>
      <c r="S878" s="5">
        <v>27.26</v>
      </c>
      <c r="T878" s="3">
        <v>45304</v>
      </c>
      <c r="U878" s="3">
        <v>45308</v>
      </c>
      <c r="V878" t="s">
        <v>77</v>
      </c>
      <c r="W878">
        <f t="shared" si="67"/>
        <v>4029.5271249999992</v>
      </c>
      <c r="X878">
        <f t="shared" si="68"/>
        <v>4464.8499999999995</v>
      </c>
      <c r="Y878">
        <f t="shared" si="69"/>
        <v>435.32287500000029</v>
      </c>
      <c r="Z878" s="8" t="str">
        <f t="shared" si="66"/>
        <v>Medium</v>
      </c>
      <c r="AA878" s="12">
        <f>DATE(YEAR(Table1[[#This Row],[OrderDate]]),MONTH(Table1[[#This Row],[OrderDate]]),1)</f>
        <v>45292</v>
      </c>
    </row>
    <row r="879" spans="1:27" x14ac:dyDescent="0.3">
      <c r="A879" s="3">
        <v>45125</v>
      </c>
      <c r="B879" t="s">
        <v>7</v>
      </c>
      <c r="C879" t="s">
        <v>34</v>
      </c>
      <c r="D879" t="str">
        <f>TRIM(Table1[[#This Row],[Product]])</f>
        <v>Printer</v>
      </c>
      <c r="E879" t="str">
        <f>PROPER(Table1[[#This Row],[Column1]])</f>
        <v>Printer</v>
      </c>
      <c r="F879" s="8" t="str">
        <f t="shared" si="65"/>
        <v>Office Supplies</v>
      </c>
      <c r="G879" s="5">
        <v>15</v>
      </c>
      <c r="H879">
        <v>144.11000000000001</v>
      </c>
      <c r="I879" t="s">
        <v>78</v>
      </c>
      <c r="J879" t="s">
        <v>65</v>
      </c>
      <c r="K879" s="7">
        <v>0</v>
      </c>
      <c r="L879" t="s">
        <v>27</v>
      </c>
      <c r="M879" s="5">
        <v>2161.65</v>
      </c>
      <c r="N879" t="s">
        <v>66</v>
      </c>
      <c r="P879" s="5">
        <v>0</v>
      </c>
      <c r="Q879" t="s">
        <v>1786</v>
      </c>
      <c r="R879" t="s">
        <v>1787</v>
      </c>
      <c r="S879" s="5">
        <v>28.51</v>
      </c>
      <c r="T879" s="3">
        <v>45125</v>
      </c>
      <c r="U879" s="3">
        <v>45131</v>
      </c>
      <c r="V879" t="s">
        <v>77</v>
      </c>
      <c r="W879">
        <f t="shared" si="67"/>
        <v>2161.65</v>
      </c>
      <c r="X879">
        <f t="shared" si="68"/>
        <v>2161.65</v>
      </c>
      <c r="Y879">
        <f t="shared" si="69"/>
        <v>0</v>
      </c>
      <c r="Z879" s="8" t="str">
        <f t="shared" si="66"/>
        <v>No Discount</v>
      </c>
      <c r="AA879" s="12">
        <f>DATE(YEAR(Table1[[#This Row],[OrderDate]]),MONTH(Table1[[#This Row],[OrderDate]]),1)</f>
        <v>45108</v>
      </c>
    </row>
    <row r="880" spans="1:27" x14ac:dyDescent="0.3">
      <c r="A880" s="3">
        <v>45711</v>
      </c>
      <c r="B880" t="s">
        <v>16</v>
      </c>
      <c r="C880" t="s">
        <v>29</v>
      </c>
      <c r="D880" t="str">
        <f>TRIM(Table1[[#This Row],[Product]])</f>
        <v>Chair</v>
      </c>
      <c r="E880" t="str">
        <f>PROPER(Table1[[#This Row],[Column1]])</f>
        <v>Chair</v>
      </c>
      <c r="F880" s="8" t="str">
        <f t="shared" si="65"/>
        <v>Furniture</v>
      </c>
      <c r="G880" s="5">
        <v>18</v>
      </c>
      <c r="H880">
        <v>403.68</v>
      </c>
      <c r="I880" t="s">
        <v>64</v>
      </c>
      <c r="J880" t="s">
        <v>65</v>
      </c>
      <c r="K880" s="7">
        <v>0.15</v>
      </c>
      <c r="L880" t="s">
        <v>21</v>
      </c>
      <c r="M880" s="5">
        <v>6176.3040000000001</v>
      </c>
      <c r="N880" t="s">
        <v>88</v>
      </c>
      <c r="O880" t="s">
        <v>60</v>
      </c>
      <c r="P880" s="5">
        <v>0</v>
      </c>
      <c r="Q880" t="s">
        <v>1788</v>
      </c>
      <c r="R880" t="s">
        <v>1789</v>
      </c>
      <c r="S880" s="5">
        <v>13.09</v>
      </c>
      <c r="T880" s="3">
        <v>45711</v>
      </c>
      <c r="U880" s="3">
        <v>45720</v>
      </c>
      <c r="V880" t="s">
        <v>95</v>
      </c>
      <c r="W880">
        <f t="shared" si="67"/>
        <v>5249.8584000000001</v>
      </c>
      <c r="X880">
        <f t="shared" si="68"/>
        <v>7266.24</v>
      </c>
      <c r="Y880">
        <f t="shared" si="69"/>
        <v>2016.3815999999997</v>
      </c>
      <c r="Z880" s="8" t="str">
        <f t="shared" si="66"/>
        <v>High</v>
      </c>
      <c r="AA880" s="12">
        <f>DATE(YEAR(Table1[[#This Row],[OrderDate]]),MONTH(Table1[[#This Row],[OrderDate]]),1)</f>
        <v>45689</v>
      </c>
    </row>
    <row r="881" spans="1:27" x14ac:dyDescent="0.3">
      <c r="A881" s="3">
        <v>44979</v>
      </c>
      <c r="B881" t="s">
        <v>9</v>
      </c>
      <c r="C881" t="s">
        <v>34</v>
      </c>
      <c r="D881" t="str">
        <f>TRIM(Table1[[#This Row],[Product]])</f>
        <v>Printer</v>
      </c>
      <c r="E881" t="str">
        <f>PROPER(Table1[[#This Row],[Column1]])</f>
        <v>Printer</v>
      </c>
      <c r="F881" s="8" t="str">
        <f t="shared" si="65"/>
        <v>Office Supplies</v>
      </c>
      <c r="G881" s="5">
        <v>14</v>
      </c>
      <c r="H881">
        <v>346.57</v>
      </c>
      <c r="I881" t="s">
        <v>57</v>
      </c>
      <c r="J881" t="s">
        <v>65</v>
      </c>
      <c r="K881" s="7">
        <v>0.1</v>
      </c>
      <c r="L881" t="s">
        <v>21</v>
      </c>
      <c r="M881" s="5">
        <v>4366.7820000000002</v>
      </c>
      <c r="N881" t="s">
        <v>85</v>
      </c>
      <c r="O881" t="s">
        <v>60</v>
      </c>
      <c r="P881" s="5">
        <v>0</v>
      </c>
      <c r="Q881" t="s">
        <v>1790</v>
      </c>
      <c r="R881" t="s">
        <v>1791</v>
      </c>
      <c r="S881" s="5">
        <v>36.83</v>
      </c>
      <c r="T881" s="3">
        <v>44979</v>
      </c>
      <c r="U881" s="3">
        <v>44987</v>
      </c>
      <c r="V881" t="s">
        <v>63</v>
      </c>
      <c r="W881">
        <f t="shared" si="67"/>
        <v>3930.1038000000003</v>
      </c>
      <c r="X881">
        <f t="shared" si="68"/>
        <v>4851.9799999999996</v>
      </c>
      <c r="Y881">
        <f t="shared" si="69"/>
        <v>921.87619999999924</v>
      </c>
      <c r="Z881" s="8" t="str">
        <f t="shared" si="66"/>
        <v>Medium</v>
      </c>
      <c r="AA881" s="12">
        <f>DATE(YEAR(Table1[[#This Row],[OrderDate]]),MONTH(Table1[[#This Row],[OrderDate]]),1)</f>
        <v>44958</v>
      </c>
    </row>
    <row r="882" spans="1:27" x14ac:dyDescent="0.3">
      <c r="A882" s="3">
        <v>45583</v>
      </c>
      <c r="B882" t="s">
        <v>11</v>
      </c>
      <c r="C882" t="s">
        <v>34</v>
      </c>
      <c r="D882" t="str">
        <f>TRIM(Table1[[#This Row],[Product]])</f>
        <v>Printer</v>
      </c>
      <c r="E882" t="str">
        <f>PROPER(Table1[[#This Row],[Column1]])</f>
        <v>Printer</v>
      </c>
      <c r="F882" s="8" t="str">
        <f t="shared" si="65"/>
        <v>Office Supplies</v>
      </c>
      <c r="G882" s="5">
        <v>7</v>
      </c>
      <c r="H882">
        <v>392.79</v>
      </c>
      <c r="I882" t="s">
        <v>78</v>
      </c>
      <c r="J882" t="s">
        <v>58</v>
      </c>
      <c r="K882" s="7">
        <v>0</v>
      </c>
      <c r="L882" t="s">
        <v>25</v>
      </c>
      <c r="M882" s="5">
        <v>2749.53</v>
      </c>
      <c r="N882" t="s">
        <v>66</v>
      </c>
      <c r="O882" t="s">
        <v>71</v>
      </c>
      <c r="P882" s="5">
        <v>0</v>
      </c>
      <c r="Q882" t="s">
        <v>1792</v>
      </c>
      <c r="R882" t="s">
        <v>1793</v>
      </c>
      <c r="S882" s="5">
        <v>45.85</v>
      </c>
      <c r="T882" s="3">
        <v>45583</v>
      </c>
      <c r="U882" s="3">
        <v>45593</v>
      </c>
      <c r="V882" t="s">
        <v>74</v>
      </c>
      <c r="W882">
        <f t="shared" si="67"/>
        <v>2749.53</v>
      </c>
      <c r="X882">
        <f t="shared" si="68"/>
        <v>2749.53</v>
      </c>
      <c r="Y882">
        <f t="shared" si="69"/>
        <v>0</v>
      </c>
      <c r="Z882" s="8" t="str">
        <f t="shared" si="66"/>
        <v>No Discount</v>
      </c>
      <c r="AA882" s="12">
        <f>DATE(YEAR(Table1[[#This Row],[OrderDate]]),MONTH(Table1[[#This Row],[OrderDate]]),1)</f>
        <v>45566</v>
      </c>
    </row>
    <row r="883" spans="1:27" x14ac:dyDescent="0.3">
      <c r="A883" s="3">
        <v>45225</v>
      </c>
      <c r="B883" t="s">
        <v>16</v>
      </c>
      <c r="C883" t="s">
        <v>34</v>
      </c>
      <c r="D883" t="str">
        <f>TRIM(Table1[[#This Row],[Product]])</f>
        <v>Printer</v>
      </c>
      <c r="E883" t="str">
        <f>PROPER(Table1[[#This Row],[Column1]])</f>
        <v>Printer</v>
      </c>
      <c r="F883" s="8" t="str">
        <f t="shared" si="65"/>
        <v>Office Supplies</v>
      </c>
      <c r="G883" s="5">
        <v>16</v>
      </c>
      <c r="H883">
        <v>70.83</v>
      </c>
      <c r="I883" t="s">
        <v>57</v>
      </c>
      <c r="J883" t="s">
        <v>58</v>
      </c>
      <c r="K883" s="7">
        <v>0.05</v>
      </c>
      <c r="L883" t="s">
        <v>21</v>
      </c>
      <c r="M883" s="5">
        <v>1076.616</v>
      </c>
      <c r="N883" t="s">
        <v>66</v>
      </c>
      <c r="P883" s="5">
        <v>0</v>
      </c>
      <c r="Q883" t="s">
        <v>1794</v>
      </c>
      <c r="R883" t="s">
        <v>1795</v>
      </c>
      <c r="S883" s="5">
        <v>5.05</v>
      </c>
      <c r="T883" s="3">
        <v>45225</v>
      </c>
      <c r="U883" s="3">
        <v>45230</v>
      </c>
      <c r="V883" t="s">
        <v>95</v>
      </c>
      <c r="W883">
        <f t="shared" si="67"/>
        <v>1022.7851999999999</v>
      </c>
      <c r="X883">
        <f t="shared" si="68"/>
        <v>1133.28</v>
      </c>
      <c r="Y883">
        <f t="shared" si="69"/>
        <v>110.49480000000005</v>
      </c>
      <c r="Z883" s="8" t="str">
        <f t="shared" si="66"/>
        <v>Medium</v>
      </c>
      <c r="AA883" s="12">
        <f>DATE(YEAR(Table1[[#This Row],[OrderDate]]),MONTH(Table1[[#This Row],[OrderDate]]),1)</f>
        <v>45200</v>
      </c>
    </row>
    <row r="884" spans="1:27" x14ac:dyDescent="0.3">
      <c r="A884" s="3">
        <v>44936</v>
      </c>
      <c r="B884" t="s">
        <v>7</v>
      </c>
      <c r="C884" t="s">
        <v>32</v>
      </c>
      <c r="D884" t="str">
        <f>TRIM(Table1[[#This Row],[Product]])</f>
        <v>Monitor</v>
      </c>
      <c r="E884" t="str">
        <f>PROPER(Table1[[#This Row],[Column1]])</f>
        <v>Monitor</v>
      </c>
      <c r="F884" s="8" t="str">
        <f t="shared" si="65"/>
        <v>Technology</v>
      </c>
      <c r="G884" s="5">
        <v>20</v>
      </c>
      <c r="H884">
        <v>274.37</v>
      </c>
      <c r="I884" t="s">
        <v>57</v>
      </c>
      <c r="J884" t="s">
        <v>65</v>
      </c>
      <c r="K884" s="7">
        <v>0.1</v>
      </c>
      <c r="L884" t="s">
        <v>25</v>
      </c>
      <c r="M884" s="5">
        <v>4938.66</v>
      </c>
      <c r="N884" t="s">
        <v>66</v>
      </c>
      <c r="O884" t="s">
        <v>71</v>
      </c>
      <c r="P884" s="5">
        <v>0</v>
      </c>
      <c r="Q884" t="s">
        <v>1796</v>
      </c>
      <c r="R884" t="s">
        <v>628</v>
      </c>
      <c r="S884" s="5">
        <v>12.28</v>
      </c>
      <c r="T884" s="3">
        <v>44936</v>
      </c>
      <c r="U884" s="3">
        <v>44940</v>
      </c>
      <c r="V884" t="s">
        <v>77</v>
      </c>
      <c r="W884">
        <f t="shared" si="67"/>
        <v>4444.7939999999999</v>
      </c>
      <c r="X884">
        <f t="shared" si="68"/>
        <v>5487.4</v>
      </c>
      <c r="Y884">
        <f t="shared" si="69"/>
        <v>1042.6059999999998</v>
      </c>
      <c r="Z884" s="8" t="str">
        <f t="shared" si="66"/>
        <v>Medium</v>
      </c>
      <c r="AA884" s="12">
        <f>DATE(YEAR(Table1[[#This Row],[OrderDate]]),MONTH(Table1[[#This Row],[OrderDate]]),1)</f>
        <v>44927</v>
      </c>
    </row>
    <row r="885" spans="1:27" x14ac:dyDescent="0.3">
      <c r="A885" s="3">
        <v>45370</v>
      </c>
      <c r="B885" t="s">
        <v>7</v>
      </c>
      <c r="C885" t="s">
        <v>30</v>
      </c>
      <c r="D885" t="str">
        <f>TRIM(Table1[[#This Row],[Product]])</f>
        <v>Desk</v>
      </c>
      <c r="E885" t="str">
        <f>PROPER(Table1[[#This Row],[Column1]])</f>
        <v>Desk</v>
      </c>
      <c r="F885" s="8" t="str">
        <f t="shared" si="65"/>
        <v>Furniture</v>
      </c>
      <c r="G885" s="5">
        <v>10</v>
      </c>
      <c r="H885">
        <v>19.73</v>
      </c>
      <c r="I885" t="s">
        <v>81</v>
      </c>
      <c r="J885" t="s">
        <v>65</v>
      </c>
      <c r="K885" s="7">
        <v>0.1</v>
      </c>
      <c r="L885" t="s">
        <v>21</v>
      </c>
      <c r="M885" s="5">
        <v>177.57</v>
      </c>
      <c r="N885" t="s">
        <v>85</v>
      </c>
      <c r="P885" s="5">
        <v>0</v>
      </c>
      <c r="Q885" t="s">
        <v>1797</v>
      </c>
      <c r="R885" t="s">
        <v>1798</v>
      </c>
      <c r="S885" s="5">
        <v>16.059999999999999</v>
      </c>
      <c r="T885" s="3">
        <v>45370</v>
      </c>
      <c r="U885" s="3">
        <v>45373</v>
      </c>
      <c r="V885" t="s">
        <v>77</v>
      </c>
      <c r="W885">
        <f t="shared" si="67"/>
        <v>159.81299999999999</v>
      </c>
      <c r="X885">
        <f t="shared" si="68"/>
        <v>197.3</v>
      </c>
      <c r="Y885">
        <f t="shared" si="69"/>
        <v>37.487000000000023</v>
      </c>
      <c r="Z885" s="8" t="str">
        <f t="shared" si="66"/>
        <v>Medium</v>
      </c>
      <c r="AA885" s="12">
        <f>DATE(YEAR(Table1[[#This Row],[OrderDate]]),MONTH(Table1[[#This Row],[OrderDate]]),1)</f>
        <v>45352</v>
      </c>
    </row>
    <row r="886" spans="1:27" x14ac:dyDescent="0.3">
      <c r="A886" s="3">
        <v>45280</v>
      </c>
      <c r="B886" t="s">
        <v>7</v>
      </c>
      <c r="C886" t="s">
        <v>34</v>
      </c>
      <c r="D886" t="str">
        <f>TRIM(Table1[[#This Row],[Product]])</f>
        <v>Printer</v>
      </c>
      <c r="E886" t="str">
        <f>PROPER(Table1[[#This Row],[Column1]])</f>
        <v>Printer</v>
      </c>
      <c r="F886" s="8" t="str">
        <f t="shared" si="65"/>
        <v>Office Supplies</v>
      </c>
      <c r="G886" s="5">
        <v>10</v>
      </c>
      <c r="H886">
        <v>465.72</v>
      </c>
      <c r="I886" t="s">
        <v>57</v>
      </c>
      <c r="J886" t="s">
        <v>58</v>
      </c>
      <c r="K886" s="7">
        <v>0.05</v>
      </c>
      <c r="L886" t="s">
        <v>18</v>
      </c>
      <c r="M886" s="5">
        <v>4424.34</v>
      </c>
      <c r="N886" t="s">
        <v>59</v>
      </c>
      <c r="O886" t="s">
        <v>60</v>
      </c>
      <c r="P886" s="5">
        <v>0</v>
      </c>
      <c r="Q886" t="s">
        <v>1799</v>
      </c>
      <c r="R886" t="s">
        <v>1800</v>
      </c>
      <c r="S886" s="5">
        <v>28.14</v>
      </c>
      <c r="T886" s="3">
        <v>45280</v>
      </c>
      <c r="U886" s="3">
        <v>45286</v>
      </c>
      <c r="V886" t="s">
        <v>77</v>
      </c>
      <c r="W886">
        <f t="shared" si="67"/>
        <v>4203.1229999999996</v>
      </c>
      <c r="X886">
        <f t="shared" si="68"/>
        <v>4657.2000000000007</v>
      </c>
      <c r="Y886">
        <f t="shared" si="69"/>
        <v>454.07700000000114</v>
      </c>
      <c r="Z886" s="8" t="str">
        <f t="shared" si="66"/>
        <v>Medium</v>
      </c>
      <c r="AA886" s="12">
        <f>DATE(YEAR(Table1[[#This Row],[OrderDate]]),MONTH(Table1[[#This Row],[OrderDate]]),1)</f>
        <v>45261</v>
      </c>
    </row>
    <row r="887" spans="1:27" x14ac:dyDescent="0.3">
      <c r="A887" s="3">
        <v>45635</v>
      </c>
      <c r="B887" t="s">
        <v>7</v>
      </c>
      <c r="C887" t="s">
        <v>32</v>
      </c>
      <c r="D887" t="str">
        <f>TRIM(Table1[[#This Row],[Product]])</f>
        <v>Monitor</v>
      </c>
      <c r="E887" t="str">
        <f>PROPER(Table1[[#This Row],[Column1]])</f>
        <v>Monitor</v>
      </c>
      <c r="F887" s="8" t="str">
        <f t="shared" si="65"/>
        <v>Technology</v>
      </c>
      <c r="G887" s="5">
        <v>19</v>
      </c>
      <c r="H887">
        <v>62.07</v>
      </c>
      <c r="I887" t="s">
        <v>81</v>
      </c>
      <c r="J887" t="s">
        <v>65</v>
      </c>
      <c r="K887" s="7">
        <v>0.1</v>
      </c>
      <c r="L887" t="s">
        <v>23</v>
      </c>
      <c r="M887" s="5">
        <v>1061.3969999999999</v>
      </c>
      <c r="N887" t="s">
        <v>85</v>
      </c>
      <c r="O887" t="s">
        <v>60</v>
      </c>
      <c r="P887" s="5">
        <v>0</v>
      </c>
      <c r="Q887" t="s">
        <v>1801</v>
      </c>
      <c r="R887" t="s">
        <v>1802</v>
      </c>
      <c r="S887" s="5">
        <v>14.85</v>
      </c>
      <c r="T887" s="3">
        <v>45635</v>
      </c>
      <c r="U887" s="3">
        <v>45645</v>
      </c>
      <c r="V887" t="s">
        <v>77</v>
      </c>
      <c r="W887">
        <f t="shared" si="67"/>
        <v>955.25729999999999</v>
      </c>
      <c r="X887">
        <f t="shared" si="68"/>
        <v>1179.33</v>
      </c>
      <c r="Y887">
        <f t="shared" si="69"/>
        <v>224.07269999999994</v>
      </c>
      <c r="Z887" s="8" t="str">
        <f t="shared" si="66"/>
        <v>Medium</v>
      </c>
      <c r="AA887" s="12">
        <f>DATE(YEAR(Table1[[#This Row],[OrderDate]]),MONTH(Table1[[#This Row],[OrderDate]]),1)</f>
        <v>45627</v>
      </c>
    </row>
    <row r="888" spans="1:27" x14ac:dyDescent="0.3">
      <c r="A888" s="3">
        <v>45056</v>
      </c>
      <c r="B888" t="s">
        <v>7</v>
      </c>
      <c r="C888" t="s">
        <v>35</v>
      </c>
      <c r="D888" t="str">
        <f>TRIM(Table1[[#This Row],[Product]])</f>
        <v>Tablet</v>
      </c>
      <c r="E888" t="str">
        <f>PROPER(Table1[[#This Row],[Column1]])</f>
        <v>Tablet</v>
      </c>
      <c r="F888" s="8" t="str">
        <f t="shared" si="65"/>
        <v>Technology</v>
      </c>
      <c r="G888" s="5">
        <v>11</v>
      </c>
      <c r="H888">
        <v>529.20000000000005</v>
      </c>
      <c r="I888" t="s">
        <v>64</v>
      </c>
      <c r="J888" t="s">
        <v>58</v>
      </c>
      <c r="K888" s="7">
        <v>0.05</v>
      </c>
      <c r="L888" t="s">
        <v>19</v>
      </c>
      <c r="M888" s="5">
        <v>5530.14</v>
      </c>
      <c r="N888" t="s">
        <v>82</v>
      </c>
      <c r="P888" s="5">
        <v>1</v>
      </c>
      <c r="Q888" t="s">
        <v>1803</v>
      </c>
      <c r="R888" t="s">
        <v>1804</v>
      </c>
      <c r="S888" s="5">
        <v>16.78</v>
      </c>
      <c r="T888" s="3">
        <v>45056</v>
      </c>
      <c r="U888" s="3">
        <v>45066</v>
      </c>
      <c r="V888" t="s">
        <v>77</v>
      </c>
      <c r="W888">
        <f t="shared" si="67"/>
        <v>5253.6329999999998</v>
      </c>
      <c r="X888">
        <f t="shared" si="68"/>
        <v>5821.2000000000007</v>
      </c>
      <c r="Y888">
        <f t="shared" si="69"/>
        <v>567.56700000000092</v>
      </c>
      <c r="Z888" s="8" t="str">
        <f t="shared" si="66"/>
        <v>Medium</v>
      </c>
      <c r="AA888" s="12">
        <f>DATE(YEAR(Table1[[#This Row],[OrderDate]]),MONTH(Table1[[#This Row],[OrderDate]]),1)</f>
        <v>45047</v>
      </c>
    </row>
    <row r="889" spans="1:27" x14ac:dyDescent="0.3">
      <c r="A889" s="3">
        <v>45217</v>
      </c>
      <c r="B889" t="s">
        <v>13</v>
      </c>
      <c r="C889" t="s">
        <v>32</v>
      </c>
      <c r="D889" t="str">
        <f>TRIM(Table1[[#This Row],[Product]])</f>
        <v>Monitor</v>
      </c>
      <c r="E889" t="str">
        <f>PROPER(Table1[[#This Row],[Column1]])</f>
        <v>Monitor</v>
      </c>
      <c r="F889" s="8" t="str">
        <f t="shared" si="65"/>
        <v>Technology</v>
      </c>
      <c r="G889" s="5">
        <v>7</v>
      </c>
      <c r="H889">
        <v>387.31</v>
      </c>
      <c r="I889" t="s">
        <v>64</v>
      </c>
      <c r="J889" t="s">
        <v>65</v>
      </c>
      <c r="K889" s="7">
        <v>0.1</v>
      </c>
      <c r="L889" t="s">
        <v>19</v>
      </c>
      <c r="M889" s="5">
        <v>2440.0529999999999</v>
      </c>
      <c r="N889" t="s">
        <v>88</v>
      </c>
      <c r="O889" t="s">
        <v>71</v>
      </c>
      <c r="P889" s="5">
        <v>0</v>
      </c>
      <c r="Q889" t="s">
        <v>1805</v>
      </c>
      <c r="R889" t="s">
        <v>1806</v>
      </c>
      <c r="S889" s="5">
        <v>14.76</v>
      </c>
      <c r="T889" s="3">
        <v>45217</v>
      </c>
      <c r="U889" s="3">
        <v>45220</v>
      </c>
      <c r="V889" t="s">
        <v>70</v>
      </c>
      <c r="W889">
        <f t="shared" si="67"/>
        <v>2196.0477000000001</v>
      </c>
      <c r="X889">
        <f t="shared" si="68"/>
        <v>2711.17</v>
      </c>
      <c r="Y889">
        <f t="shared" si="69"/>
        <v>515.1223</v>
      </c>
      <c r="Z889" s="8" t="str">
        <f t="shared" si="66"/>
        <v>Medium</v>
      </c>
      <c r="AA889" s="12">
        <f>DATE(YEAR(Table1[[#This Row],[OrderDate]]),MONTH(Table1[[#This Row],[OrderDate]]),1)</f>
        <v>45200</v>
      </c>
    </row>
    <row r="890" spans="1:27" x14ac:dyDescent="0.3">
      <c r="A890" s="3">
        <v>45629</v>
      </c>
      <c r="B890" t="s">
        <v>13</v>
      </c>
      <c r="C890" t="s">
        <v>33</v>
      </c>
      <c r="D890" t="str">
        <f>TRIM(Table1[[#This Row],[Product]])</f>
        <v>Phone</v>
      </c>
      <c r="E890" t="str">
        <f>PROPER(Table1[[#This Row],[Column1]])</f>
        <v>Phone</v>
      </c>
      <c r="F890" s="8" t="str">
        <f t="shared" si="65"/>
        <v>Technology</v>
      </c>
      <c r="G890" s="5">
        <v>1</v>
      </c>
      <c r="H890">
        <v>152.75</v>
      </c>
      <c r="I890" t="s">
        <v>64</v>
      </c>
      <c r="J890" t="s">
        <v>58</v>
      </c>
      <c r="K890" s="7">
        <v>0</v>
      </c>
      <c r="L890" t="s">
        <v>19</v>
      </c>
      <c r="M890" s="5">
        <v>152.75</v>
      </c>
      <c r="N890" t="s">
        <v>82</v>
      </c>
      <c r="O890" t="s">
        <v>60</v>
      </c>
      <c r="P890" s="5">
        <v>1</v>
      </c>
      <c r="Q890" t="s">
        <v>1807</v>
      </c>
      <c r="R890" t="s">
        <v>1808</v>
      </c>
      <c r="S890" s="5">
        <v>9.61</v>
      </c>
      <c r="T890" s="3">
        <v>45629</v>
      </c>
      <c r="U890" s="3">
        <v>45632</v>
      </c>
      <c r="V890" t="s">
        <v>70</v>
      </c>
      <c r="W890">
        <f t="shared" si="67"/>
        <v>152.75</v>
      </c>
      <c r="X890">
        <f t="shared" si="68"/>
        <v>152.75</v>
      </c>
      <c r="Y890">
        <f t="shared" si="69"/>
        <v>0</v>
      </c>
      <c r="Z890" s="8" t="str">
        <f t="shared" si="66"/>
        <v>No Discount</v>
      </c>
      <c r="AA890" s="12">
        <f>DATE(YEAR(Table1[[#This Row],[OrderDate]]),MONTH(Table1[[#This Row],[OrderDate]]),1)</f>
        <v>45627</v>
      </c>
    </row>
    <row r="891" spans="1:27" x14ac:dyDescent="0.3">
      <c r="A891" s="3">
        <v>45575</v>
      </c>
      <c r="B891" t="s">
        <v>13</v>
      </c>
      <c r="C891" t="s">
        <v>29</v>
      </c>
      <c r="D891" t="str">
        <f>TRIM(Table1[[#This Row],[Product]])</f>
        <v>Chair</v>
      </c>
      <c r="E891" t="str">
        <f>PROPER(Table1[[#This Row],[Column1]])</f>
        <v>Chair</v>
      </c>
      <c r="F891" s="8" t="str">
        <f t="shared" si="65"/>
        <v>Furniture</v>
      </c>
      <c r="G891" s="5">
        <v>8</v>
      </c>
      <c r="H891">
        <v>72.48</v>
      </c>
      <c r="I891" t="s">
        <v>64</v>
      </c>
      <c r="J891" t="s">
        <v>58</v>
      </c>
      <c r="K891" s="7">
        <v>0.1</v>
      </c>
      <c r="L891" t="s">
        <v>21</v>
      </c>
      <c r="M891" s="5">
        <v>521.85599999999999</v>
      </c>
      <c r="N891" t="s">
        <v>85</v>
      </c>
      <c r="P891" s="5">
        <v>1</v>
      </c>
      <c r="Q891" t="s">
        <v>1809</v>
      </c>
      <c r="R891" t="s">
        <v>1810</v>
      </c>
      <c r="S891" s="5">
        <v>26.92</v>
      </c>
      <c r="T891" s="3">
        <v>45575</v>
      </c>
      <c r="U891" s="3">
        <v>45582</v>
      </c>
      <c r="V891" t="s">
        <v>70</v>
      </c>
      <c r="W891">
        <f t="shared" si="67"/>
        <v>469.67040000000003</v>
      </c>
      <c r="X891">
        <f t="shared" si="68"/>
        <v>579.84</v>
      </c>
      <c r="Y891">
        <f t="shared" si="69"/>
        <v>110.1696</v>
      </c>
      <c r="Z891" s="8" t="str">
        <f t="shared" si="66"/>
        <v>Medium</v>
      </c>
      <c r="AA891" s="12">
        <f>DATE(YEAR(Table1[[#This Row],[OrderDate]]),MONTH(Table1[[#This Row],[OrderDate]]),1)</f>
        <v>45566</v>
      </c>
    </row>
    <row r="892" spans="1:27" x14ac:dyDescent="0.3">
      <c r="A892" s="3">
        <v>45446</v>
      </c>
      <c r="B892" t="s">
        <v>9</v>
      </c>
      <c r="C892" t="s">
        <v>33</v>
      </c>
      <c r="D892" t="str">
        <f>TRIM(Table1[[#This Row],[Product]])</f>
        <v>Phone</v>
      </c>
      <c r="E892" t="str">
        <f>PROPER(Table1[[#This Row],[Column1]])</f>
        <v>Phone</v>
      </c>
      <c r="F892" s="8" t="str">
        <f t="shared" si="65"/>
        <v>Technology</v>
      </c>
      <c r="G892" s="5">
        <v>4</v>
      </c>
      <c r="H892">
        <v>194.09</v>
      </c>
      <c r="I892" t="s">
        <v>81</v>
      </c>
      <c r="J892" t="s">
        <v>58</v>
      </c>
      <c r="K892" s="7">
        <v>0.1</v>
      </c>
      <c r="L892" t="s">
        <v>25</v>
      </c>
      <c r="M892" s="5">
        <v>698.72400000000005</v>
      </c>
      <c r="N892" t="s">
        <v>82</v>
      </c>
      <c r="O892" t="s">
        <v>71</v>
      </c>
      <c r="P892" s="5">
        <v>0</v>
      </c>
      <c r="Q892" t="s">
        <v>1811</v>
      </c>
      <c r="R892" t="s">
        <v>1812</v>
      </c>
      <c r="S892" s="5">
        <v>26.35</v>
      </c>
      <c r="T892" s="3">
        <v>45446</v>
      </c>
      <c r="U892" s="3">
        <v>45450</v>
      </c>
      <c r="V892" t="s">
        <v>63</v>
      </c>
      <c r="W892">
        <f t="shared" si="67"/>
        <v>628.85160000000008</v>
      </c>
      <c r="X892">
        <f t="shared" si="68"/>
        <v>776.36</v>
      </c>
      <c r="Y892">
        <f t="shared" si="69"/>
        <v>147.50839999999994</v>
      </c>
      <c r="Z892" s="8" t="str">
        <f t="shared" si="66"/>
        <v>Medium</v>
      </c>
      <c r="AA892" s="12">
        <f>DATE(YEAR(Table1[[#This Row],[OrderDate]]),MONTH(Table1[[#This Row],[OrderDate]]),1)</f>
        <v>45444</v>
      </c>
    </row>
    <row r="893" spans="1:27" x14ac:dyDescent="0.3">
      <c r="A893" s="3">
        <v>45742</v>
      </c>
      <c r="B893" t="s">
        <v>13</v>
      </c>
      <c r="C893" t="s">
        <v>33</v>
      </c>
      <c r="D893" t="str">
        <f>TRIM(Table1[[#This Row],[Product]])</f>
        <v>Phone</v>
      </c>
      <c r="E893" t="str">
        <f>PROPER(Table1[[#This Row],[Column1]])</f>
        <v>Phone</v>
      </c>
      <c r="F893" s="8" t="str">
        <f t="shared" si="65"/>
        <v>Technology</v>
      </c>
      <c r="G893" s="5">
        <v>3</v>
      </c>
      <c r="H893">
        <v>159.30000000000001</v>
      </c>
      <c r="I893" t="s">
        <v>57</v>
      </c>
      <c r="J893" t="s">
        <v>58</v>
      </c>
      <c r="K893" s="7">
        <v>0.05</v>
      </c>
      <c r="L893" t="s">
        <v>25</v>
      </c>
      <c r="M893" s="5">
        <v>454.005</v>
      </c>
      <c r="N893" t="s">
        <v>82</v>
      </c>
      <c r="O893" t="s">
        <v>67</v>
      </c>
      <c r="P893" s="5">
        <v>1</v>
      </c>
      <c r="Q893" t="s">
        <v>1813</v>
      </c>
      <c r="R893" t="s">
        <v>1814</v>
      </c>
      <c r="S893" s="5">
        <v>45.34</v>
      </c>
      <c r="T893" s="3">
        <v>45742</v>
      </c>
      <c r="U893" s="3">
        <v>45745</v>
      </c>
      <c r="V893" t="s">
        <v>70</v>
      </c>
      <c r="W893">
        <f t="shared" si="67"/>
        <v>431.30474999999996</v>
      </c>
      <c r="X893">
        <f t="shared" si="68"/>
        <v>477.90000000000003</v>
      </c>
      <c r="Y893">
        <f t="shared" si="69"/>
        <v>46.595250000000078</v>
      </c>
      <c r="Z893" s="8" t="str">
        <f t="shared" si="66"/>
        <v>Medium</v>
      </c>
      <c r="AA893" s="12">
        <f>DATE(YEAR(Table1[[#This Row],[OrderDate]]),MONTH(Table1[[#This Row],[OrderDate]]),1)</f>
        <v>45717</v>
      </c>
    </row>
    <row r="894" spans="1:27" x14ac:dyDescent="0.3">
      <c r="A894" s="3">
        <v>45408</v>
      </c>
      <c r="B894" t="s">
        <v>11</v>
      </c>
      <c r="C894" t="s">
        <v>32</v>
      </c>
      <c r="D894" t="str">
        <f>TRIM(Table1[[#This Row],[Product]])</f>
        <v>Monitor</v>
      </c>
      <c r="E894" t="str">
        <f>PROPER(Table1[[#This Row],[Column1]])</f>
        <v>Monitor</v>
      </c>
      <c r="F894" s="8" t="str">
        <f t="shared" si="65"/>
        <v>Technology</v>
      </c>
      <c r="G894" s="5">
        <v>4</v>
      </c>
      <c r="H894">
        <v>303.37</v>
      </c>
      <c r="I894" t="s">
        <v>64</v>
      </c>
      <c r="J894" t="s">
        <v>65</v>
      </c>
      <c r="K894" s="7">
        <v>0.1</v>
      </c>
      <c r="L894" t="s">
        <v>21</v>
      </c>
      <c r="M894" s="5">
        <v>1092.1320000000001</v>
      </c>
      <c r="N894" t="s">
        <v>66</v>
      </c>
      <c r="O894" t="s">
        <v>71</v>
      </c>
      <c r="P894" s="5">
        <v>0</v>
      </c>
      <c r="Q894" t="s">
        <v>1815</v>
      </c>
      <c r="R894" t="s">
        <v>1816</v>
      </c>
      <c r="S894" s="5">
        <v>30.19</v>
      </c>
      <c r="T894" s="3">
        <v>45408</v>
      </c>
      <c r="U894" s="3">
        <v>45413</v>
      </c>
      <c r="V894" t="s">
        <v>74</v>
      </c>
      <c r="W894">
        <f t="shared" si="67"/>
        <v>982.91880000000003</v>
      </c>
      <c r="X894">
        <f t="shared" si="68"/>
        <v>1213.48</v>
      </c>
      <c r="Y894">
        <f t="shared" si="69"/>
        <v>230.56119999999999</v>
      </c>
      <c r="Z894" s="8" t="str">
        <f t="shared" si="66"/>
        <v>Medium</v>
      </c>
      <c r="AA894" s="12">
        <f>DATE(YEAR(Table1[[#This Row],[OrderDate]]),MONTH(Table1[[#This Row],[OrderDate]]),1)</f>
        <v>45383</v>
      </c>
    </row>
    <row r="895" spans="1:27" x14ac:dyDescent="0.3">
      <c r="A895" s="3">
        <v>45051</v>
      </c>
      <c r="B895" t="s">
        <v>16</v>
      </c>
      <c r="C895" t="s">
        <v>29</v>
      </c>
      <c r="D895" t="str">
        <f>TRIM(Table1[[#This Row],[Product]])</f>
        <v>Chair</v>
      </c>
      <c r="E895" t="str">
        <f>PROPER(Table1[[#This Row],[Column1]])</f>
        <v>Chair</v>
      </c>
      <c r="F895" s="8" t="str">
        <f t="shared" si="65"/>
        <v>Furniture</v>
      </c>
      <c r="G895" s="5">
        <v>16</v>
      </c>
      <c r="H895">
        <v>541.96</v>
      </c>
      <c r="I895" t="s">
        <v>78</v>
      </c>
      <c r="J895" t="s">
        <v>65</v>
      </c>
      <c r="K895" s="7">
        <v>0.1</v>
      </c>
      <c r="L895" t="s">
        <v>25</v>
      </c>
      <c r="M895" s="5">
        <v>7804.2240000000011</v>
      </c>
      <c r="N895" t="s">
        <v>88</v>
      </c>
      <c r="O895" t="s">
        <v>67</v>
      </c>
      <c r="P895" s="5">
        <v>1</v>
      </c>
      <c r="Q895" t="s">
        <v>1817</v>
      </c>
      <c r="R895" t="s">
        <v>1818</v>
      </c>
      <c r="S895" s="5">
        <v>9.93</v>
      </c>
      <c r="T895" s="3">
        <v>45051</v>
      </c>
      <c r="U895" s="3">
        <v>45059</v>
      </c>
      <c r="V895" t="s">
        <v>95</v>
      </c>
      <c r="W895">
        <f t="shared" si="67"/>
        <v>7023.8016000000007</v>
      </c>
      <c r="X895">
        <f t="shared" si="68"/>
        <v>8671.36</v>
      </c>
      <c r="Y895">
        <f t="shared" si="69"/>
        <v>1647.5583999999999</v>
      </c>
      <c r="Z895" s="8" t="str">
        <f t="shared" si="66"/>
        <v>Medium</v>
      </c>
      <c r="AA895" s="12">
        <f>DATE(YEAR(Table1[[#This Row],[OrderDate]]),MONTH(Table1[[#This Row],[OrderDate]]),1)</f>
        <v>45047</v>
      </c>
    </row>
    <row r="896" spans="1:27" x14ac:dyDescent="0.3">
      <c r="A896" s="3">
        <v>45192</v>
      </c>
      <c r="B896" t="s">
        <v>16</v>
      </c>
      <c r="C896" t="s">
        <v>30</v>
      </c>
      <c r="D896" t="str">
        <f>TRIM(Table1[[#This Row],[Product]])</f>
        <v>Desk</v>
      </c>
      <c r="E896" t="str">
        <f>PROPER(Table1[[#This Row],[Column1]])</f>
        <v>Desk</v>
      </c>
      <c r="F896" s="8" t="str">
        <f t="shared" si="65"/>
        <v>Furniture</v>
      </c>
      <c r="G896" s="5">
        <v>7</v>
      </c>
      <c r="H896">
        <v>41.57</v>
      </c>
      <c r="I896" t="s">
        <v>81</v>
      </c>
      <c r="J896" t="s">
        <v>65</v>
      </c>
      <c r="K896" s="7">
        <v>0</v>
      </c>
      <c r="L896" t="s">
        <v>21</v>
      </c>
      <c r="M896" s="5">
        <v>290.99</v>
      </c>
      <c r="N896" t="s">
        <v>59</v>
      </c>
      <c r="P896" s="5">
        <v>0</v>
      </c>
      <c r="Q896" t="s">
        <v>1819</v>
      </c>
      <c r="R896" t="s">
        <v>1820</v>
      </c>
      <c r="S896" s="5">
        <v>16.59</v>
      </c>
      <c r="T896" s="3">
        <v>45192</v>
      </c>
      <c r="U896" s="3">
        <v>45198</v>
      </c>
      <c r="V896" t="s">
        <v>95</v>
      </c>
      <c r="W896">
        <f t="shared" si="67"/>
        <v>290.99</v>
      </c>
      <c r="X896">
        <f t="shared" si="68"/>
        <v>290.99</v>
      </c>
      <c r="Y896">
        <f t="shared" si="69"/>
        <v>0</v>
      </c>
      <c r="Z896" s="8" t="str">
        <f t="shared" si="66"/>
        <v>No Discount</v>
      </c>
      <c r="AA896" s="12">
        <f>DATE(YEAR(Table1[[#This Row],[OrderDate]]),MONTH(Table1[[#This Row],[OrderDate]]),1)</f>
        <v>45170</v>
      </c>
    </row>
    <row r="897" spans="1:27" x14ac:dyDescent="0.3">
      <c r="A897" s="3">
        <v>45724</v>
      </c>
      <c r="B897" t="s">
        <v>13</v>
      </c>
      <c r="C897" t="s">
        <v>32</v>
      </c>
      <c r="D897" t="str">
        <f>TRIM(Table1[[#This Row],[Product]])</f>
        <v>Monitor</v>
      </c>
      <c r="E897" t="str">
        <f>PROPER(Table1[[#This Row],[Column1]])</f>
        <v>Monitor</v>
      </c>
      <c r="F897" s="8" t="str">
        <f t="shared" si="65"/>
        <v>Technology</v>
      </c>
      <c r="G897" s="5">
        <v>16</v>
      </c>
      <c r="H897">
        <v>217.74</v>
      </c>
      <c r="I897" t="s">
        <v>64</v>
      </c>
      <c r="J897" t="s">
        <v>58</v>
      </c>
      <c r="K897" s="7">
        <v>0.15</v>
      </c>
      <c r="L897" t="s">
        <v>27</v>
      </c>
      <c r="M897" s="5">
        <v>2961.2640000000001</v>
      </c>
      <c r="N897" t="s">
        <v>88</v>
      </c>
      <c r="O897" t="s">
        <v>60</v>
      </c>
      <c r="P897" s="5">
        <v>1</v>
      </c>
      <c r="Q897" t="s">
        <v>1821</v>
      </c>
      <c r="R897" t="s">
        <v>1822</v>
      </c>
      <c r="S897" s="5">
        <v>25.11</v>
      </c>
      <c r="T897" s="3">
        <v>45724</v>
      </c>
      <c r="U897" s="3">
        <v>45731</v>
      </c>
      <c r="V897" t="s">
        <v>70</v>
      </c>
      <c r="W897">
        <f t="shared" si="67"/>
        <v>2517.0744</v>
      </c>
      <c r="X897">
        <f t="shared" si="68"/>
        <v>3483.84</v>
      </c>
      <c r="Y897">
        <f t="shared" si="69"/>
        <v>966.76560000000018</v>
      </c>
      <c r="Z897" s="8" t="str">
        <f t="shared" si="66"/>
        <v>High</v>
      </c>
      <c r="AA897" s="12">
        <f>DATE(YEAR(Table1[[#This Row],[OrderDate]]),MONTH(Table1[[#This Row],[OrderDate]]),1)</f>
        <v>45717</v>
      </c>
    </row>
    <row r="898" spans="1:27" x14ac:dyDescent="0.3">
      <c r="A898" s="3">
        <v>44943</v>
      </c>
      <c r="B898" t="s">
        <v>11</v>
      </c>
      <c r="C898" t="s">
        <v>34</v>
      </c>
      <c r="D898" t="str">
        <f>TRIM(Table1[[#This Row],[Product]])</f>
        <v>Printer</v>
      </c>
      <c r="E898" t="str">
        <f>PROPER(Table1[[#This Row],[Column1]])</f>
        <v>Printer</v>
      </c>
      <c r="F898" s="8" t="str">
        <f t="shared" ref="F898:F961" si="70">IF(OR(E898="Chair",E898="Desk"),"Furniture",IF(OR(E898="Laptop",E898="Monitor",E898="Phone",E898="Tablet"),"Technology",IF(E898="Printer","Office Supplies","Other")))</f>
        <v>Office Supplies</v>
      </c>
      <c r="G898" s="5">
        <v>15</v>
      </c>
      <c r="H898">
        <v>19.170000000000002</v>
      </c>
      <c r="I898" t="s">
        <v>64</v>
      </c>
      <c r="J898" t="s">
        <v>58</v>
      </c>
      <c r="K898" s="7">
        <v>0</v>
      </c>
      <c r="L898" t="s">
        <v>21</v>
      </c>
      <c r="M898" s="5">
        <v>287.55</v>
      </c>
      <c r="N898" t="s">
        <v>66</v>
      </c>
      <c r="O898" t="s">
        <v>60</v>
      </c>
      <c r="P898" s="5">
        <v>1</v>
      </c>
      <c r="Q898" t="s">
        <v>1823</v>
      </c>
      <c r="R898" t="s">
        <v>1824</v>
      </c>
      <c r="S898" s="5">
        <v>48.93</v>
      </c>
      <c r="T898" s="3">
        <v>44943</v>
      </c>
      <c r="U898" s="3">
        <v>44953</v>
      </c>
      <c r="V898" t="s">
        <v>74</v>
      </c>
      <c r="W898">
        <f t="shared" si="67"/>
        <v>287.55</v>
      </c>
      <c r="X898">
        <f t="shared" si="68"/>
        <v>287.55</v>
      </c>
      <c r="Y898">
        <f t="shared" si="69"/>
        <v>0</v>
      </c>
      <c r="Z898" s="8" t="str">
        <f t="shared" ref="Z898:Z961" si="71">IF(K898=0,"No Discount",IF(K898&lt;5%,"Low",IF(K898&lt;15%,"Medium","High")))</f>
        <v>No Discount</v>
      </c>
      <c r="AA898" s="12">
        <f>DATE(YEAR(Table1[[#This Row],[OrderDate]]),MONTH(Table1[[#This Row],[OrderDate]]),1)</f>
        <v>44927</v>
      </c>
    </row>
    <row r="899" spans="1:27" x14ac:dyDescent="0.3">
      <c r="A899" s="3">
        <v>45045</v>
      </c>
      <c r="B899" t="s">
        <v>7</v>
      </c>
      <c r="C899" t="s">
        <v>32</v>
      </c>
      <c r="D899" t="str">
        <f>TRIM(Table1[[#This Row],[Product]])</f>
        <v>Monitor</v>
      </c>
      <c r="E899" t="str">
        <f>PROPER(Table1[[#This Row],[Column1]])</f>
        <v>Monitor</v>
      </c>
      <c r="F899" s="8" t="str">
        <f t="shared" si="70"/>
        <v>Technology</v>
      </c>
      <c r="G899" s="5">
        <v>15</v>
      </c>
      <c r="H899">
        <v>293.33999999999997</v>
      </c>
      <c r="I899" t="s">
        <v>81</v>
      </c>
      <c r="J899" t="s">
        <v>65</v>
      </c>
      <c r="K899" s="7">
        <v>0.1</v>
      </c>
      <c r="L899" t="s">
        <v>25</v>
      </c>
      <c r="M899" s="5">
        <v>3960.09</v>
      </c>
      <c r="N899" t="s">
        <v>82</v>
      </c>
      <c r="O899" t="s">
        <v>71</v>
      </c>
      <c r="P899" s="5">
        <v>0</v>
      </c>
      <c r="Q899" t="s">
        <v>1825</v>
      </c>
      <c r="R899" t="s">
        <v>1826</v>
      </c>
      <c r="S899" s="5">
        <v>21.03</v>
      </c>
      <c r="T899" s="3">
        <v>45045</v>
      </c>
      <c r="U899" s="3">
        <v>45047</v>
      </c>
      <c r="V899" t="s">
        <v>77</v>
      </c>
      <c r="W899">
        <f t="shared" ref="W899:W962" si="72">M899*(1-K899)</f>
        <v>3564.0810000000001</v>
      </c>
      <c r="X899">
        <f t="shared" ref="X899:X962" si="73">G899*H899</f>
        <v>4400.0999999999995</v>
      </c>
      <c r="Y899">
        <f t="shared" ref="Y899:Y962" si="74">X899-W899</f>
        <v>836.01899999999932</v>
      </c>
      <c r="Z899" s="8" t="str">
        <f t="shared" si="71"/>
        <v>Medium</v>
      </c>
      <c r="AA899" s="12">
        <f>DATE(YEAR(Table1[[#This Row],[OrderDate]]),MONTH(Table1[[#This Row],[OrderDate]]),1)</f>
        <v>45017</v>
      </c>
    </row>
    <row r="900" spans="1:27" x14ac:dyDescent="0.3">
      <c r="A900" s="3">
        <v>45704</v>
      </c>
      <c r="B900" t="s">
        <v>13</v>
      </c>
      <c r="C900" t="s">
        <v>34</v>
      </c>
      <c r="D900" t="str">
        <f>TRIM(Table1[[#This Row],[Product]])</f>
        <v>Printer</v>
      </c>
      <c r="E900" t="str">
        <f>PROPER(Table1[[#This Row],[Column1]])</f>
        <v>Printer</v>
      </c>
      <c r="F900" s="8" t="str">
        <f t="shared" si="70"/>
        <v>Office Supplies</v>
      </c>
      <c r="G900" s="5">
        <v>18</v>
      </c>
      <c r="H900">
        <v>204.58</v>
      </c>
      <c r="I900" t="s">
        <v>78</v>
      </c>
      <c r="J900" t="s">
        <v>65</v>
      </c>
      <c r="K900" s="7">
        <v>0.1</v>
      </c>
      <c r="L900" t="s">
        <v>23</v>
      </c>
      <c r="M900" s="5">
        <v>3314.1959999999999</v>
      </c>
      <c r="N900" t="s">
        <v>88</v>
      </c>
      <c r="P900" s="5">
        <v>0</v>
      </c>
      <c r="Q900" t="s">
        <v>1827</v>
      </c>
      <c r="R900" t="s">
        <v>1828</v>
      </c>
      <c r="S900" s="5">
        <v>16.04</v>
      </c>
      <c r="T900" s="3">
        <v>45704</v>
      </c>
      <c r="U900" s="3">
        <v>45710</v>
      </c>
      <c r="V900" t="s">
        <v>70</v>
      </c>
      <c r="W900">
        <f t="shared" si="72"/>
        <v>2982.7764000000002</v>
      </c>
      <c r="X900">
        <f t="shared" si="73"/>
        <v>3682.44</v>
      </c>
      <c r="Y900">
        <f t="shared" si="74"/>
        <v>699.66359999999986</v>
      </c>
      <c r="Z900" s="8" t="str">
        <f t="shared" si="71"/>
        <v>Medium</v>
      </c>
      <c r="AA900" s="12">
        <f>DATE(YEAR(Table1[[#This Row],[OrderDate]]),MONTH(Table1[[#This Row],[OrderDate]]),1)</f>
        <v>45689</v>
      </c>
    </row>
    <row r="901" spans="1:27" x14ac:dyDescent="0.3">
      <c r="A901" s="3">
        <v>45082</v>
      </c>
      <c r="B901" t="s">
        <v>9</v>
      </c>
      <c r="C901" t="s">
        <v>34</v>
      </c>
      <c r="D901" t="str">
        <f>TRIM(Table1[[#This Row],[Product]])</f>
        <v>Printer</v>
      </c>
      <c r="E901" t="str">
        <f>PROPER(Table1[[#This Row],[Column1]])</f>
        <v>Printer</v>
      </c>
      <c r="F901" s="8" t="str">
        <f t="shared" si="70"/>
        <v>Office Supplies</v>
      </c>
      <c r="G901" s="5">
        <v>15</v>
      </c>
      <c r="H901">
        <v>324.58</v>
      </c>
      <c r="I901" t="s">
        <v>64</v>
      </c>
      <c r="J901" t="s">
        <v>65</v>
      </c>
      <c r="K901" s="7">
        <v>0.15</v>
      </c>
      <c r="L901" t="s">
        <v>23</v>
      </c>
      <c r="M901" s="5">
        <v>4138.3950000000004</v>
      </c>
      <c r="N901" t="s">
        <v>85</v>
      </c>
      <c r="P901" s="5">
        <v>0</v>
      </c>
      <c r="Q901" t="s">
        <v>1829</v>
      </c>
      <c r="R901" t="s">
        <v>1830</v>
      </c>
      <c r="S901" s="5">
        <v>24.57</v>
      </c>
      <c r="T901" s="3">
        <v>45082</v>
      </c>
      <c r="U901" s="3">
        <v>45086</v>
      </c>
      <c r="V901" t="s">
        <v>63</v>
      </c>
      <c r="W901">
        <f t="shared" si="72"/>
        <v>3517.6357500000004</v>
      </c>
      <c r="X901">
        <f t="shared" si="73"/>
        <v>4868.7</v>
      </c>
      <c r="Y901">
        <f t="shared" si="74"/>
        <v>1351.0642499999994</v>
      </c>
      <c r="Z901" s="8" t="str">
        <f t="shared" si="71"/>
        <v>High</v>
      </c>
      <c r="AA901" s="12">
        <f>DATE(YEAR(Table1[[#This Row],[OrderDate]]),MONTH(Table1[[#This Row],[OrderDate]]),1)</f>
        <v>45078</v>
      </c>
    </row>
    <row r="902" spans="1:27" x14ac:dyDescent="0.3">
      <c r="A902" s="3">
        <v>45166</v>
      </c>
      <c r="B902" t="s">
        <v>13</v>
      </c>
      <c r="C902" t="s">
        <v>33</v>
      </c>
      <c r="D902" t="str">
        <f>TRIM(Table1[[#This Row],[Product]])</f>
        <v>Phone</v>
      </c>
      <c r="E902" t="str">
        <f>PROPER(Table1[[#This Row],[Column1]])</f>
        <v>Phone</v>
      </c>
      <c r="F902" s="8" t="str">
        <f t="shared" si="70"/>
        <v>Technology</v>
      </c>
      <c r="G902" s="5">
        <v>11</v>
      </c>
      <c r="H902">
        <v>393.61</v>
      </c>
      <c r="I902" t="s">
        <v>81</v>
      </c>
      <c r="J902" t="s">
        <v>58</v>
      </c>
      <c r="K902" s="7">
        <v>0.05</v>
      </c>
      <c r="L902" t="s">
        <v>27</v>
      </c>
      <c r="M902" s="5">
        <v>4113.2245000000003</v>
      </c>
      <c r="N902" t="s">
        <v>85</v>
      </c>
      <c r="O902" t="s">
        <v>71</v>
      </c>
      <c r="P902" s="5">
        <v>0</v>
      </c>
      <c r="Q902" t="s">
        <v>1831</v>
      </c>
      <c r="R902" t="s">
        <v>1832</v>
      </c>
      <c r="S902" s="5">
        <v>32.57</v>
      </c>
      <c r="T902" s="3">
        <v>45166</v>
      </c>
      <c r="U902" s="3">
        <v>45175</v>
      </c>
      <c r="V902" t="s">
        <v>70</v>
      </c>
      <c r="W902">
        <f t="shared" si="72"/>
        <v>3907.563275</v>
      </c>
      <c r="X902">
        <f t="shared" si="73"/>
        <v>4329.71</v>
      </c>
      <c r="Y902">
        <f t="shared" si="74"/>
        <v>422.14672500000006</v>
      </c>
      <c r="Z902" s="8" t="str">
        <f t="shared" si="71"/>
        <v>Medium</v>
      </c>
      <c r="AA902" s="12">
        <f>DATE(YEAR(Table1[[#This Row],[OrderDate]]),MONTH(Table1[[#This Row],[OrderDate]]),1)</f>
        <v>45139</v>
      </c>
    </row>
    <row r="903" spans="1:27" x14ac:dyDescent="0.3">
      <c r="A903" s="3">
        <v>45139</v>
      </c>
      <c r="B903" t="s">
        <v>11</v>
      </c>
      <c r="C903" t="s">
        <v>34</v>
      </c>
      <c r="D903" t="str">
        <f>TRIM(Table1[[#This Row],[Product]])</f>
        <v>Printer</v>
      </c>
      <c r="E903" t="str">
        <f>PROPER(Table1[[#This Row],[Column1]])</f>
        <v>Printer</v>
      </c>
      <c r="F903" s="8" t="str">
        <f t="shared" si="70"/>
        <v>Office Supplies</v>
      </c>
      <c r="G903" s="5">
        <v>8</v>
      </c>
      <c r="H903">
        <v>141.28</v>
      </c>
      <c r="I903" t="s">
        <v>81</v>
      </c>
      <c r="J903" t="s">
        <v>58</v>
      </c>
      <c r="K903" s="7">
        <v>0.05</v>
      </c>
      <c r="L903" t="s">
        <v>27</v>
      </c>
      <c r="M903" s="5">
        <v>1073.7280000000001</v>
      </c>
      <c r="N903" t="s">
        <v>59</v>
      </c>
      <c r="O903" t="s">
        <v>60</v>
      </c>
      <c r="P903" s="5">
        <v>0</v>
      </c>
      <c r="Q903" t="s">
        <v>1833</v>
      </c>
      <c r="R903" t="s">
        <v>1510</v>
      </c>
      <c r="S903" s="5">
        <v>28.69</v>
      </c>
      <c r="T903" s="3">
        <v>45139</v>
      </c>
      <c r="U903" s="3">
        <v>45148</v>
      </c>
      <c r="V903" t="s">
        <v>74</v>
      </c>
      <c r="W903">
        <f t="shared" si="72"/>
        <v>1020.0416</v>
      </c>
      <c r="X903">
        <f t="shared" si="73"/>
        <v>1130.24</v>
      </c>
      <c r="Y903">
        <f t="shared" si="74"/>
        <v>110.19839999999999</v>
      </c>
      <c r="Z903" s="8" t="str">
        <f t="shared" si="71"/>
        <v>Medium</v>
      </c>
      <c r="AA903" s="12">
        <f>DATE(YEAR(Table1[[#This Row],[OrderDate]]),MONTH(Table1[[#This Row],[OrderDate]]),1)</f>
        <v>45139</v>
      </c>
    </row>
    <row r="904" spans="1:27" x14ac:dyDescent="0.3">
      <c r="A904" s="3">
        <v>45700</v>
      </c>
      <c r="B904" t="s">
        <v>16</v>
      </c>
      <c r="C904" t="s">
        <v>33</v>
      </c>
      <c r="D904" t="str">
        <f>TRIM(Table1[[#This Row],[Product]])</f>
        <v>Phone</v>
      </c>
      <c r="E904" t="str">
        <f>PROPER(Table1[[#This Row],[Column1]])</f>
        <v>Phone</v>
      </c>
      <c r="F904" s="8" t="str">
        <f t="shared" si="70"/>
        <v>Technology</v>
      </c>
      <c r="G904" s="5">
        <v>13</v>
      </c>
      <c r="H904">
        <v>227.64</v>
      </c>
      <c r="I904" t="s">
        <v>78</v>
      </c>
      <c r="J904" t="s">
        <v>65</v>
      </c>
      <c r="K904" s="7">
        <v>0.15</v>
      </c>
      <c r="L904" t="s">
        <v>27</v>
      </c>
      <c r="M904" s="5">
        <v>2515.422</v>
      </c>
      <c r="N904" t="s">
        <v>88</v>
      </c>
      <c r="O904" t="s">
        <v>60</v>
      </c>
      <c r="P904" s="5">
        <v>1</v>
      </c>
      <c r="Q904" t="s">
        <v>1834</v>
      </c>
      <c r="R904" t="s">
        <v>1835</v>
      </c>
      <c r="S904" s="5">
        <v>46.67</v>
      </c>
      <c r="T904" s="3">
        <v>45700</v>
      </c>
      <c r="U904" s="3">
        <v>45708</v>
      </c>
      <c r="V904" t="s">
        <v>95</v>
      </c>
      <c r="W904">
        <f t="shared" si="72"/>
        <v>2138.1086999999998</v>
      </c>
      <c r="X904">
        <f t="shared" si="73"/>
        <v>2959.3199999999997</v>
      </c>
      <c r="Y904">
        <f t="shared" si="74"/>
        <v>821.21129999999994</v>
      </c>
      <c r="Z904" s="8" t="str">
        <f t="shared" si="71"/>
        <v>High</v>
      </c>
      <c r="AA904" s="12">
        <f>DATE(YEAR(Table1[[#This Row],[OrderDate]]),MONTH(Table1[[#This Row],[OrderDate]]),1)</f>
        <v>45689</v>
      </c>
    </row>
    <row r="905" spans="1:27" x14ac:dyDescent="0.3">
      <c r="A905" s="3">
        <v>45110</v>
      </c>
      <c r="B905" t="s">
        <v>7</v>
      </c>
      <c r="C905" t="s">
        <v>31</v>
      </c>
      <c r="D905" t="str">
        <f>TRIM(Table1[[#This Row],[Product]])</f>
        <v>Laptop</v>
      </c>
      <c r="E905" t="str">
        <f>PROPER(Table1[[#This Row],[Column1]])</f>
        <v>Laptop</v>
      </c>
      <c r="F905" s="8" t="str">
        <f t="shared" si="70"/>
        <v>Technology</v>
      </c>
      <c r="G905" s="5">
        <v>19</v>
      </c>
      <c r="H905">
        <v>341.07</v>
      </c>
      <c r="I905" t="s">
        <v>78</v>
      </c>
      <c r="J905" t="s">
        <v>65</v>
      </c>
      <c r="K905" s="7">
        <v>0.1</v>
      </c>
      <c r="L905" t="s">
        <v>21</v>
      </c>
      <c r="M905" s="5">
        <v>5832.2969999999996</v>
      </c>
      <c r="N905" t="s">
        <v>88</v>
      </c>
      <c r="O905" t="s">
        <v>71</v>
      </c>
      <c r="P905" s="5">
        <v>0</v>
      </c>
      <c r="Q905" t="s">
        <v>1836</v>
      </c>
      <c r="R905" t="s">
        <v>1837</v>
      </c>
      <c r="S905" s="5">
        <v>47.75</v>
      </c>
      <c r="T905" s="3">
        <v>45110</v>
      </c>
      <c r="U905" s="3">
        <v>45113</v>
      </c>
      <c r="V905" t="s">
        <v>77</v>
      </c>
      <c r="W905">
        <f t="shared" si="72"/>
        <v>5249.0672999999997</v>
      </c>
      <c r="X905">
        <f t="shared" si="73"/>
        <v>6480.33</v>
      </c>
      <c r="Y905">
        <f t="shared" si="74"/>
        <v>1231.2627000000002</v>
      </c>
      <c r="Z905" s="8" t="str">
        <f t="shared" si="71"/>
        <v>Medium</v>
      </c>
      <c r="AA905" s="12">
        <f>DATE(YEAR(Table1[[#This Row],[OrderDate]]),MONTH(Table1[[#This Row],[OrderDate]]),1)</f>
        <v>45108</v>
      </c>
    </row>
    <row r="906" spans="1:27" x14ac:dyDescent="0.3">
      <c r="A906" s="3">
        <v>45786</v>
      </c>
      <c r="B906" t="s">
        <v>7</v>
      </c>
      <c r="C906" t="s">
        <v>33</v>
      </c>
      <c r="D906" t="str">
        <f>TRIM(Table1[[#This Row],[Product]])</f>
        <v>Phone</v>
      </c>
      <c r="E906" t="str">
        <f>PROPER(Table1[[#This Row],[Column1]])</f>
        <v>Phone</v>
      </c>
      <c r="F906" s="8" t="str">
        <f t="shared" si="70"/>
        <v>Technology</v>
      </c>
      <c r="G906" s="5">
        <v>20</v>
      </c>
      <c r="H906">
        <v>324.55</v>
      </c>
      <c r="I906" t="s">
        <v>57</v>
      </c>
      <c r="J906" t="s">
        <v>58</v>
      </c>
      <c r="K906" s="7">
        <v>0.05</v>
      </c>
      <c r="L906" t="s">
        <v>25</v>
      </c>
      <c r="M906" s="5">
        <v>6166.45</v>
      </c>
      <c r="N906" t="s">
        <v>82</v>
      </c>
      <c r="O906" t="s">
        <v>71</v>
      </c>
      <c r="P906" s="5">
        <v>1</v>
      </c>
      <c r="Q906" t="s">
        <v>1838</v>
      </c>
      <c r="R906" t="s">
        <v>1839</v>
      </c>
      <c r="S906" s="5">
        <v>21.21</v>
      </c>
      <c r="T906" s="3">
        <v>45786</v>
      </c>
      <c r="U906" s="3">
        <v>45790</v>
      </c>
      <c r="V906" t="s">
        <v>77</v>
      </c>
      <c r="W906">
        <f t="shared" si="72"/>
        <v>5858.1274999999996</v>
      </c>
      <c r="X906">
        <f t="shared" si="73"/>
        <v>6491</v>
      </c>
      <c r="Y906">
        <f t="shared" si="74"/>
        <v>632.8725000000004</v>
      </c>
      <c r="Z906" s="8" t="str">
        <f t="shared" si="71"/>
        <v>Medium</v>
      </c>
      <c r="AA906" s="12">
        <f>DATE(YEAR(Table1[[#This Row],[OrderDate]]),MONTH(Table1[[#This Row],[OrderDate]]),1)</f>
        <v>45778</v>
      </c>
    </row>
    <row r="907" spans="1:27" x14ac:dyDescent="0.3">
      <c r="A907" s="3">
        <v>45417</v>
      </c>
      <c r="B907" t="s">
        <v>16</v>
      </c>
      <c r="C907" t="s">
        <v>30</v>
      </c>
      <c r="D907" t="str">
        <f>TRIM(Table1[[#This Row],[Product]])</f>
        <v>Desk</v>
      </c>
      <c r="E907" t="str">
        <f>PROPER(Table1[[#This Row],[Column1]])</f>
        <v>Desk</v>
      </c>
      <c r="F907" s="8" t="str">
        <f t="shared" si="70"/>
        <v>Furniture</v>
      </c>
      <c r="G907" s="5">
        <v>16</v>
      </c>
      <c r="H907">
        <v>301.07</v>
      </c>
      <c r="I907" t="s">
        <v>57</v>
      </c>
      <c r="J907" t="s">
        <v>65</v>
      </c>
      <c r="K907" s="7">
        <v>0.1</v>
      </c>
      <c r="L907" t="s">
        <v>21</v>
      </c>
      <c r="M907" s="5">
        <v>4335.4080000000004</v>
      </c>
      <c r="N907" t="s">
        <v>66</v>
      </c>
      <c r="O907" t="s">
        <v>71</v>
      </c>
      <c r="P907" s="5">
        <v>0</v>
      </c>
      <c r="Q907" t="s">
        <v>1840</v>
      </c>
      <c r="R907" t="s">
        <v>1841</v>
      </c>
      <c r="S907" s="5">
        <v>5.58</v>
      </c>
      <c r="T907" s="3">
        <v>45417</v>
      </c>
      <c r="U907" s="3">
        <v>45426</v>
      </c>
      <c r="V907" t="s">
        <v>95</v>
      </c>
      <c r="W907">
        <f t="shared" si="72"/>
        <v>3901.8672000000006</v>
      </c>
      <c r="X907">
        <f t="shared" si="73"/>
        <v>4817.12</v>
      </c>
      <c r="Y907">
        <f t="shared" si="74"/>
        <v>915.2527999999993</v>
      </c>
      <c r="Z907" s="8" t="str">
        <f t="shared" si="71"/>
        <v>Medium</v>
      </c>
      <c r="AA907" s="12">
        <f>DATE(YEAR(Table1[[#This Row],[OrderDate]]),MONTH(Table1[[#This Row],[OrderDate]]),1)</f>
        <v>45413</v>
      </c>
    </row>
    <row r="908" spans="1:27" x14ac:dyDescent="0.3">
      <c r="A908" s="3">
        <v>45299</v>
      </c>
      <c r="B908" t="s">
        <v>13</v>
      </c>
      <c r="C908" t="s">
        <v>32</v>
      </c>
      <c r="D908" t="str">
        <f>TRIM(Table1[[#This Row],[Product]])</f>
        <v>Monitor</v>
      </c>
      <c r="E908" t="str">
        <f>PROPER(Table1[[#This Row],[Column1]])</f>
        <v>Monitor</v>
      </c>
      <c r="F908" s="8" t="str">
        <f t="shared" si="70"/>
        <v>Technology</v>
      </c>
      <c r="G908" s="5">
        <v>13</v>
      </c>
      <c r="H908">
        <v>285.27999999999997</v>
      </c>
      <c r="I908" t="s">
        <v>81</v>
      </c>
      <c r="J908" t="s">
        <v>65</v>
      </c>
      <c r="K908" s="7">
        <v>0</v>
      </c>
      <c r="L908" t="s">
        <v>25</v>
      </c>
      <c r="M908" s="5">
        <v>3708.639999999999</v>
      </c>
      <c r="N908" t="s">
        <v>66</v>
      </c>
      <c r="O908" t="s">
        <v>67</v>
      </c>
      <c r="P908" s="5">
        <v>0</v>
      </c>
      <c r="Q908" t="s">
        <v>1842</v>
      </c>
      <c r="R908" t="s">
        <v>1843</v>
      </c>
      <c r="S908" s="5">
        <v>31.2</v>
      </c>
      <c r="T908" s="3">
        <v>45299</v>
      </c>
      <c r="U908" s="3">
        <v>45306</v>
      </c>
      <c r="V908" t="s">
        <v>70</v>
      </c>
      <c r="W908">
        <f t="shared" si="72"/>
        <v>3708.639999999999</v>
      </c>
      <c r="X908">
        <f t="shared" si="73"/>
        <v>3708.6399999999994</v>
      </c>
      <c r="Y908">
        <f t="shared" si="74"/>
        <v>0</v>
      </c>
      <c r="Z908" s="8" t="str">
        <f t="shared" si="71"/>
        <v>No Discount</v>
      </c>
      <c r="AA908" s="12">
        <f>DATE(YEAR(Table1[[#This Row],[OrderDate]]),MONTH(Table1[[#This Row],[OrderDate]]),1)</f>
        <v>45292</v>
      </c>
    </row>
    <row r="909" spans="1:27" x14ac:dyDescent="0.3">
      <c r="A909" s="3">
        <v>45670</v>
      </c>
      <c r="B909" t="s">
        <v>13</v>
      </c>
      <c r="C909" t="s">
        <v>33</v>
      </c>
      <c r="D909" t="str">
        <f>TRIM(Table1[[#This Row],[Product]])</f>
        <v>Phone</v>
      </c>
      <c r="E909" t="str">
        <f>PROPER(Table1[[#This Row],[Column1]])</f>
        <v>Phone</v>
      </c>
      <c r="F909" s="8" t="str">
        <f t="shared" si="70"/>
        <v>Technology</v>
      </c>
      <c r="G909" s="5">
        <v>15</v>
      </c>
      <c r="H909">
        <v>18.04</v>
      </c>
      <c r="I909" t="s">
        <v>78</v>
      </c>
      <c r="J909" t="s">
        <v>58</v>
      </c>
      <c r="K909" s="7">
        <v>0</v>
      </c>
      <c r="L909" t="s">
        <v>25</v>
      </c>
      <c r="M909" s="5">
        <v>270.60000000000002</v>
      </c>
      <c r="N909" t="s">
        <v>82</v>
      </c>
      <c r="O909" t="s">
        <v>67</v>
      </c>
      <c r="P909" s="5">
        <v>1</v>
      </c>
      <c r="Q909" t="s">
        <v>1844</v>
      </c>
      <c r="R909" t="s">
        <v>1845</v>
      </c>
      <c r="S909" s="5">
        <v>14.35</v>
      </c>
      <c r="T909" s="3">
        <v>45670</v>
      </c>
      <c r="U909" s="3">
        <v>45674</v>
      </c>
      <c r="V909" t="s">
        <v>70</v>
      </c>
      <c r="W909">
        <f t="shared" si="72"/>
        <v>270.60000000000002</v>
      </c>
      <c r="X909">
        <f t="shared" si="73"/>
        <v>270.59999999999997</v>
      </c>
      <c r="Y909">
        <f t="shared" si="74"/>
        <v>0</v>
      </c>
      <c r="Z909" s="8" t="str">
        <f t="shared" si="71"/>
        <v>No Discount</v>
      </c>
      <c r="AA909" s="12">
        <f>DATE(YEAR(Table1[[#This Row],[OrderDate]]),MONTH(Table1[[#This Row],[OrderDate]]),1)</f>
        <v>45658</v>
      </c>
    </row>
    <row r="910" spans="1:27" x14ac:dyDescent="0.3">
      <c r="A910" s="3">
        <v>45820</v>
      </c>
      <c r="B910" t="s">
        <v>9</v>
      </c>
      <c r="C910" t="s">
        <v>34</v>
      </c>
      <c r="D910" t="str">
        <f>TRIM(Table1[[#This Row],[Product]])</f>
        <v>Printer</v>
      </c>
      <c r="E910" t="str">
        <f>PROPER(Table1[[#This Row],[Column1]])</f>
        <v>Printer</v>
      </c>
      <c r="F910" s="8" t="str">
        <f t="shared" si="70"/>
        <v>Office Supplies</v>
      </c>
      <c r="G910" s="5">
        <v>11</v>
      </c>
      <c r="H910">
        <v>495.44</v>
      </c>
      <c r="I910" t="s">
        <v>64</v>
      </c>
      <c r="J910" t="s">
        <v>58</v>
      </c>
      <c r="K910" s="7">
        <v>0</v>
      </c>
      <c r="L910" t="s">
        <v>19</v>
      </c>
      <c r="M910" s="5">
        <v>5449.84</v>
      </c>
      <c r="N910" t="s">
        <v>66</v>
      </c>
      <c r="O910" t="s">
        <v>60</v>
      </c>
      <c r="P910" s="5">
        <v>0</v>
      </c>
      <c r="Q910" t="s">
        <v>1846</v>
      </c>
      <c r="R910" t="s">
        <v>1847</v>
      </c>
      <c r="S910" s="5">
        <v>44.77</v>
      </c>
      <c r="T910" s="3">
        <v>45820</v>
      </c>
      <c r="U910" s="3">
        <v>45826</v>
      </c>
      <c r="V910" t="s">
        <v>63</v>
      </c>
      <c r="W910">
        <f t="shared" si="72"/>
        <v>5449.84</v>
      </c>
      <c r="X910">
        <f t="shared" si="73"/>
        <v>5449.84</v>
      </c>
      <c r="Y910">
        <f t="shared" si="74"/>
        <v>0</v>
      </c>
      <c r="Z910" s="8" t="str">
        <f t="shared" si="71"/>
        <v>No Discount</v>
      </c>
      <c r="AA910" s="12">
        <f>DATE(YEAR(Table1[[#This Row],[OrderDate]]),MONTH(Table1[[#This Row],[OrderDate]]),1)</f>
        <v>45809</v>
      </c>
    </row>
    <row r="911" spans="1:27" x14ac:dyDescent="0.3">
      <c r="A911" s="3">
        <v>45750</v>
      </c>
      <c r="B911" t="s">
        <v>11</v>
      </c>
      <c r="C911" t="s">
        <v>31</v>
      </c>
      <c r="D911" t="str">
        <f>TRIM(Table1[[#This Row],[Product]])</f>
        <v>Laptop</v>
      </c>
      <c r="E911" t="str">
        <f>PROPER(Table1[[#This Row],[Column1]])</f>
        <v>Laptop</v>
      </c>
      <c r="F911" s="8" t="str">
        <f t="shared" si="70"/>
        <v>Technology</v>
      </c>
      <c r="G911" s="5">
        <v>12</v>
      </c>
      <c r="H911">
        <v>276.42</v>
      </c>
      <c r="I911" t="s">
        <v>78</v>
      </c>
      <c r="J911" t="s">
        <v>65</v>
      </c>
      <c r="K911" s="7">
        <v>0.15</v>
      </c>
      <c r="L911" t="s">
        <v>21</v>
      </c>
      <c r="M911" s="5">
        <v>2819.4839999999999</v>
      </c>
      <c r="N911" t="s">
        <v>59</v>
      </c>
      <c r="P911" s="5">
        <v>0</v>
      </c>
      <c r="Q911" t="s">
        <v>1848</v>
      </c>
      <c r="R911" t="s">
        <v>1849</v>
      </c>
      <c r="S911" s="5">
        <v>30.57</v>
      </c>
      <c r="T911" s="3">
        <v>45750</v>
      </c>
      <c r="U911" s="3">
        <v>45759</v>
      </c>
      <c r="V911" t="s">
        <v>74</v>
      </c>
      <c r="W911">
        <f t="shared" si="72"/>
        <v>2396.5614</v>
      </c>
      <c r="X911">
        <f t="shared" si="73"/>
        <v>3317.04</v>
      </c>
      <c r="Y911">
        <f t="shared" si="74"/>
        <v>920.47859999999991</v>
      </c>
      <c r="Z911" s="8" t="str">
        <f t="shared" si="71"/>
        <v>High</v>
      </c>
      <c r="AA911" s="12">
        <f>DATE(YEAR(Table1[[#This Row],[OrderDate]]),MONTH(Table1[[#This Row],[OrderDate]]),1)</f>
        <v>45748</v>
      </c>
    </row>
    <row r="912" spans="1:27" x14ac:dyDescent="0.3">
      <c r="A912" s="3">
        <v>44952</v>
      </c>
      <c r="B912" t="s">
        <v>7</v>
      </c>
      <c r="C912" t="s">
        <v>30</v>
      </c>
      <c r="D912" t="str">
        <f>TRIM(Table1[[#This Row],[Product]])</f>
        <v>Desk</v>
      </c>
      <c r="E912" t="str">
        <f>PROPER(Table1[[#This Row],[Column1]])</f>
        <v>Desk</v>
      </c>
      <c r="F912" s="8" t="str">
        <f t="shared" si="70"/>
        <v>Furniture</v>
      </c>
      <c r="G912" s="5">
        <v>7</v>
      </c>
      <c r="H912">
        <v>228.32</v>
      </c>
      <c r="I912" t="s">
        <v>78</v>
      </c>
      <c r="J912" t="s">
        <v>58</v>
      </c>
      <c r="K912" s="7">
        <v>0.15</v>
      </c>
      <c r="L912" t="s">
        <v>25</v>
      </c>
      <c r="M912" s="5">
        <v>1358.5039999999999</v>
      </c>
      <c r="N912" t="s">
        <v>85</v>
      </c>
      <c r="O912" t="s">
        <v>60</v>
      </c>
      <c r="P912" s="5">
        <v>0</v>
      </c>
      <c r="Q912" t="s">
        <v>1850</v>
      </c>
      <c r="R912" t="s">
        <v>1851</v>
      </c>
      <c r="S912" s="5">
        <v>22.16</v>
      </c>
      <c r="T912" s="3">
        <v>44952</v>
      </c>
      <c r="U912" s="3">
        <v>44956</v>
      </c>
      <c r="V912" t="s">
        <v>77</v>
      </c>
      <c r="W912">
        <f t="shared" si="72"/>
        <v>1154.7284</v>
      </c>
      <c r="X912">
        <f t="shared" si="73"/>
        <v>1598.24</v>
      </c>
      <c r="Y912">
        <f t="shared" si="74"/>
        <v>443.51160000000004</v>
      </c>
      <c r="Z912" s="8" t="str">
        <f t="shared" si="71"/>
        <v>High</v>
      </c>
      <c r="AA912" s="12">
        <f>DATE(YEAR(Table1[[#This Row],[OrderDate]]),MONTH(Table1[[#This Row],[OrderDate]]),1)</f>
        <v>44927</v>
      </c>
    </row>
    <row r="913" spans="1:27" x14ac:dyDescent="0.3">
      <c r="A913" s="3">
        <v>44933</v>
      </c>
      <c r="B913" t="s">
        <v>7</v>
      </c>
      <c r="C913" t="s">
        <v>32</v>
      </c>
      <c r="D913" t="str">
        <f>TRIM(Table1[[#This Row],[Product]])</f>
        <v>Monitor</v>
      </c>
      <c r="E913" t="str">
        <f>PROPER(Table1[[#This Row],[Column1]])</f>
        <v>Monitor</v>
      </c>
      <c r="F913" s="8" t="str">
        <f t="shared" si="70"/>
        <v>Technology</v>
      </c>
      <c r="G913" s="5">
        <v>1</v>
      </c>
      <c r="H913">
        <v>498.19</v>
      </c>
      <c r="I913" t="s">
        <v>64</v>
      </c>
      <c r="J913" t="s">
        <v>58</v>
      </c>
      <c r="K913" s="7">
        <v>0.1</v>
      </c>
      <c r="L913" t="s">
        <v>19</v>
      </c>
      <c r="M913" s="5">
        <v>448.37099999999998</v>
      </c>
      <c r="N913" t="s">
        <v>66</v>
      </c>
      <c r="O913" t="s">
        <v>67</v>
      </c>
      <c r="P913" s="5">
        <v>0</v>
      </c>
      <c r="Q913" t="s">
        <v>1852</v>
      </c>
      <c r="R913" t="s">
        <v>1853</v>
      </c>
      <c r="S913" s="5">
        <v>25.55</v>
      </c>
      <c r="T913" s="3">
        <v>44933</v>
      </c>
      <c r="U913" s="3">
        <v>44937</v>
      </c>
      <c r="V913" t="s">
        <v>77</v>
      </c>
      <c r="W913">
        <f t="shared" si="72"/>
        <v>403.53390000000002</v>
      </c>
      <c r="X913">
        <f t="shared" si="73"/>
        <v>498.19</v>
      </c>
      <c r="Y913">
        <f t="shared" si="74"/>
        <v>94.656099999999981</v>
      </c>
      <c r="Z913" s="8" t="str">
        <f t="shared" si="71"/>
        <v>Medium</v>
      </c>
      <c r="AA913" s="12">
        <f>DATE(YEAR(Table1[[#This Row],[OrderDate]]),MONTH(Table1[[#This Row],[OrderDate]]),1)</f>
        <v>44927</v>
      </c>
    </row>
    <row r="914" spans="1:27" x14ac:dyDescent="0.3">
      <c r="A914" s="3">
        <v>45672</v>
      </c>
      <c r="B914" t="s">
        <v>11</v>
      </c>
      <c r="C914" t="s">
        <v>30</v>
      </c>
      <c r="D914" t="str">
        <f>TRIM(Table1[[#This Row],[Product]])</f>
        <v>Desk</v>
      </c>
      <c r="E914" t="str">
        <f>PROPER(Table1[[#This Row],[Column1]])</f>
        <v>Desk</v>
      </c>
      <c r="F914" s="8" t="str">
        <f t="shared" si="70"/>
        <v>Furniture</v>
      </c>
      <c r="G914" s="5">
        <v>18</v>
      </c>
      <c r="H914">
        <v>375.83</v>
      </c>
      <c r="I914" t="s">
        <v>78</v>
      </c>
      <c r="J914" t="s">
        <v>65</v>
      </c>
      <c r="K914" s="7">
        <v>0.1</v>
      </c>
      <c r="L914" t="s">
        <v>21</v>
      </c>
      <c r="M914" s="5">
        <v>6088.4459999999999</v>
      </c>
      <c r="N914" t="s">
        <v>66</v>
      </c>
      <c r="P914" s="5">
        <v>0</v>
      </c>
      <c r="Q914" t="s">
        <v>1854</v>
      </c>
      <c r="R914" t="s">
        <v>1855</v>
      </c>
      <c r="S914" s="5">
        <v>15.13</v>
      </c>
      <c r="T914" s="3">
        <v>45672</v>
      </c>
      <c r="U914" s="3">
        <v>45680</v>
      </c>
      <c r="V914" t="s">
        <v>74</v>
      </c>
      <c r="W914">
        <f t="shared" si="72"/>
        <v>5479.6014000000005</v>
      </c>
      <c r="X914">
        <f t="shared" si="73"/>
        <v>6764.94</v>
      </c>
      <c r="Y914">
        <f t="shared" si="74"/>
        <v>1285.3385999999991</v>
      </c>
      <c r="Z914" s="8" t="str">
        <f t="shared" si="71"/>
        <v>Medium</v>
      </c>
      <c r="AA914" s="12">
        <f>DATE(YEAR(Table1[[#This Row],[OrderDate]]),MONTH(Table1[[#This Row],[OrderDate]]),1)</f>
        <v>45658</v>
      </c>
    </row>
    <row r="915" spans="1:27" x14ac:dyDescent="0.3">
      <c r="A915" s="3">
        <v>45626</v>
      </c>
      <c r="B915" t="s">
        <v>9</v>
      </c>
      <c r="C915" t="s">
        <v>29</v>
      </c>
      <c r="D915" t="str">
        <f>TRIM(Table1[[#This Row],[Product]])</f>
        <v>Chair</v>
      </c>
      <c r="E915" t="str">
        <f>PROPER(Table1[[#This Row],[Column1]])</f>
        <v>Chair</v>
      </c>
      <c r="F915" s="8" t="str">
        <f t="shared" si="70"/>
        <v>Furniture</v>
      </c>
      <c r="G915" s="5">
        <v>18</v>
      </c>
      <c r="H915">
        <v>130.36000000000001</v>
      </c>
      <c r="I915" t="s">
        <v>57</v>
      </c>
      <c r="J915" t="s">
        <v>58</v>
      </c>
      <c r="K915" s="7">
        <v>0</v>
      </c>
      <c r="L915" t="s">
        <v>23</v>
      </c>
      <c r="M915" s="5">
        <v>2346.48</v>
      </c>
      <c r="N915" t="s">
        <v>85</v>
      </c>
      <c r="O915" t="s">
        <v>67</v>
      </c>
      <c r="P915" s="5">
        <v>0</v>
      </c>
      <c r="Q915" t="s">
        <v>1856</v>
      </c>
      <c r="R915" t="s">
        <v>1857</v>
      </c>
      <c r="S915" s="5">
        <v>34.6</v>
      </c>
      <c r="T915" s="3">
        <v>45626</v>
      </c>
      <c r="U915" s="3">
        <v>45631</v>
      </c>
      <c r="V915" t="s">
        <v>63</v>
      </c>
      <c r="W915">
        <f t="shared" si="72"/>
        <v>2346.48</v>
      </c>
      <c r="X915">
        <f t="shared" si="73"/>
        <v>2346.4800000000005</v>
      </c>
      <c r="Y915">
        <f t="shared" si="74"/>
        <v>0</v>
      </c>
      <c r="Z915" s="8" t="str">
        <f t="shared" si="71"/>
        <v>No Discount</v>
      </c>
      <c r="AA915" s="12">
        <f>DATE(YEAR(Table1[[#This Row],[OrderDate]]),MONTH(Table1[[#This Row],[OrderDate]]),1)</f>
        <v>45597</v>
      </c>
    </row>
    <row r="916" spans="1:27" x14ac:dyDescent="0.3">
      <c r="A916" s="3">
        <v>45348</v>
      </c>
      <c r="B916" t="s">
        <v>9</v>
      </c>
      <c r="C916" t="s">
        <v>32</v>
      </c>
      <c r="D916" t="str">
        <f>TRIM(Table1[[#This Row],[Product]])</f>
        <v>Monitor</v>
      </c>
      <c r="E916" t="str">
        <f>PROPER(Table1[[#This Row],[Column1]])</f>
        <v>Monitor</v>
      </c>
      <c r="F916" s="8" t="str">
        <f t="shared" si="70"/>
        <v>Technology</v>
      </c>
      <c r="G916" s="5">
        <v>13</v>
      </c>
      <c r="H916">
        <v>585.88</v>
      </c>
      <c r="I916" t="s">
        <v>57</v>
      </c>
      <c r="J916" t="s">
        <v>65</v>
      </c>
      <c r="K916" s="7">
        <v>0.15</v>
      </c>
      <c r="L916" t="s">
        <v>21</v>
      </c>
      <c r="M916" s="5">
        <v>6473.9739999999993</v>
      </c>
      <c r="N916" t="s">
        <v>82</v>
      </c>
      <c r="O916" t="s">
        <v>71</v>
      </c>
      <c r="P916" s="5">
        <v>0</v>
      </c>
      <c r="Q916" t="s">
        <v>1858</v>
      </c>
      <c r="R916" t="s">
        <v>1859</v>
      </c>
      <c r="S916" s="5">
        <v>42.18</v>
      </c>
      <c r="T916" s="3">
        <v>45348</v>
      </c>
      <c r="U916" s="3">
        <v>45358</v>
      </c>
      <c r="V916" t="s">
        <v>63</v>
      </c>
      <c r="W916">
        <f t="shared" si="72"/>
        <v>5502.8778999999995</v>
      </c>
      <c r="X916">
        <f t="shared" si="73"/>
        <v>7616.44</v>
      </c>
      <c r="Y916">
        <f t="shared" si="74"/>
        <v>2113.5621000000001</v>
      </c>
      <c r="Z916" s="8" t="str">
        <f t="shared" si="71"/>
        <v>High</v>
      </c>
      <c r="AA916" s="12">
        <f>DATE(YEAR(Table1[[#This Row],[OrderDate]]),MONTH(Table1[[#This Row],[OrderDate]]),1)</f>
        <v>45323</v>
      </c>
    </row>
    <row r="917" spans="1:27" x14ac:dyDescent="0.3">
      <c r="A917" s="3">
        <v>45819</v>
      </c>
      <c r="B917" t="s">
        <v>11</v>
      </c>
      <c r="C917" t="s">
        <v>30</v>
      </c>
      <c r="D917" t="str">
        <f>TRIM(Table1[[#This Row],[Product]])</f>
        <v>Desk</v>
      </c>
      <c r="E917" t="str">
        <f>PROPER(Table1[[#This Row],[Column1]])</f>
        <v>Desk</v>
      </c>
      <c r="F917" s="8" t="str">
        <f t="shared" si="70"/>
        <v>Furniture</v>
      </c>
      <c r="G917" s="5">
        <v>19</v>
      </c>
      <c r="H917">
        <v>278.04000000000002</v>
      </c>
      <c r="I917" t="s">
        <v>57</v>
      </c>
      <c r="J917" t="s">
        <v>65</v>
      </c>
      <c r="K917" s="7">
        <v>0.05</v>
      </c>
      <c r="L917" t="s">
        <v>19</v>
      </c>
      <c r="M917" s="5">
        <v>5018.6220000000003</v>
      </c>
      <c r="N917" t="s">
        <v>82</v>
      </c>
      <c r="O917" t="s">
        <v>67</v>
      </c>
      <c r="P917" s="5">
        <v>0</v>
      </c>
      <c r="Q917" t="s">
        <v>1860</v>
      </c>
      <c r="R917" t="s">
        <v>1861</v>
      </c>
      <c r="S917" s="5">
        <v>16.399999999999999</v>
      </c>
      <c r="T917" s="3">
        <v>45819</v>
      </c>
      <c r="U917" s="3">
        <v>45823</v>
      </c>
      <c r="V917" t="s">
        <v>74</v>
      </c>
      <c r="W917">
        <f t="shared" si="72"/>
        <v>4767.6909000000005</v>
      </c>
      <c r="X917">
        <f t="shared" si="73"/>
        <v>5282.76</v>
      </c>
      <c r="Y917">
        <f t="shared" si="74"/>
        <v>515.06909999999971</v>
      </c>
      <c r="Z917" s="8" t="str">
        <f t="shared" si="71"/>
        <v>Medium</v>
      </c>
      <c r="AA917" s="12">
        <f>DATE(YEAR(Table1[[#This Row],[OrderDate]]),MONTH(Table1[[#This Row],[OrderDate]]),1)</f>
        <v>45809</v>
      </c>
    </row>
    <row r="918" spans="1:27" x14ac:dyDescent="0.3">
      <c r="A918" s="3">
        <v>45259</v>
      </c>
      <c r="B918" t="s">
        <v>7</v>
      </c>
      <c r="C918" t="s">
        <v>33</v>
      </c>
      <c r="D918" t="str">
        <f>TRIM(Table1[[#This Row],[Product]])</f>
        <v>Phone</v>
      </c>
      <c r="E918" t="str">
        <f>PROPER(Table1[[#This Row],[Column1]])</f>
        <v>Phone</v>
      </c>
      <c r="F918" s="8" t="str">
        <f t="shared" si="70"/>
        <v>Technology</v>
      </c>
      <c r="G918" s="5">
        <v>11</v>
      </c>
      <c r="H918">
        <v>267.91000000000003</v>
      </c>
      <c r="I918" t="s">
        <v>57</v>
      </c>
      <c r="J918" t="s">
        <v>65</v>
      </c>
      <c r="K918" s="7">
        <v>0</v>
      </c>
      <c r="L918" t="s">
        <v>25</v>
      </c>
      <c r="M918" s="5">
        <v>2947.01</v>
      </c>
      <c r="N918" t="s">
        <v>85</v>
      </c>
      <c r="P918" s="5">
        <v>0</v>
      </c>
      <c r="Q918" t="s">
        <v>1862</v>
      </c>
      <c r="R918" t="s">
        <v>1863</v>
      </c>
      <c r="S918" s="5">
        <v>12.05</v>
      </c>
      <c r="T918" s="3">
        <v>45259</v>
      </c>
      <c r="U918" s="3">
        <v>45264</v>
      </c>
      <c r="V918" t="s">
        <v>77</v>
      </c>
      <c r="W918">
        <f t="shared" si="72"/>
        <v>2947.01</v>
      </c>
      <c r="X918">
        <f t="shared" si="73"/>
        <v>2947.01</v>
      </c>
      <c r="Y918">
        <f t="shared" si="74"/>
        <v>0</v>
      </c>
      <c r="Z918" s="8" t="str">
        <f t="shared" si="71"/>
        <v>No Discount</v>
      </c>
      <c r="AA918" s="12">
        <f>DATE(YEAR(Table1[[#This Row],[OrderDate]]),MONTH(Table1[[#This Row],[OrderDate]]),1)</f>
        <v>45231</v>
      </c>
    </row>
    <row r="919" spans="1:27" x14ac:dyDescent="0.3">
      <c r="A919" s="3">
        <v>45470</v>
      </c>
      <c r="B919" t="s">
        <v>13</v>
      </c>
      <c r="C919" t="s">
        <v>29</v>
      </c>
      <c r="D919" t="str">
        <f>TRIM(Table1[[#This Row],[Product]])</f>
        <v>Chair</v>
      </c>
      <c r="E919" t="str">
        <f>PROPER(Table1[[#This Row],[Column1]])</f>
        <v>Chair</v>
      </c>
      <c r="F919" s="8" t="str">
        <f t="shared" si="70"/>
        <v>Furniture</v>
      </c>
      <c r="G919" s="5">
        <v>12</v>
      </c>
      <c r="H919">
        <v>369.54</v>
      </c>
      <c r="I919" t="s">
        <v>57</v>
      </c>
      <c r="J919" t="s">
        <v>65</v>
      </c>
      <c r="K919" s="7">
        <v>0.05</v>
      </c>
      <c r="L919" t="s">
        <v>23</v>
      </c>
      <c r="M919" s="5">
        <v>4212.7560000000003</v>
      </c>
      <c r="N919" t="s">
        <v>85</v>
      </c>
      <c r="O919" t="s">
        <v>71</v>
      </c>
      <c r="P919" s="5">
        <v>1</v>
      </c>
      <c r="Q919" t="s">
        <v>1864</v>
      </c>
      <c r="R919" t="s">
        <v>1865</v>
      </c>
      <c r="S919" s="5">
        <v>39.159999999999997</v>
      </c>
      <c r="T919" s="3">
        <v>45470</v>
      </c>
      <c r="U919" s="3">
        <v>45478</v>
      </c>
      <c r="V919" t="s">
        <v>70</v>
      </c>
      <c r="W919">
        <f t="shared" si="72"/>
        <v>4002.1181999999999</v>
      </c>
      <c r="X919">
        <f t="shared" si="73"/>
        <v>4434.4800000000005</v>
      </c>
      <c r="Y919">
        <f t="shared" si="74"/>
        <v>432.36180000000058</v>
      </c>
      <c r="Z919" s="8" t="str">
        <f t="shared" si="71"/>
        <v>Medium</v>
      </c>
      <c r="AA919" s="12">
        <f>DATE(YEAR(Table1[[#This Row],[OrderDate]]),MONTH(Table1[[#This Row],[OrderDate]]),1)</f>
        <v>45444</v>
      </c>
    </row>
    <row r="920" spans="1:27" x14ac:dyDescent="0.3">
      <c r="A920" s="3">
        <v>45432</v>
      </c>
      <c r="B920" t="s">
        <v>13</v>
      </c>
      <c r="C920" t="s">
        <v>32</v>
      </c>
      <c r="D920" t="str">
        <f>TRIM(Table1[[#This Row],[Product]])</f>
        <v>Monitor</v>
      </c>
      <c r="E920" t="str">
        <f>PROPER(Table1[[#This Row],[Column1]])</f>
        <v>Monitor</v>
      </c>
      <c r="F920" s="8" t="str">
        <f t="shared" si="70"/>
        <v>Technology</v>
      </c>
      <c r="G920" s="5">
        <v>13</v>
      </c>
      <c r="H920">
        <v>284.3</v>
      </c>
      <c r="I920" t="s">
        <v>64</v>
      </c>
      <c r="J920" t="s">
        <v>58</v>
      </c>
      <c r="K920" s="7">
        <v>0.05</v>
      </c>
      <c r="L920" t="s">
        <v>19</v>
      </c>
      <c r="M920" s="5">
        <v>3511.105</v>
      </c>
      <c r="N920" t="s">
        <v>59</v>
      </c>
      <c r="O920" t="s">
        <v>71</v>
      </c>
      <c r="P920" s="5">
        <v>0</v>
      </c>
      <c r="Q920" t="s">
        <v>1866</v>
      </c>
      <c r="R920" t="s">
        <v>1867</v>
      </c>
      <c r="S920" s="5">
        <v>48.73</v>
      </c>
      <c r="T920" s="3">
        <v>45432</v>
      </c>
      <c r="U920" s="3">
        <v>45439</v>
      </c>
      <c r="V920" t="s">
        <v>70</v>
      </c>
      <c r="W920">
        <f t="shared" si="72"/>
        <v>3335.5497499999997</v>
      </c>
      <c r="X920">
        <f t="shared" si="73"/>
        <v>3695.9</v>
      </c>
      <c r="Y920">
        <f t="shared" si="74"/>
        <v>360.35025000000041</v>
      </c>
      <c r="Z920" s="8" t="str">
        <f t="shared" si="71"/>
        <v>Medium</v>
      </c>
      <c r="AA920" s="12">
        <f>DATE(YEAR(Table1[[#This Row],[OrderDate]]),MONTH(Table1[[#This Row],[OrderDate]]),1)</f>
        <v>45413</v>
      </c>
    </row>
    <row r="921" spans="1:27" x14ac:dyDescent="0.3">
      <c r="A921" s="3">
        <v>45094</v>
      </c>
      <c r="B921" t="s">
        <v>16</v>
      </c>
      <c r="C921" t="s">
        <v>29</v>
      </c>
      <c r="D921" t="str">
        <f>TRIM(Table1[[#This Row],[Product]])</f>
        <v>Chair</v>
      </c>
      <c r="E921" t="str">
        <f>PROPER(Table1[[#This Row],[Column1]])</f>
        <v>Chair</v>
      </c>
      <c r="F921" s="8" t="str">
        <f t="shared" si="70"/>
        <v>Furniture</v>
      </c>
      <c r="G921" s="5">
        <v>12</v>
      </c>
      <c r="H921">
        <v>427.1</v>
      </c>
      <c r="I921" t="s">
        <v>78</v>
      </c>
      <c r="J921" t="s">
        <v>65</v>
      </c>
      <c r="K921" s="7">
        <v>0</v>
      </c>
      <c r="L921" t="s">
        <v>21</v>
      </c>
      <c r="M921" s="5">
        <v>5125.2000000000007</v>
      </c>
      <c r="N921" t="s">
        <v>66</v>
      </c>
      <c r="O921" t="s">
        <v>71</v>
      </c>
      <c r="P921" s="5">
        <v>1</v>
      </c>
      <c r="Q921" t="s">
        <v>1868</v>
      </c>
      <c r="R921" t="s">
        <v>1869</v>
      </c>
      <c r="S921" s="5">
        <v>8.11</v>
      </c>
      <c r="T921" s="3">
        <v>45094</v>
      </c>
      <c r="U921" s="3">
        <v>45099</v>
      </c>
      <c r="V921" t="s">
        <v>95</v>
      </c>
      <c r="W921">
        <f t="shared" si="72"/>
        <v>5125.2000000000007</v>
      </c>
      <c r="X921">
        <f t="shared" si="73"/>
        <v>5125.2000000000007</v>
      </c>
      <c r="Y921">
        <f t="shared" si="74"/>
        <v>0</v>
      </c>
      <c r="Z921" s="8" t="str">
        <f t="shared" si="71"/>
        <v>No Discount</v>
      </c>
      <c r="AA921" s="12">
        <f>DATE(YEAR(Table1[[#This Row],[OrderDate]]),MONTH(Table1[[#This Row],[OrderDate]]),1)</f>
        <v>45078</v>
      </c>
    </row>
    <row r="922" spans="1:27" x14ac:dyDescent="0.3">
      <c r="A922" s="3">
        <v>45602</v>
      </c>
      <c r="B922" t="s">
        <v>9</v>
      </c>
      <c r="C922" t="s">
        <v>32</v>
      </c>
      <c r="D922" t="str">
        <f>TRIM(Table1[[#This Row],[Product]])</f>
        <v>Monitor</v>
      </c>
      <c r="E922" t="str">
        <f>PROPER(Table1[[#This Row],[Column1]])</f>
        <v>Monitor</v>
      </c>
      <c r="F922" s="8" t="str">
        <f t="shared" si="70"/>
        <v>Technology</v>
      </c>
      <c r="G922" s="5">
        <v>11</v>
      </c>
      <c r="H922">
        <v>200.3</v>
      </c>
      <c r="I922" t="s">
        <v>81</v>
      </c>
      <c r="J922" t="s">
        <v>65</v>
      </c>
      <c r="K922" s="7">
        <v>0.1</v>
      </c>
      <c r="L922" t="s">
        <v>25</v>
      </c>
      <c r="M922" s="5">
        <v>1982.97</v>
      </c>
      <c r="N922" t="s">
        <v>85</v>
      </c>
      <c r="O922" t="s">
        <v>71</v>
      </c>
      <c r="P922" s="5">
        <v>1</v>
      </c>
      <c r="Q922" t="s">
        <v>1870</v>
      </c>
      <c r="R922" t="s">
        <v>1871</v>
      </c>
      <c r="S922" s="5">
        <v>48.27</v>
      </c>
      <c r="T922" s="3">
        <v>45602</v>
      </c>
      <c r="U922" s="3">
        <v>45609</v>
      </c>
      <c r="V922" t="s">
        <v>63</v>
      </c>
      <c r="W922">
        <f t="shared" si="72"/>
        <v>1784.673</v>
      </c>
      <c r="X922">
        <f t="shared" si="73"/>
        <v>2203.3000000000002</v>
      </c>
      <c r="Y922">
        <f t="shared" si="74"/>
        <v>418.62700000000018</v>
      </c>
      <c r="Z922" s="8" t="str">
        <f t="shared" si="71"/>
        <v>Medium</v>
      </c>
      <c r="AA922" s="12">
        <f>DATE(YEAR(Table1[[#This Row],[OrderDate]]),MONTH(Table1[[#This Row],[OrderDate]]),1)</f>
        <v>45597</v>
      </c>
    </row>
    <row r="923" spans="1:27" x14ac:dyDescent="0.3">
      <c r="A923" s="3">
        <v>45700</v>
      </c>
      <c r="B923" t="s">
        <v>11</v>
      </c>
      <c r="C923" t="s">
        <v>34</v>
      </c>
      <c r="D923" t="str">
        <f>TRIM(Table1[[#This Row],[Product]])</f>
        <v>Printer</v>
      </c>
      <c r="E923" t="str">
        <f>PROPER(Table1[[#This Row],[Column1]])</f>
        <v>Printer</v>
      </c>
      <c r="F923" s="8" t="str">
        <f t="shared" si="70"/>
        <v>Office Supplies</v>
      </c>
      <c r="G923" s="5">
        <v>4</v>
      </c>
      <c r="H923">
        <v>75.8</v>
      </c>
      <c r="I923" t="s">
        <v>78</v>
      </c>
      <c r="J923" t="s">
        <v>65</v>
      </c>
      <c r="K923" s="7">
        <v>0.15</v>
      </c>
      <c r="L923" t="s">
        <v>21</v>
      </c>
      <c r="M923" s="5">
        <v>257.72000000000003</v>
      </c>
      <c r="N923" t="s">
        <v>82</v>
      </c>
      <c r="O923" t="s">
        <v>67</v>
      </c>
      <c r="P923" s="5">
        <v>0</v>
      </c>
      <c r="Q923" t="s">
        <v>1872</v>
      </c>
      <c r="R923" t="s">
        <v>1873</v>
      </c>
      <c r="S923" s="5">
        <v>12.22</v>
      </c>
      <c r="T923" s="3">
        <v>45700</v>
      </c>
      <c r="U923" s="3">
        <v>45708</v>
      </c>
      <c r="V923" t="s">
        <v>74</v>
      </c>
      <c r="W923">
        <f t="shared" si="72"/>
        <v>219.06200000000001</v>
      </c>
      <c r="X923">
        <f t="shared" si="73"/>
        <v>303.2</v>
      </c>
      <c r="Y923">
        <f t="shared" si="74"/>
        <v>84.137999999999977</v>
      </c>
      <c r="Z923" s="8" t="str">
        <f t="shared" si="71"/>
        <v>High</v>
      </c>
      <c r="AA923" s="12">
        <f>DATE(YEAR(Table1[[#This Row],[OrderDate]]),MONTH(Table1[[#This Row],[OrderDate]]),1)</f>
        <v>45689</v>
      </c>
    </row>
    <row r="924" spans="1:27" x14ac:dyDescent="0.3">
      <c r="A924" s="3">
        <v>45756</v>
      </c>
      <c r="B924" t="s">
        <v>11</v>
      </c>
      <c r="C924" t="s">
        <v>32</v>
      </c>
      <c r="D924" t="str">
        <f>TRIM(Table1[[#This Row],[Product]])</f>
        <v>Monitor</v>
      </c>
      <c r="E924" t="str">
        <f>PROPER(Table1[[#This Row],[Column1]])</f>
        <v>Monitor</v>
      </c>
      <c r="F924" s="8" t="str">
        <f t="shared" si="70"/>
        <v>Technology</v>
      </c>
      <c r="G924" s="5">
        <v>4</v>
      </c>
      <c r="H924">
        <v>518.42999999999995</v>
      </c>
      <c r="I924" t="s">
        <v>64</v>
      </c>
      <c r="J924" t="s">
        <v>58</v>
      </c>
      <c r="K924" s="7">
        <v>0</v>
      </c>
      <c r="L924" t="s">
        <v>18</v>
      </c>
      <c r="M924" s="5">
        <v>2073.7199999999998</v>
      </c>
      <c r="N924" t="s">
        <v>59</v>
      </c>
      <c r="O924" t="s">
        <v>67</v>
      </c>
      <c r="P924" s="5">
        <v>0</v>
      </c>
      <c r="Q924" t="s">
        <v>1874</v>
      </c>
      <c r="R924" t="s">
        <v>1261</v>
      </c>
      <c r="S924" s="5">
        <v>30.86</v>
      </c>
      <c r="T924" s="3">
        <v>45756</v>
      </c>
      <c r="U924" s="3">
        <v>45761</v>
      </c>
      <c r="V924" t="s">
        <v>74</v>
      </c>
      <c r="W924">
        <f t="shared" si="72"/>
        <v>2073.7199999999998</v>
      </c>
      <c r="X924">
        <f t="shared" si="73"/>
        <v>2073.7199999999998</v>
      </c>
      <c r="Y924">
        <f t="shared" si="74"/>
        <v>0</v>
      </c>
      <c r="Z924" s="8" t="str">
        <f t="shared" si="71"/>
        <v>No Discount</v>
      </c>
      <c r="AA924" s="12">
        <f>DATE(YEAR(Table1[[#This Row],[OrderDate]]),MONTH(Table1[[#This Row],[OrderDate]]),1)</f>
        <v>45748</v>
      </c>
    </row>
    <row r="925" spans="1:27" x14ac:dyDescent="0.3">
      <c r="A925" s="3">
        <v>45522</v>
      </c>
      <c r="B925" t="s">
        <v>11</v>
      </c>
      <c r="C925" t="s">
        <v>35</v>
      </c>
      <c r="D925" t="str">
        <f>TRIM(Table1[[#This Row],[Product]])</f>
        <v>Tablet</v>
      </c>
      <c r="E925" t="str">
        <f>PROPER(Table1[[#This Row],[Column1]])</f>
        <v>Tablet</v>
      </c>
      <c r="F925" s="8" t="str">
        <f t="shared" si="70"/>
        <v>Technology</v>
      </c>
      <c r="G925" s="5">
        <v>19</v>
      </c>
      <c r="H925">
        <v>181.18</v>
      </c>
      <c r="I925" t="s">
        <v>64</v>
      </c>
      <c r="J925" t="s">
        <v>58</v>
      </c>
      <c r="K925" s="7">
        <v>0.05</v>
      </c>
      <c r="L925" t="s">
        <v>21</v>
      </c>
      <c r="M925" s="5">
        <v>3270.299</v>
      </c>
      <c r="N925" t="s">
        <v>82</v>
      </c>
      <c r="O925" t="s">
        <v>60</v>
      </c>
      <c r="P925" s="5">
        <v>0</v>
      </c>
      <c r="Q925" t="s">
        <v>1875</v>
      </c>
      <c r="R925" t="s">
        <v>1876</v>
      </c>
      <c r="S925" s="5">
        <v>12.04</v>
      </c>
      <c r="T925" s="3">
        <v>45522</v>
      </c>
      <c r="U925" s="3">
        <v>45530</v>
      </c>
      <c r="V925" t="s">
        <v>74</v>
      </c>
      <c r="W925">
        <f t="shared" si="72"/>
        <v>3106.7840499999998</v>
      </c>
      <c r="X925">
        <f t="shared" si="73"/>
        <v>3442.42</v>
      </c>
      <c r="Y925">
        <f t="shared" si="74"/>
        <v>335.63595000000032</v>
      </c>
      <c r="Z925" s="8" t="str">
        <f t="shared" si="71"/>
        <v>Medium</v>
      </c>
      <c r="AA925" s="12">
        <f>DATE(YEAR(Table1[[#This Row],[OrderDate]]),MONTH(Table1[[#This Row],[OrderDate]]),1)</f>
        <v>45505</v>
      </c>
    </row>
    <row r="926" spans="1:27" x14ac:dyDescent="0.3">
      <c r="A926" s="3">
        <v>44977</v>
      </c>
      <c r="B926" t="s">
        <v>7</v>
      </c>
      <c r="C926" t="s">
        <v>31</v>
      </c>
      <c r="D926" t="str">
        <f>TRIM(Table1[[#This Row],[Product]])</f>
        <v>Laptop</v>
      </c>
      <c r="E926" t="str">
        <f>PROPER(Table1[[#This Row],[Column1]])</f>
        <v>Laptop</v>
      </c>
      <c r="F926" s="8" t="str">
        <f t="shared" si="70"/>
        <v>Technology</v>
      </c>
      <c r="G926" s="5">
        <v>3</v>
      </c>
      <c r="H926">
        <v>197.17</v>
      </c>
      <c r="I926" t="s">
        <v>64</v>
      </c>
      <c r="J926" t="s">
        <v>58</v>
      </c>
      <c r="K926" s="7">
        <v>0.05</v>
      </c>
      <c r="L926" t="s">
        <v>27</v>
      </c>
      <c r="M926" s="5">
        <v>561.93449999999996</v>
      </c>
      <c r="N926" t="s">
        <v>66</v>
      </c>
      <c r="O926" t="s">
        <v>60</v>
      </c>
      <c r="P926" s="5">
        <v>1</v>
      </c>
      <c r="Q926" t="s">
        <v>1877</v>
      </c>
      <c r="R926" t="s">
        <v>1224</v>
      </c>
      <c r="S926" s="5">
        <v>30.29</v>
      </c>
      <c r="T926" s="3">
        <v>44977</v>
      </c>
      <c r="U926" s="3">
        <v>44980</v>
      </c>
      <c r="V926" t="s">
        <v>77</v>
      </c>
      <c r="W926">
        <f t="shared" si="72"/>
        <v>533.83777499999997</v>
      </c>
      <c r="X926">
        <f t="shared" si="73"/>
        <v>591.51</v>
      </c>
      <c r="Y926">
        <f t="shared" si="74"/>
        <v>57.672225000000026</v>
      </c>
      <c r="Z926" s="8" t="str">
        <f t="shared" si="71"/>
        <v>Medium</v>
      </c>
      <c r="AA926" s="12">
        <f>DATE(YEAR(Table1[[#This Row],[OrderDate]]),MONTH(Table1[[#This Row],[OrderDate]]),1)</f>
        <v>44958</v>
      </c>
    </row>
    <row r="927" spans="1:27" x14ac:dyDescent="0.3">
      <c r="A927" s="3">
        <v>45775</v>
      </c>
      <c r="B927" t="s">
        <v>11</v>
      </c>
      <c r="C927" t="s">
        <v>31</v>
      </c>
      <c r="D927" t="str">
        <f>TRIM(Table1[[#This Row],[Product]])</f>
        <v>Laptop</v>
      </c>
      <c r="E927" t="str">
        <f>PROPER(Table1[[#This Row],[Column1]])</f>
        <v>Laptop</v>
      </c>
      <c r="F927" s="8" t="str">
        <f t="shared" si="70"/>
        <v>Technology</v>
      </c>
      <c r="G927" s="5">
        <v>6</v>
      </c>
      <c r="H927">
        <v>81.96</v>
      </c>
      <c r="I927" t="s">
        <v>81</v>
      </c>
      <c r="J927" t="s">
        <v>58</v>
      </c>
      <c r="K927" s="7">
        <v>0.05</v>
      </c>
      <c r="L927" t="s">
        <v>23</v>
      </c>
      <c r="M927" s="5">
        <v>467.17200000000003</v>
      </c>
      <c r="N927" t="s">
        <v>82</v>
      </c>
      <c r="O927" t="s">
        <v>71</v>
      </c>
      <c r="P927" s="5">
        <v>0</v>
      </c>
      <c r="Q927" t="s">
        <v>1878</v>
      </c>
      <c r="R927" t="s">
        <v>1879</v>
      </c>
      <c r="S927" s="5">
        <v>26.43</v>
      </c>
      <c r="T927" s="3">
        <v>45775</v>
      </c>
      <c r="U927" s="3">
        <v>45785</v>
      </c>
      <c r="V927" t="s">
        <v>74</v>
      </c>
      <c r="W927">
        <f t="shared" si="72"/>
        <v>443.8134</v>
      </c>
      <c r="X927">
        <f t="shared" si="73"/>
        <v>491.76</v>
      </c>
      <c r="Y927">
        <f t="shared" si="74"/>
        <v>47.946599999999989</v>
      </c>
      <c r="Z927" s="8" t="str">
        <f t="shared" si="71"/>
        <v>Medium</v>
      </c>
      <c r="AA927" s="12">
        <f>DATE(YEAR(Table1[[#This Row],[OrderDate]]),MONTH(Table1[[#This Row],[OrderDate]]),1)</f>
        <v>45748</v>
      </c>
    </row>
    <row r="928" spans="1:27" x14ac:dyDescent="0.3">
      <c r="A928" s="3">
        <v>45148</v>
      </c>
      <c r="B928" t="s">
        <v>7</v>
      </c>
      <c r="C928" t="s">
        <v>34</v>
      </c>
      <c r="D928" t="str">
        <f>TRIM(Table1[[#This Row],[Product]])</f>
        <v>Printer</v>
      </c>
      <c r="E928" t="str">
        <f>PROPER(Table1[[#This Row],[Column1]])</f>
        <v>Printer</v>
      </c>
      <c r="F928" s="8" t="str">
        <f t="shared" si="70"/>
        <v>Office Supplies</v>
      </c>
      <c r="G928" s="5">
        <v>3</v>
      </c>
      <c r="H928">
        <v>59.78</v>
      </c>
      <c r="I928" t="s">
        <v>78</v>
      </c>
      <c r="J928" t="s">
        <v>65</v>
      </c>
      <c r="K928" s="7">
        <v>0</v>
      </c>
      <c r="L928" t="s">
        <v>25</v>
      </c>
      <c r="M928" s="5">
        <v>179.34</v>
      </c>
      <c r="N928" t="s">
        <v>59</v>
      </c>
      <c r="O928" t="s">
        <v>67</v>
      </c>
      <c r="P928" s="5">
        <v>0</v>
      </c>
      <c r="Q928" t="s">
        <v>1880</v>
      </c>
      <c r="R928" t="s">
        <v>1881</v>
      </c>
      <c r="S928" s="5">
        <v>46.98</v>
      </c>
      <c r="T928" s="3">
        <v>45148</v>
      </c>
      <c r="U928" s="3">
        <v>45151</v>
      </c>
      <c r="V928" t="s">
        <v>77</v>
      </c>
      <c r="W928">
        <f t="shared" si="72"/>
        <v>179.34</v>
      </c>
      <c r="X928">
        <f t="shared" si="73"/>
        <v>179.34</v>
      </c>
      <c r="Y928">
        <f t="shared" si="74"/>
        <v>0</v>
      </c>
      <c r="Z928" s="8" t="str">
        <f t="shared" si="71"/>
        <v>No Discount</v>
      </c>
      <c r="AA928" s="12">
        <f>DATE(YEAR(Table1[[#This Row],[OrderDate]]),MONTH(Table1[[#This Row],[OrderDate]]),1)</f>
        <v>45139</v>
      </c>
    </row>
    <row r="929" spans="1:27" x14ac:dyDescent="0.3">
      <c r="A929" s="3">
        <v>45467</v>
      </c>
      <c r="B929" t="s">
        <v>11</v>
      </c>
      <c r="C929" t="s">
        <v>35</v>
      </c>
      <c r="D929" t="str">
        <f>TRIM(Table1[[#This Row],[Product]])</f>
        <v>Tablet</v>
      </c>
      <c r="E929" t="str">
        <f>PROPER(Table1[[#This Row],[Column1]])</f>
        <v>Tablet</v>
      </c>
      <c r="F929" s="8" t="str">
        <f t="shared" si="70"/>
        <v>Technology</v>
      </c>
      <c r="G929" s="5">
        <v>12</v>
      </c>
      <c r="H929">
        <v>211.66</v>
      </c>
      <c r="I929" t="s">
        <v>64</v>
      </c>
      <c r="J929" t="s">
        <v>58</v>
      </c>
      <c r="K929" s="7">
        <v>0.1</v>
      </c>
      <c r="L929" t="s">
        <v>21</v>
      </c>
      <c r="M929" s="5">
        <v>2285.9279999999999</v>
      </c>
      <c r="N929" t="s">
        <v>82</v>
      </c>
      <c r="O929" t="s">
        <v>67</v>
      </c>
      <c r="P929" s="5">
        <v>0</v>
      </c>
      <c r="Q929" t="s">
        <v>1882</v>
      </c>
      <c r="R929" t="s">
        <v>1883</v>
      </c>
      <c r="S929" s="5">
        <v>10.36</v>
      </c>
      <c r="T929" s="3">
        <v>45467</v>
      </c>
      <c r="U929" s="3">
        <v>45472</v>
      </c>
      <c r="V929" t="s">
        <v>74</v>
      </c>
      <c r="W929">
        <f t="shared" si="72"/>
        <v>2057.3352</v>
      </c>
      <c r="X929">
        <f t="shared" si="73"/>
        <v>2539.92</v>
      </c>
      <c r="Y929">
        <f t="shared" si="74"/>
        <v>482.58480000000009</v>
      </c>
      <c r="Z929" s="8" t="str">
        <f t="shared" si="71"/>
        <v>Medium</v>
      </c>
      <c r="AA929" s="12">
        <f>DATE(YEAR(Table1[[#This Row],[OrderDate]]),MONTH(Table1[[#This Row],[OrderDate]]),1)</f>
        <v>45444</v>
      </c>
    </row>
    <row r="930" spans="1:27" x14ac:dyDescent="0.3">
      <c r="A930" s="3">
        <v>45144</v>
      </c>
      <c r="B930" t="s">
        <v>7</v>
      </c>
      <c r="C930" t="s">
        <v>34</v>
      </c>
      <c r="D930" t="str">
        <f>TRIM(Table1[[#This Row],[Product]])</f>
        <v>Printer</v>
      </c>
      <c r="E930" t="str">
        <f>PROPER(Table1[[#This Row],[Column1]])</f>
        <v>Printer</v>
      </c>
      <c r="F930" s="8" t="str">
        <f t="shared" si="70"/>
        <v>Office Supplies</v>
      </c>
      <c r="G930" s="5">
        <v>13</v>
      </c>
      <c r="H930">
        <v>69.97</v>
      </c>
      <c r="I930" t="s">
        <v>64</v>
      </c>
      <c r="J930" t="s">
        <v>58</v>
      </c>
      <c r="K930" s="7">
        <v>0.05</v>
      </c>
      <c r="L930" t="s">
        <v>18</v>
      </c>
      <c r="M930" s="5">
        <v>864.12950000000001</v>
      </c>
      <c r="N930" t="s">
        <v>85</v>
      </c>
      <c r="P930" s="5">
        <v>0</v>
      </c>
      <c r="Q930" t="s">
        <v>1884</v>
      </c>
      <c r="R930" t="s">
        <v>1885</v>
      </c>
      <c r="S930" s="5">
        <v>27.66</v>
      </c>
      <c r="T930" s="3">
        <v>45144</v>
      </c>
      <c r="U930" s="3">
        <v>45150</v>
      </c>
      <c r="V930" t="s">
        <v>77</v>
      </c>
      <c r="W930">
        <f t="shared" si="72"/>
        <v>820.92302499999994</v>
      </c>
      <c r="X930">
        <f t="shared" si="73"/>
        <v>909.61</v>
      </c>
      <c r="Y930">
        <f t="shared" si="74"/>
        <v>88.686975000000075</v>
      </c>
      <c r="Z930" s="8" t="str">
        <f t="shared" si="71"/>
        <v>Medium</v>
      </c>
      <c r="AA930" s="12">
        <f>DATE(YEAR(Table1[[#This Row],[OrderDate]]),MONTH(Table1[[#This Row],[OrderDate]]),1)</f>
        <v>45139</v>
      </c>
    </row>
    <row r="931" spans="1:27" x14ac:dyDescent="0.3">
      <c r="A931" s="3">
        <v>45622</v>
      </c>
      <c r="B931" t="s">
        <v>9</v>
      </c>
      <c r="C931" t="s">
        <v>35</v>
      </c>
      <c r="D931" t="str">
        <f>TRIM(Table1[[#This Row],[Product]])</f>
        <v>Tablet</v>
      </c>
      <c r="E931" t="str">
        <f>PROPER(Table1[[#This Row],[Column1]])</f>
        <v>Tablet</v>
      </c>
      <c r="F931" s="8" t="str">
        <f t="shared" si="70"/>
        <v>Technology</v>
      </c>
      <c r="G931" s="5">
        <v>7</v>
      </c>
      <c r="H931">
        <v>438.33</v>
      </c>
      <c r="I931" t="s">
        <v>78</v>
      </c>
      <c r="J931" t="s">
        <v>65</v>
      </c>
      <c r="K931" s="7">
        <v>0.1</v>
      </c>
      <c r="L931" t="s">
        <v>27</v>
      </c>
      <c r="M931" s="5">
        <v>2761.4789999999998</v>
      </c>
      <c r="N931" t="s">
        <v>88</v>
      </c>
      <c r="P931" s="5">
        <v>1</v>
      </c>
      <c r="Q931" t="s">
        <v>1886</v>
      </c>
      <c r="R931" t="s">
        <v>1198</v>
      </c>
      <c r="S931" s="5">
        <v>11.57</v>
      </c>
      <c r="T931" s="3">
        <v>45622</v>
      </c>
      <c r="U931" s="3">
        <v>45626</v>
      </c>
      <c r="V931" t="s">
        <v>63</v>
      </c>
      <c r="W931">
        <f t="shared" si="72"/>
        <v>2485.3310999999999</v>
      </c>
      <c r="X931">
        <f t="shared" si="73"/>
        <v>3068.31</v>
      </c>
      <c r="Y931">
        <f t="shared" si="74"/>
        <v>582.97890000000007</v>
      </c>
      <c r="Z931" s="8" t="str">
        <f t="shared" si="71"/>
        <v>Medium</v>
      </c>
      <c r="AA931" s="12">
        <f>DATE(YEAR(Table1[[#This Row],[OrderDate]]),MONTH(Table1[[#This Row],[OrderDate]]),1)</f>
        <v>45597</v>
      </c>
    </row>
    <row r="932" spans="1:27" x14ac:dyDescent="0.3">
      <c r="A932" s="3">
        <v>45694</v>
      </c>
      <c r="B932" t="s">
        <v>9</v>
      </c>
      <c r="C932" t="s">
        <v>31</v>
      </c>
      <c r="D932" t="str">
        <f>TRIM(Table1[[#This Row],[Product]])</f>
        <v>Laptop</v>
      </c>
      <c r="E932" t="str">
        <f>PROPER(Table1[[#This Row],[Column1]])</f>
        <v>Laptop</v>
      </c>
      <c r="F932" s="8" t="str">
        <f t="shared" si="70"/>
        <v>Technology</v>
      </c>
      <c r="G932" s="5">
        <v>7</v>
      </c>
      <c r="H932">
        <v>241.81</v>
      </c>
      <c r="I932" t="s">
        <v>78</v>
      </c>
      <c r="J932" t="s">
        <v>58</v>
      </c>
      <c r="K932" s="7">
        <v>0.1</v>
      </c>
      <c r="L932" t="s">
        <v>18</v>
      </c>
      <c r="M932" s="5">
        <v>1523.403</v>
      </c>
      <c r="N932" t="s">
        <v>85</v>
      </c>
      <c r="O932" t="s">
        <v>60</v>
      </c>
      <c r="P932" s="5">
        <v>0</v>
      </c>
      <c r="Q932" t="s">
        <v>1887</v>
      </c>
      <c r="R932" t="s">
        <v>1888</v>
      </c>
      <c r="S932" s="5">
        <v>32.94</v>
      </c>
      <c r="T932" s="3">
        <v>45694</v>
      </c>
      <c r="U932" s="3">
        <v>45698</v>
      </c>
      <c r="V932" t="s">
        <v>63</v>
      </c>
      <c r="W932">
        <f t="shared" si="72"/>
        <v>1371.0626999999999</v>
      </c>
      <c r="X932">
        <f t="shared" si="73"/>
        <v>1692.67</v>
      </c>
      <c r="Y932">
        <f t="shared" si="74"/>
        <v>321.60730000000012</v>
      </c>
      <c r="Z932" s="8" t="str">
        <f t="shared" si="71"/>
        <v>Medium</v>
      </c>
      <c r="AA932" s="12">
        <f>DATE(YEAR(Table1[[#This Row],[OrderDate]]),MONTH(Table1[[#This Row],[OrderDate]]),1)</f>
        <v>45689</v>
      </c>
    </row>
    <row r="933" spans="1:27" x14ac:dyDescent="0.3">
      <c r="A933" s="3">
        <v>45736</v>
      </c>
      <c r="B933" t="s">
        <v>9</v>
      </c>
      <c r="C933" t="s">
        <v>30</v>
      </c>
      <c r="D933" t="str">
        <f>TRIM(Table1[[#This Row],[Product]])</f>
        <v>Desk</v>
      </c>
      <c r="E933" t="str">
        <f>PROPER(Table1[[#This Row],[Column1]])</f>
        <v>Desk</v>
      </c>
      <c r="F933" s="8" t="str">
        <f t="shared" si="70"/>
        <v>Furniture</v>
      </c>
      <c r="G933" s="5">
        <v>3</v>
      </c>
      <c r="H933">
        <v>466.64</v>
      </c>
      <c r="I933" t="s">
        <v>64</v>
      </c>
      <c r="J933" t="s">
        <v>65</v>
      </c>
      <c r="K933" s="7">
        <v>0.15</v>
      </c>
      <c r="L933" t="s">
        <v>19</v>
      </c>
      <c r="M933" s="5">
        <v>1189.932</v>
      </c>
      <c r="N933" t="s">
        <v>59</v>
      </c>
      <c r="O933" t="s">
        <v>60</v>
      </c>
      <c r="P933" s="5">
        <v>0</v>
      </c>
      <c r="Q933" t="s">
        <v>1889</v>
      </c>
      <c r="R933" t="s">
        <v>1890</v>
      </c>
      <c r="S933" s="5">
        <v>30.33</v>
      </c>
      <c r="T933" s="3">
        <v>45736</v>
      </c>
      <c r="U933" s="3">
        <v>45742</v>
      </c>
      <c r="V933" t="s">
        <v>63</v>
      </c>
      <c r="W933">
        <f t="shared" si="72"/>
        <v>1011.4422</v>
      </c>
      <c r="X933">
        <f t="shared" si="73"/>
        <v>1399.92</v>
      </c>
      <c r="Y933">
        <f t="shared" si="74"/>
        <v>388.47780000000012</v>
      </c>
      <c r="Z933" s="8" t="str">
        <f t="shared" si="71"/>
        <v>High</v>
      </c>
      <c r="AA933" s="12">
        <f>DATE(YEAR(Table1[[#This Row],[OrderDate]]),MONTH(Table1[[#This Row],[OrderDate]]),1)</f>
        <v>45717</v>
      </c>
    </row>
    <row r="934" spans="1:27" x14ac:dyDescent="0.3">
      <c r="A934" s="3">
        <v>45545</v>
      </c>
      <c r="B934" t="s">
        <v>13</v>
      </c>
      <c r="C934" t="s">
        <v>32</v>
      </c>
      <c r="D934" t="str">
        <f>TRIM(Table1[[#This Row],[Product]])</f>
        <v>Monitor</v>
      </c>
      <c r="E934" t="str">
        <f>PROPER(Table1[[#This Row],[Column1]])</f>
        <v>Monitor</v>
      </c>
      <c r="F934" s="8" t="str">
        <f t="shared" si="70"/>
        <v>Technology</v>
      </c>
      <c r="G934" s="5">
        <v>9</v>
      </c>
      <c r="H934">
        <v>472.84</v>
      </c>
      <c r="I934" t="s">
        <v>81</v>
      </c>
      <c r="J934" t="s">
        <v>65</v>
      </c>
      <c r="K934" s="7">
        <v>0.05</v>
      </c>
      <c r="L934" t="s">
        <v>18</v>
      </c>
      <c r="M934" s="5">
        <v>4042.7819999999988</v>
      </c>
      <c r="N934" t="s">
        <v>82</v>
      </c>
      <c r="O934" t="s">
        <v>71</v>
      </c>
      <c r="P934" s="5">
        <v>0</v>
      </c>
      <c r="Q934" t="s">
        <v>1891</v>
      </c>
      <c r="R934" t="s">
        <v>1892</v>
      </c>
      <c r="S934" s="5">
        <v>48.13</v>
      </c>
      <c r="T934" s="3">
        <v>45545</v>
      </c>
      <c r="U934" s="3">
        <v>45547</v>
      </c>
      <c r="V934" t="s">
        <v>70</v>
      </c>
      <c r="W934">
        <f t="shared" si="72"/>
        <v>3840.6428999999985</v>
      </c>
      <c r="X934">
        <f t="shared" si="73"/>
        <v>4255.5599999999995</v>
      </c>
      <c r="Y934">
        <f t="shared" si="74"/>
        <v>414.91710000000103</v>
      </c>
      <c r="Z934" s="8" t="str">
        <f t="shared" si="71"/>
        <v>Medium</v>
      </c>
      <c r="AA934" s="12">
        <f>DATE(YEAR(Table1[[#This Row],[OrderDate]]),MONTH(Table1[[#This Row],[OrderDate]]),1)</f>
        <v>45536</v>
      </c>
    </row>
    <row r="935" spans="1:27" x14ac:dyDescent="0.3">
      <c r="A935" s="3">
        <v>45708</v>
      </c>
      <c r="B935" t="s">
        <v>13</v>
      </c>
      <c r="C935" t="s">
        <v>29</v>
      </c>
      <c r="D935" t="str">
        <f>TRIM(Table1[[#This Row],[Product]])</f>
        <v>Chair</v>
      </c>
      <c r="E935" t="str">
        <f>PROPER(Table1[[#This Row],[Column1]])</f>
        <v>Chair</v>
      </c>
      <c r="F935" s="8" t="str">
        <f t="shared" si="70"/>
        <v>Furniture</v>
      </c>
      <c r="G935" s="5">
        <v>19</v>
      </c>
      <c r="H935">
        <v>586.49</v>
      </c>
      <c r="I935" t="s">
        <v>64</v>
      </c>
      <c r="J935" t="s">
        <v>58</v>
      </c>
      <c r="K935" s="7">
        <v>0.1</v>
      </c>
      <c r="L935" t="s">
        <v>25</v>
      </c>
      <c r="M935" s="5">
        <v>10028.978999999999</v>
      </c>
      <c r="N935" t="s">
        <v>88</v>
      </c>
      <c r="O935" t="s">
        <v>67</v>
      </c>
      <c r="P935" s="5">
        <v>0</v>
      </c>
      <c r="Q935" t="s">
        <v>1893</v>
      </c>
      <c r="R935" t="s">
        <v>1894</v>
      </c>
      <c r="S935" s="5">
        <v>19.850000000000001</v>
      </c>
      <c r="T935" s="3">
        <v>45708</v>
      </c>
      <c r="U935" s="3">
        <v>45718</v>
      </c>
      <c r="V935" t="s">
        <v>70</v>
      </c>
      <c r="W935">
        <f t="shared" si="72"/>
        <v>9026.0810999999994</v>
      </c>
      <c r="X935">
        <f t="shared" si="73"/>
        <v>11143.31</v>
      </c>
      <c r="Y935">
        <f t="shared" si="74"/>
        <v>2117.2289000000001</v>
      </c>
      <c r="Z935" s="8" t="str">
        <f t="shared" si="71"/>
        <v>Medium</v>
      </c>
      <c r="AA935" s="12">
        <f>DATE(YEAR(Table1[[#This Row],[OrderDate]]),MONTH(Table1[[#This Row],[OrderDate]]),1)</f>
        <v>45689</v>
      </c>
    </row>
    <row r="936" spans="1:27" x14ac:dyDescent="0.3">
      <c r="A936" s="3">
        <v>44946</v>
      </c>
      <c r="B936" t="s">
        <v>9</v>
      </c>
      <c r="C936" t="s">
        <v>29</v>
      </c>
      <c r="D936" t="str">
        <f>TRIM(Table1[[#This Row],[Product]])</f>
        <v>Chair</v>
      </c>
      <c r="E936" t="str">
        <f>PROPER(Table1[[#This Row],[Column1]])</f>
        <v>Chair</v>
      </c>
      <c r="F936" s="8" t="str">
        <f t="shared" si="70"/>
        <v>Furniture</v>
      </c>
      <c r="G936" s="5">
        <v>15</v>
      </c>
      <c r="H936">
        <v>462.85</v>
      </c>
      <c r="I936" t="s">
        <v>64</v>
      </c>
      <c r="J936" t="s">
        <v>65</v>
      </c>
      <c r="K936" s="7">
        <v>0.15</v>
      </c>
      <c r="L936" t="s">
        <v>23</v>
      </c>
      <c r="M936" s="5">
        <v>5901.3374999999996</v>
      </c>
      <c r="N936" t="s">
        <v>82</v>
      </c>
      <c r="P936" s="5">
        <v>0</v>
      </c>
      <c r="Q936" t="s">
        <v>1895</v>
      </c>
      <c r="R936" t="s">
        <v>1896</v>
      </c>
      <c r="S936" s="5">
        <v>46.12</v>
      </c>
      <c r="T936" s="3">
        <v>44946</v>
      </c>
      <c r="U936" s="3">
        <v>44952</v>
      </c>
      <c r="V936" t="s">
        <v>63</v>
      </c>
      <c r="W936">
        <f t="shared" si="72"/>
        <v>5016.1368749999992</v>
      </c>
      <c r="X936">
        <f t="shared" si="73"/>
        <v>6942.75</v>
      </c>
      <c r="Y936">
        <f t="shared" si="74"/>
        <v>1926.6131250000008</v>
      </c>
      <c r="Z936" s="8" t="str">
        <f t="shared" si="71"/>
        <v>High</v>
      </c>
      <c r="AA936" s="12">
        <f>DATE(YEAR(Table1[[#This Row],[OrderDate]]),MONTH(Table1[[#This Row],[OrderDate]]),1)</f>
        <v>44927</v>
      </c>
    </row>
    <row r="937" spans="1:27" x14ac:dyDescent="0.3">
      <c r="A937" s="3">
        <v>45354</v>
      </c>
      <c r="B937" t="s">
        <v>9</v>
      </c>
      <c r="C937" t="s">
        <v>31</v>
      </c>
      <c r="D937" t="str">
        <f>TRIM(Table1[[#This Row],[Product]])</f>
        <v>Laptop</v>
      </c>
      <c r="E937" t="str">
        <f>PROPER(Table1[[#This Row],[Column1]])</f>
        <v>Laptop</v>
      </c>
      <c r="F937" s="8" t="str">
        <f t="shared" si="70"/>
        <v>Technology</v>
      </c>
      <c r="G937" s="5">
        <v>1</v>
      </c>
      <c r="H937">
        <v>176.17</v>
      </c>
      <c r="I937" t="s">
        <v>78</v>
      </c>
      <c r="J937" t="s">
        <v>65</v>
      </c>
      <c r="K937" s="7">
        <v>0.05</v>
      </c>
      <c r="L937" t="s">
        <v>18</v>
      </c>
      <c r="M937" s="5">
        <v>167.36150000000001</v>
      </c>
      <c r="N937" t="s">
        <v>85</v>
      </c>
      <c r="P937" s="5">
        <v>1</v>
      </c>
      <c r="Q937" t="s">
        <v>1897</v>
      </c>
      <c r="R937" t="s">
        <v>1898</v>
      </c>
      <c r="S937" s="5">
        <v>35.770000000000003</v>
      </c>
      <c r="T937" s="3">
        <v>45354</v>
      </c>
      <c r="U937" s="3">
        <v>45357</v>
      </c>
      <c r="V937" t="s">
        <v>63</v>
      </c>
      <c r="W937">
        <f t="shared" si="72"/>
        <v>158.993425</v>
      </c>
      <c r="X937">
        <f t="shared" si="73"/>
        <v>176.17</v>
      </c>
      <c r="Y937">
        <f t="shared" si="74"/>
        <v>17.176574999999985</v>
      </c>
      <c r="Z937" s="8" t="str">
        <f t="shared" si="71"/>
        <v>Medium</v>
      </c>
      <c r="AA937" s="12">
        <f>DATE(YEAR(Table1[[#This Row],[OrderDate]]),MONTH(Table1[[#This Row],[OrderDate]]),1)</f>
        <v>45352</v>
      </c>
    </row>
    <row r="938" spans="1:27" x14ac:dyDescent="0.3">
      <c r="A938" s="3">
        <v>45257</v>
      </c>
      <c r="B938" t="s">
        <v>16</v>
      </c>
      <c r="C938" t="s">
        <v>34</v>
      </c>
      <c r="D938" t="str">
        <f>TRIM(Table1[[#This Row],[Product]])</f>
        <v>Printer</v>
      </c>
      <c r="E938" t="str">
        <f>PROPER(Table1[[#This Row],[Column1]])</f>
        <v>Printer</v>
      </c>
      <c r="F938" s="8" t="str">
        <f t="shared" si="70"/>
        <v>Office Supplies</v>
      </c>
      <c r="G938" s="5">
        <v>1</v>
      </c>
      <c r="H938">
        <v>71.239999999999995</v>
      </c>
      <c r="I938" t="s">
        <v>64</v>
      </c>
      <c r="J938" t="s">
        <v>65</v>
      </c>
      <c r="K938" s="7">
        <v>0.1</v>
      </c>
      <c r="L938" t="s">
        <v>21</v>
      </c>
      <c r="M938" s="5">
        <v>64.116</v>
      </c>
      <c r="N938" t="s">
        <v>85</v>
      </c>
      <c r="P938" s="5">
        <v>1</v>
      </c>
      <c r="Q938" t="s">
        <v>1899</v>
      </c>
      <c r="R938" t="s">
        <v>1900</v>
      </c>
      <c r="S938" s="5">
        <v>43.69</v>
      </c>
      <c r="T938" s="3">
        <v>45257</v>
      </c>
      <c r="U938" s="3">
        <v>45263</v>
      </c>
      <c r="V938" t="s">
        <v>95</v>
      </c>
      <c r="W938">
        <f t="shared" si="72"/>
        <v>57.7044</v>
      </c>
      <c r="X938">
        <f t="shared" si="73"/>
        <v>71.239999999999995</v>
      </c>
      <c r="Y938">
        <f t="shared" si="74"/>
        <v>13.535599999999995</v>
      </c>
      <c r="Z938" s="8" t="str">
        <f t="shared" si="71"/>
        <v>Medium</v>
      </c>
      <c r="AA938" s="12">
        <f>DATE(YEAR(Table1[[#This Row],[OrderDate]]),MONTH(Table1[[#This Row],[OrderDate]]),1)</f>
        <v>45231</v>
      </c>
    </row>
    <row r="939" spans="1:27" x14ac:dyDescent="0.3">
      <c r="A939" s="3">
        <v>45606</v>
      </c>
      <c r="B939" t="s">
        <v>9</v>
      </c>
      <c r="C939" t="s">
        <v>31</v>
      </c>
      <c r="D939" t="str">
        <f>TRIM(Table1[[#This Row],[Product]])</f>
        <v>Laptop</v>
      </c>
      <c r="E939" t="str">
        <f>PROPER(Table1[[#This Row],[Column1]])</f>
        <v>Laptop</v>
      </c>
      <c r="F939" s="8" t="str">
        <f t="shared" si="70"/>
        <v>Technology</v>
      </c>
      <c r="G939" s="5">
        <v>6</v>
      </c>
      <c r="H939">
        <v>62.43</v>
      </c>
      <c r="I939" t="s">
        <v>64</v>
      </c>
      <c r="J939" t="s">
        <v>58</v>
      </c>
      <c r="K939" s="7">
        <v>0</v>
      </c>
      <c r="L939" t="s">
        <v>23</v>
      </c>
      <c r="M939" s="5">
        <v>374.58</v>
      </c>
      <c r="N939" t="s">
        <v>66</v>
      </c>
      <c r="O939" t="s">
        <v>71</v>
      </c>
      <c r="P939" s="5">
        <v>0</v>
      </c>
      <c r="Q939" t="s">
        <v>1901</v>
      </c>
      <c r="R939" t="s">
        <v>1902</v>
      </c>
      <c r="S939" s="5">
        <v>17.850000000000001</v>
      </c>
      <c r="T939" s="3">
        <v>45606</v>
      </c>
      <c r="U939" s="3">
        <v>45614</v>
      </c>
      <c r="V939" t="s">
        <v>63</v>
      </c>
      <c r="W939">
        <f t="shared" si="72"/>
        <v>374.58</v>
      </c>
      <c r="X939">
        <f t="shared" si="73"/>
        <v>374.58</v>
      </c>
      <c r="Y939">
        <f t="shared" si="74"/>
        <v>0</v>
      </c>
      <c r="Z939" s="8" t="str">
        <f t="shared" si="71"/>
        <v>No Discount</v>
      </c>
      <c r="AA939" s="12">
        <f>DATE(YEAR(Table1[[#This Row],[OrderDate]]),MONTH(Table1[[#This Row],[OrderDate]]),1)</f>
        <v>45597</v>
      </c>
    </row>
    <row r="940" spans="1:27" x14ac:dyDescent="0.3">
      <c r="A940" s="3">
        <v>45692</v>
      </c>
      <c r="B940" t="s">
        <v>7</v>
      </c>
      <c r="C940" t="s">
        <v>35</v>
      </c>
      <c r="D940" t="str">
        <f>TRIM(Table1[[#This Row],[Product]])</f>
        <v>Tablet</v>
      </c>
      <c r="E940" t="str">
        <f>PROPER(Table1[[#This Row],[Column1]])</f>
        <v>Tablet</v>
      </c>
      <c r="F940" s="8" t="str">
        <f t="shared" si="70"/>
        <v>Technology</v>
      </c>
      <c r="G940" s="5">
        <v>7</v>
      </c>
      <c r="H940">
        <v>569.89</v>
      </c>
      <c r="I940" t="s">
        <v>81</v>
      </c>
      <c r="J940" t="s">
        <v>58</v>
      </c>
      <c r="K940" s="7">
        <v>0.1</v>
      </c>
      <c r="L940" t="s">
        <v>18</v>
      </c>
      <c r="M940" s="5">
        <v>3590.3069999999998</v>
      </c>
      <c r="N940" t="s">
        <v>88</v>
      </c>
      <c r="O940" t="s">
        <v>67</v>
      </c>
      <c r="P940" s="5">
        <v>0</v>
      </c>
      <c r="Q940" t="s">
        <v>1903</v>
      </c>
      <c r="R940" t="s">
        <v>1904</v>
      </c>
      <c r="S940" s="5">
        <v>26.81</v>
      </c>
      <c r="T940" s="3">
        <v>45692</v>
      </c>
      <c r="U940" s="3">
        <v>45696</v>
      </c>
      <c r="V940" t="s">
        <v>77</v>
      </c>
      <c r="W940">
        <f t="shared" si="72"/>
        <v>3231.2763</v>
      </c>
      <c r="X940">
        <f t="shared" si="73"/>
        <v>3989.23</v>
      </c>
      <c r="Y940">
        <f t="shared" si="74"/>
        <v>757.95370000000003</v>
      </c>
      <c r="Z940" s="8" t="str">
        <f t="shared" si="71"/>
        <v>Medium</v>
      </c>
      <c r="AA940" s="12">
        <f>DATE(YEAR(Table1[[#This Row],[OrderDate]]),MONTH(Table1[[#This Row],[OrderDate]]),1)</f>
        <v>45689</v>
      </c>
    </row>
    <row r="941" spans="1:27" x14ac:dyDescent="0.3">
      <c r="A941" s="3">
        <v>45343</v>
      </c>
      <c r="B941" t="s">
        <v>9</v>
      </c>
      <c r="C941" t="s">
        <v>30</v>
      </c>
      <c r="D941" t="str">
        <f>TRIM(Table1[[#This Row],[Product]])</f>
        <v>Desk</v>
      </c>
      <c r="E941" t="str">
        <f>PROPER(Table1[[#This Row],[Column1]])</f>
        <v>Desk</v>
      </c>
      <c r="F941" s="8" t="str">
        <f t="shared" si="70"/>
        <v>Furniture</v>
      </c>
      <c r="G941" s="5">
        <v>5</v>
      </c>
      <c r="H941">
        <v>34.06</v>
      </c>
      <c r="I941" t="s">
        <v>81</v>
      </c>
      <c r="J941" t="s">
        <v>58</v>
      </c>
      <c r="K941" s="7">
        <v>0.05</v>
      </c>
      <c r="L941" t="s">
        <v>23</v>
      </c>
      <c r="M941" s="5">
        <v>161.785</v>
      </c>
      <c r="N941" t="s">
        <v>66</v>
      </c>
      <c r="P941" s="5">
        <v>0</v>
      </c>
      <c r="Q941" t="s">
        <v>1905</v>
      </c>
      <c r="R941" t="s">
        <v>1906</v>
      </c>
      <c r="S941" s="5">
        <v>19.72</v>
      </c>
      <c r="T941" s="3">
        <v>45343</v>
      </c>
      <c r="U941" s="3">
        <v>45353</v>
      </c>
      <c r="V941" t="s">
        <v>63</v>
      </c>
      <c r="W941">
        <f t="shared" si="72"/>
        <v>153.69574999999998</v>
      </c>
      <c r="X941">
        <f t="shared" si="73"/>
        <v>170.3</v>
      </c>
      <c r="Y941">
        <f t="shared" si="74"/>
        <v>16.604250000000036</v>
      </c>
      <c r="Z941" s="8" t="str">
        <f t="shared" si="71"/>
        <v>Medium</v>
      </c>
      <c r="AA941" s="12">
        <f>DATE(YEAR(Table1[[#This Row],[OrderDate]]),MONTH(Table1[[#This Row],[OrderDate]]),1)</f>
        <v>45323</v>
      </c>
    </row>
    <row r="942" spans="1:27" x14ac:dyDescent="0.3">
      <c r="A942" s="3">
        <v>45009</v>
      </c>
      <c r="B942" t="s">
        <v>9</v>
      </c>
      <c r="C942" t="s">
        <v>30</v>
      </c>
      <c r="D942" t="str">
        <f>TRIM(Table1[[#This Row],[Product]])</f>
        <v>Desk</v>
      </c>
      <c r="E942" t="str">
        <f>PROPER(Table1[[#This Row],[Column1]])</f>
        <v>Desk</v>
      </c>
      <c r="F942" s="8" t="str">
        <f t="shared" si="70"/>
        <v>Furniture</v>
      </c>
      <c r="G942" s="5">
        <v>17</v>
      </c>
      <c r="H942">
        <v>502.6</v>
      </c>
      <c r="I942" t="s">
        <v>64</v>
      </c>
      <c r="J942" t="s">
        <v>58</v>
      </c>
      <c r="K942" s="7">
        <v>0.1</v>
      </c>
      <c r="L942" t="s">
        <v>27</v>
      </c>
      <c r="M942" s="5">
        <v>7689.7800000000007</v>
      </c>
      <c r="N942" t="s">
        <v>88</v>
      </c>
      <c r="P942" s="5">
        <v>0</v>
      </c>
      <c r="Q942" t="s">
        <v>1907</v>
      </c>
      <c r="R942" t="s">
        <v>1908</v>
      </c>
      <c r="S942" s="5">
        <v>15.38</v>
      </c>
      <c r="T942" s="3">
        <v>45009</v>
      </c>
      <c r="U942" s="3">
        <v>45014</v>
      </c>
      <c r="V942" t="s">
        <v>63</v>
      </c>
      <c r="W942">
        <f t="shared" si="72"/>
        <v>6920.8020000000006</v>
      </c>
      <c r="X942">
        <f t="shared" si="73"/>
        <v>8544.2000000000007</v>
      </c>
      <c r="Y942">
        <f t="shared" si="74"/>
        <v>1623.3980000000001</v>
      </c>
      <c r="Z942" s="8" t="str">
        <f t="shared" si="71"/>
        <v>Medium</v>
      </c>
      <c r="AA942" s="12">
        <f>DATE(YEAR(Table1[[#This Row],[OrderDate]]),MONTH(Table1[[#This Row],[OrderDate]]),1)</f>
        <v>44986</v>
      </c>
    </row>
    <row r="943" spans="1:27" x14ac:dyDescent="0.3">
      <c r="A943" s="3">
        <v>45417</v>
      </c>
      <c r="B943" t="s">
        <v>13</v>
      </c>
      <c r="C943" t="s">
        <v>34</v>
      </c>
      <c r="D943" t="str">
        <f>TRIM(Table1[[#This Row],[Product]])</f>
        <v>Printer</v>
      </c>
      <c r="E943" t="str">
        <f>PROPER(Table1[[#This Row],[Column1]])</f>
        <v>Printer</v>
      </c>
      <c r="F943" s="8" t="str">
        <f t="shared" si="70"/>
        <v>Office Supplies</v>
      </c>
      <c r="G943" s="5">
        <v>3</v>
      </c>
      <c r="H943">
        <v>89.72</v>
      </c>
      <c r="I943" t="s">
        <v>81</v>
      </c>
      <c r="J943" t="s">
        <v>58</v>
      </c>
      <c r="K943" s="7">
        <v>0.1</v>
      </c>
      <c r="L943" t="s">
        <v>18</v>
      </c>
      <c r="M943" s="5">
        <v>242.244</v>
      </c>
      <c r="N943" t="s">
        <v>66</v>
      </c>
      <c r="O943" t="s">
        <v>71</v>
      </c>
      <c r="P943" s="5">
        <v>0</v>
      </c>
      <c r="Q943" t="s">
        <v>1909</v>
      </c>
      <c r="R943" t="s">
        <v>1910</v>
      </c>
      <c r="S943" s="5">
        <v>32.67</v>
      </c>
      <c r="T943" s="3">
        <v>45417</v>
      </c>
      <c r="U943" s="3">
        <v>45425</v>
      </c>
      <c r="V943" t="s">
        <v>70</v>
      </c>
      <c r="W943">
        <f t="shared" si="72"/>
        <v>218.0196</v>
      </c>
      <c r="X943">
        <f t="shared" si="73"/>
        <v>269.15999999999997</v>
      </c>
      <c r="Y943">
        <f t="shared" si="74"/>
        <v>51.140399999999971</v>
      </c>
      <c r="Z943" s="8" t="str">
        <f t="shared" si="71"/>
        <v>Medium</v>
      </c>
      <c r="AA943" s="12">
        <f>DATE(YEAR(Table1[[#This Row],[OrderDate]]),MONTH(Table1[[#This Row],[OrderDate]]),1)</f>
        <v>45413</v>
      </c>
    </row>
    <row r="944" spans="1:27" x14ac:dyDescent="0.3">
      <c r="A944" s="3">
        <v>45569</v>
      </c>
      <c r="B944" t="s">
        <v>13</v>
      </c>
      <c r="C944" t="s">
        <v>31</v>
      </c>
      <c r="D944" t="str">
        <f>TRIM(Table1[[#This Row],[Product]])</f>
        <v>Laptop</v>
      </c>
      <c r="E944" t="str">
        <f>PROPER(Table1[[#This Row],[Column1]])</f>
        <v>Laptop</v>
      </c>
      <c r="F944" s="8" t="str">
        <f t="shared" si="70"/>
        <v>Technology</v>
      </c>
      <c r="G944" s="5">
        <v>18</v>
      </c>
      <c r="H944">
        <v>403.53</v>
      </c>
      <c r="I944" t="s">
        <v>81</v>
      </c>
      <c r="J944" t="s">
        <v>58</v>
      </c>
      <c r="K944" s="7">
        <v>0.1</v>
      </c>
      <c r="L944" t="s">
        <v>18</v>
      </c>
      <c r="M944" s="5">
        <v>6537.1859999999997</v>
      </c>
      <c r="N944" t="s">
        <v>59</v>
      </c>
      <c r="P944" s="5">
        <v>0</v>
      </c>
      <c r="Q944" t="s">
        <v>1911</v>
      </c>
      <c r="R944" t="s">
        <v>1912</v>
      </c>
      <c r="S944" s="5">
        <v>35.729999999999997</v>
      </c>
      <c r="T944" s="3">
        <v>45569</v>
      </c>
      <c r="U944" s="3">
        <v>45572</v>
      </c>
      <c r="V944" t="s">
        <v>70</v>
      </c>
      <c r="W944">
        <f t="shared" si="72"/>
        <v>5883.4673999999995</v>
      </c>
      <c r="X944">
        <f t="shared" si="73"/>
        <v>7263.5399999999991</v>
      </c>
      <c r="Y944">
        <f t="shared" si="74"/>
        <v>1380.0725999999995</v>
      </c>
      <c r="Z944" s="8" t="str">
        <f t="shared" si="71"/>
        <v>Medium</v>
      </c>
      <c r="AA944" s="12">
        <f>DATE(YEAR(Table1[[#This Row],[OrderDate]]),MONTH(Table1[[#This Row],[OrderDate]]),1)</f>
        <v>45566</v>
      </c>
    </row>
    <row r="945" spans="1:27" x14ac:dyDescent="0.3">
      <c r="A945" s="3">
        <v>45661</v>
      </c>
      <c r="B945" t="s">
        <v>13</v>
      </c>
      <c r="C945" t="s">
        <v>29</v>
      </c>
      <c r="D945" t="str">
        <f>TRIM(Table1[[#This Row],[Product]])</f>
        <v>Chair</v>
      </c>
      <c r="E945" t="str">
        <f>PROPER(Table1[[#This Row],[Column1]])</f>
        <v>Chair</v>
      </c>
      <c r="F945" s="8" t="str">
        <f t="shared" si="70"/>
        <v>Furniture</v>
      </c>
      <c r="G945" s="5">
        <v>2</v>
      </c>
      <c r="H945">
        <v>194.97</v>
      </c>
      <c r="I945" t="s">
        <v>64</v>
      </c>
      <c r="J945" t="s">
        <v>65</v>
      </c>
      <c r="K945" s="7">
        <v>0</v>
      </c>
      <c r="L945" t="s">
        <v>23</v>
      </c>
      <c r="M945" s="5">
        <v>389.94</v>
      </c>
      <c r="N945" t="s">
        <v>82</v>
      </c>
      <c r="O945" t="s">
        <v>67</v>
      </c>
      <c r="P945" s="5">
        <v>0</v>
      </c>
      <c r="Q945" t="s">
        <v>1913</v>
      </c>
      <c r="R945" t="s">
        <v>848</v>
      </c>
      <c r="S945" s="5">
        <v>9.89</v>
      </c>
      <c r="T945" s="3">
        <v>45661</v>
      </c>
      <c r="U945" s="3">
        <v>45671</v>
      </c>
      <c r="V945" t="s">
        <v>70</v>
      </c>
      <c r="W945">
        <f t="shared" si="72"/>
        <v>389.94</v>
      </c>
      <c r="X945">
        <f t="shared" si="73"/>
        <v>389.94</v>
      </c>
      <c r="Y945">
        <f t="shared" si="74"/>
        <v>0</v>
      </c>
      <c r="Z945" s="8" t="str">
        <f t="shared" si="71"/>
        <v>No Discount</v>
      </c>
      <c r="AA945" s="12">
        <f>DATE(YEAR(Table1[[#This Row],[OrderDate]]),MONTH(Table1[[#This Row],[OrderDate]]),1)</f>
        <v>45658</v>
      </c>
    </row>
    <row r="946" spans="1:27" x14ac:dyDescent="0.3">
      <c r="A946" s="3">
        <v>45649</v>
      </c>
      <c r="B946" t="s">
        <v>7</v>
      </c>
      <c r="C946" t="s">
        <v>34</v>
      </c>
      <c r="D946" t="str">
        <f>TRIM(Table1[[#This Row],[Product]])</f>
        <v>Printer</v>
      </c>
      <c r="E946" t="str">
        <f>PROPER(Table1[[#This Row],[Column1]])</f>
        <v>Printer</v>
      </c>
      <c r="F946" s="8" t="str">
        <f t="shared" si="70"/>
        <v>Office Supplies</v>
      </c>
      <c r="G946" s="5">
        <v>12</v>
      </c>
      <c r="H946">
        <v>171.91</v>
      </c>
      <c r="I946" t="s">
        <v>57</v>
      </c>
      <c r="J946" t="s">
        <v>65</v>
      </c>
      <c r="K946" s="7">
        <v>0.05</v>
      </c>
      <c r="L946" t="s">
        <v>25</v>
      </c>
      <c r="M946" s="5">
        <v>1959.7739999999999</v>
      </c>
      <c r="N946" t="s">
        <v>82</v>
      </c>
      <c r="O946" t="s">
        <v>71</v>
      </c>
      <c r="P946" s="5">
        <v>0</v>
      </c>
      <c r="Q946" t="s">
        <v>1914</v>
      </c>
      <c r="R946" t="s">
        <v>1915</v>
      </c>
      <c r="S946" s="5">
        <v>34.36</v>
      </c>
      <c r="T946" s="3">
        <v>45649</v>
      </c>
      <c r="U946" s="3">
        <v>45659</v>
      </c>
      <c r="V946" t="s">
        <v>77</v>
      </c>
      <c r="W946">
        <f t="shared" si="72"/>
        <v>1861.7852999999998</v>
      </c>
      <c r="X946">
        <f t="shared" si="73"/>
        <v>2062.92</v>
      </c>
      <c r="Y946">
        <f t="shared" si="74"/>
        <v>201.13470000000029</v>
      </c>
      <c r="Z946" s="8" t="str">
        <f t="shared" si="71"/>
        <v>Medium</v>
      </c>
      <c r="AA946" s="12">
        <f>DATE(YEAR(Table1[[#This Row],[OrderDate]]),MONTH(Table1[[#This Row],[OrderDate]]),1)</f>
        <v>45627</v>
      </c>
    </row>
    <row r="947" spans="1:27" x14ac:dyDescent="0.3">
      <c r="A947" s="3">
        <v>44955</v>
      </c>
      <c r="B947" t="s">
        <v>7</v>
      </c>
      <c r="C947" t="s">
        <v>31</v>
      </c>
      <c r="D947" t="str">
        <f>TRIM(Table1[[#This Row],[Product]])</f>
        <v>Laptop</v>
      </c>
      <c r="E947" t="str">
        <f>PROPER(Table1[[#This Row],[Column1]])</f>
        <v>Laptop</v>
      </c>
      <c r="F947" s="8" t="str">
        <f t="shared" si="70"/>
        <v>Technology</v>
      </c>
      <c r="G947" s="5">
        <v>17</v>
      </c>
      <c r="H947">
        <v>535.88</v>
      </c>
      <c r="I947" t="s">
        <v>64</v>
      </c>
      <c r="J947" t="s">
        <v>58</v>
      </c>
      <c r="K947" s="7">
        <v>0.05</v>
      </c>
      <c r="L947" t="s">
        <v>19</v>
      </c>
      <c r="M947" s="5">
        <v>8654.4619999999995</v>
      </c>
      <c r="N947" t="s">
        <v>66</v>
      </c>
      <c r="P947" s="5">
        <v>0</v>
      </c>
      <c r="Q947" t="s">
        <v>1916</v>
      </c>
      <c r="R947" t="s">
        <v>1917</v>
      </c>
      <c r="S947" s="5">
        <v>26.12</v>
      </c>
      <c r="T947" s="3">
        <v>44955</v>
      </c>
      <c r="U947" s="3">
        <v>44965</v>
      </c>
      <c r="V947" t="s">
        <v>77</v>
      </c>
      <c r="W947">
        <f t="shared" si="72"/>
        <v>8221.7388999999985</v>
      </c>
      <c r="X947">
        <f t="shared" si="73"/>
        <v>9109.9599999999991</v>
      </c>
      <c r="Y947">
        <f t="shared" si="74"/>
        <v>888.22110000000066</v>
      </c>
      <c r="Z947" s="8" t="str">
        <f t="shared" si="71"/>
        <v>Medium</v>
      </c>
      <c r="AA947" s="12">
        <f>DATE(YEAR(Table1[[#This Row],[OrderDate]]),MONTH(Table1[[#This Row],[OrderDate]]),1)</f>
        <v>44927</v>
      </c>
    </row>
    <row r="948" spans="1:27" x14ac:dyDescent="0.3">
      <c r="A948" s="3">
        <v>45515</v>
      </c>
      <c r="B948" t="s">
        <v>16</v>
      </c>
      <c r="C948" t="s">
        <v>29</v>
      </c>
      <c r="D948" t="str">
        <f>TRIM(Table1[[#This Row],[Product]])</f>
        <v>Chair</v>
      </c>
      <c r="E948" t="str">
        <f>PROPER(Table1[[#This Row],[Column1]])</f>
        <v>Chair</v>
      </c>
      <c r="F948" s="8" t="str">
        <f t="shared" si="70"/>
        <v>Furniture</v>
      </c>
      <c r="G948" s="5">
        <v>12</v>
      </c>
      <c r="H948">
        <v>248.13</v>
      </c>
      <c r="I948" t="s">
        <v>64</v>
      </c>
      <c r="J948" t="s">
        <v>65</v>
      </c>
      <c r="K948" s="7">
        <v>0.05</v>
      </c>
      <c r="L948" t="s">
        <v>18</v>
      </c>
      <c r="M948" s="5">
        <v>2828.6819999999998</v>
      </c>
      <c r="N948" t="s">
        <v>88</v>
      </c>
      <c r="O948" t="s">
        <v>60</v>
      </c>
      <c r="P948" s="5">
        <v>0</v>
      </c>
      <c r="Q948" t="s">
        <v>1918</v>
      </c>
      <c r="R948" t="s">
        <v>1919</v>
      </c>
      <c r="S948" s="5">
        <v>26.03</v>
      </c>
      <c r="T948" s="3">
        <v>45515</v>
      </c>
      <c r="U948" s="3">
        <v>45521</v>
      </c>
      <c r="V948" t="s">
        <v>95</v>
      </c>
      <c r="W948">
        <f t="shared" si="72"/>
        <v>2687.2478999999998</v>
      </c>
      <c r="X948">
        <f t="shared" si="73"/>
        <v>2977.56</v>
      </c>
      <c r="Y948">
        <f t="shared" si="74"/>
        <v>290.3121000000001</v>
      </c>
      <c r="Z948" s="8" t="str">
        <f t="shared" si="71"/>
        <v>Medium</v>
      </c>
      <c r="AA948" s="12">
        <f>DATE(YEAR(Table1[[#This Row],[OrderDate]]),MONTH(Table1[[#This Row],[OrderDate]]),1)</f>
        <v>45505</v>
      </c>
    </row>
    <row r="949" spans="1:27" x14ac:dyDescent="0.3">
      <c r="A949" s="3">
        <v>45255</v>
      </c>
      <c r="B949" t="s">
        <v>11</v>
      </c>
      <c r="C949" t="s">
        <v>33</v>
      </c>
      <c r="D949" t="str">
        <f>TRIM(Table1[[#This Row],[Product]])</f>
        <v>Phone</v>
      </c>
      <c r="E949" t="str">
        <f>PROPER(Table1[[#This Row],[Column1]])</f>
        <v>Phone</v>
      </c>
      <c r="F949" s="8" t="str">
        <f t="shared" si="70"/>
        <v>Technology</v>
      </c>
      <c r="G949" s="5">
        <v>2</v>
      </c>
      <c r="H949">
        <v>482.1</v>
      </c>
      <c r="I949" t="s">
        <v>78</v>
      </c>
      <c r="J949" t="s">
        <v>65</v>
      </c>
      <c r="K949" s="7">
        <v>0</v>
      </c>
      <c r="L949" t="s">
        <v>21</v>
      </c>
      <c r="M949" s="5">
        <v>964.2</v>
      </c>
      <c r="N949" t="s">
        <v>59</v>
      </c>
      <c r="O949" t="s">
        <v>60</v>
      </c>
      <c r="P949" s="5">
        <v>0</v>
      </c>
      <c r="Q949" t="s">
        <v>1920</v>
      </c>
      <c r="R949" t="s">
        <v>1921</v>
      </c>
      <c r="S949" s="5">
        <v>45.35</v>
      </c>
      <c r="T949" s="3">
        <v>45255</v>
      </c>
      <c r="U949" s="3">
        <v>45260</v>
      </c>
      <c r="V949" t="s">
        <v>74</v>
      </c>
      <c r="W949">
        <f t="shared" si="72"/>
        <v>964.2</v>
      </c>
      <c r="X949">
        <f t="shared" si="73"/>
        <v>964.2</v>
      </c>
      <c r="Y949">
        <f t="shared" si="74"/>
        <v>0</v>
      </c>
      <c r="Z949" s="8" t="str">
        <f t="shared" si="71"/>
        <v>No Discount</v>
      </c>
      <c r="AA949" s="12">
        <f>DATE(YEAR(Table1[[#This Row],[OrderDate]]),MONTH(Table1[[#This Row],[OrderDate]]),1)</f>
        <v>45231</v>
      </c>
    </row>
    <row r="950" spans="1:27" x14ac:dyDescent="0.3">
      <c r="A950" s="3">
        <v>45720</v>
      </c>
      <c r="B950" t="s">
        <v>11</v>
      </c>
      <c r="C950" t="s">
        <v>32</v>
      </c>
      <c r="D950" t="str">
        <f>TRIM(Table1[[#This Row],[Product]])</f>
        <v>Monitor</v>
      </c>
      <c r="E950" t="str">
        <f>PROPER(Table1[[#This Row],[Column1]])</f>
        <v>Monitor</v>
      </c>
      <c r="F950" s="8" t="str">
        <f t="shared" si="70"/>
        <v>Technology</v>
      </c>
      <c r="G950" s="5">
        <v>18</v>
      </c>
      <c r="H950">
        <v>382.01</v>
      </c>
      <c r="I950" t="s">
        <v>81</v>
      </c>
      <c r="J950" t="s">
        <v>58</v>
      </c>
      <c r="K950" s="7">
        <v>0.1</v>
      </c>
      <c r="L950" t="s">
        <v>18</v>
      </c>
      <c r="M950" s="5">
        <v>6188.5620000000008</v>
      </c>
      <c r="N950" t="s">
        <v>59</v>
      </c>
      <c r="O950" t="s">
        <v>67</v>
      </c>
      <c r="P950" s="5">
        <v>0</v>
      </c>
      <c r="Q950" t="s">
        <v>1922</v>
      </c>
      <c r="R950" t="s">
        <v>1923</v>
      </c>
      <c r="S950" s="5">
        <v>36.549999999999997</v>
      </c>
      <c r="T950" s="3">
        <v>45720</v>
      </c>
      <c r="U950" s="3">
        <v>45724</v>
      </c>
      <c r="V950" t="s">
        <v>74</v>
      </c>
      <c r="W950">
        <f t="shared" si="72"/>
        <v>5569.7058000000006</v>
      </c>
      <c r="X950">
        <f t="shared" si="73"/>
        <v>6876.18</v>
      </c>
      <c r="Y950">
        <f t="shared" si="74"/>
        <v>1306.4741999999997</v>
      </c>
      <c r="Z950" s="8" t="str">
        <f t="shared" si="71"/>
        <v>Medium</v>
      </c>
      <c r="AA950" s="12">
        <f>DATE(YEAR(Table1[[#This Row],[OrderDate]]),MONTH(Table1[[#This Row],[OrderDate]]),1)</f>
        <v>45717</v>
      </c>
    </row>
    <row r="951" spans="1:27" x14ac:dyDescent="0.3">
      <c r="A951" s="3">
        <v>45709</v>
      </c>
      <c r="B951" t="s">
        <v>11</v>
      </c>
      <c r="C951" t="s">
        <v>33</v>
      </c>
      <c r="D951" t="str">
        <f>TRIM(Table1[[#This Row],[Product]])</f>
        <v>Phone</v>
      </c>
      <c r="E951" t="str">
        <f>PROPER(Table1[[#This Row],[Column1]])</f>
        <v>Phone</v>
      </c>
      <c r="F951" s="8" t="str">
        <f t="shared" si="70"/>
        <v>Technology</v>
      </c>
      <c r="G951" s="5">
        <v>13</v>
      </c>
      <c r="H951">
        <v>135.97999999999999</v>
      </c>
      <c r="I951" t="s">
        <v>78</v>
      </c>
      <c r="J951" t="s">
        <v>58</v>
      </c>
      <c r="K951" s="7">
        <v>0</v>
      </c>
      <c r="L951" t="s">
        <v>27</v>
      </c>
      <c r="M951" s="5">
        <v>1767.74</v>
      </c>
      <c r="N951" t="s">
        <v>59</v>
      </c>
      <c r="O951" t="s">
        <v>71</v>
      </c>
      <c r="P951" s="5">
        <v>0</v>
      </c>
      <c r="Q951" t="s">
        <v>1924</v>
      </c>
      <c r="R951" t="s">
        <v>1612</v>
      </c>
      <c r="S951" s="5">
        <v>28.35</v>
      </c>
      <c r="T951" s="3">
        <v>45709</v>
      </c>
      <c r="U951" s="3">
        <v>45717</v>
      </c>
      <c r="V951" t="s">
        <v>74</v>
      </c>
      <c r="W951">
        <f t="shared" si="72"/>
        <v>1767.74</v>
      </c>
      <c r="X951">
        <f t="shared" si="73"/>
        <v>1767.7399999999998</v>
      </c>
      <c r="Y951">
        <f t="shared" si="74"/>
        <v>0</v>
      </c>
      <c r="Z951" s="8" t="str">
        <f t="shared" si="71"/>
        <v>No Discount</v>
      </c>
      <c r="AA951" s="12">
        <f>DATE(YEAR(Table1[[#This Row],[OrderDate]]),MONTH(Table1[[#This Row],[OrderDate]]),1)</f>
        <v>45689</v>
      </c>
    </row>
    <row r="952" spans="1:27" x14ac:dyDescent="0.3">
      <c r="A952" s="3">
        <v>45714</v>
      </c>
      <c r="B952" t="s">
        <v>9</v>
      </c>
      <c r="C952" t="s">
        <v>30</v>
      </c>
      <c r="D952" t="str">
        <f>TRIM(Table1[[#This Row],[Product]])</f>
        <v>Desk</v>
      </c>
      <c r="E952" t="str">
        <f>PROPER(Table1[[#This Row],[Column1]])</f>
        <v>Desk</v>
      </c>
      <c r="F952" s="8" t="str">
        <f t="shared" si="70"/>
        <v>Furniture</v>
      </c>
      <c r="G952" s="5">
        <v>9</v>
      </c>
      <c r="H952">
        <v>562.54</v>
      </c>
      <c r="I952" t="s">
        <v>64</v>
      </c>
      <c r="J952" t="s">
        <v>58</v>
      </c>
      <c r="K952" s="7">
        <v>0</v>
      </c>
      <c r="L952" t="s">
        <v>18</v>
      </c>
      <c r="M952" s="5">
        <v>5062.8599999999997</v>
      </c>
      <c r="N952" t="s">
        <v>82</v>
      </c>
      <c r="O952" t="s">
        <v>60</v>
      </c>
      <c r="P952" s="5">
        <v>0</v>
      </c>
      <c r="Q952" t="s">
        <v>1925</v>
      </c>
      <c r="R952" t="s">
        <v>1926</v>
      </c>
      <c r="S952" s="5">
        <v>30.27</v>
      </c>
      <c r="T952" s="3">
        <v>45714</v>
      </c>
      <c r="U952" s="3">
        <v>45716</v>
      </c>
      <c r="V952" t="s">
        <v>63</v>
      </c>
      <c r="W952">
        <f t="shared" si="72"/>
        <v>5062.8599999999997</v>
      </c>
      <c r="X952">
        <f t="shared" si="73"/>
        <v>5062.8599999999997</v>
      </c>
      <c r="Y952">
        <f t="shared" si="74"/>
        <v>0</v>
      </c>
      <c r="Z952" s="8" t="str">
        <f t="shared" si="71"/>
        <v>No Discount</v>
      </c>
      <c r="AA952" s="12">
        <f>DATE(YEAR(Table1[[#This Row],[OrderDate]]),MONTH(Table1[[#This Row],[OrderDate]]),1)</f>
        <v>45689</v>
      </c>
    </row>
    <row r="953" spans="1:27" x14ac:dyDescent="0.3">
      <c r="A953" s="3">
        <v>45380</v>
      </c>
      <c r="B953" t="s">
        <v>9</v>
      </c>
      <c r="C953" t="s">
        <v>32</v>
      </c>
      <c r="D953" t="str">
        <f>TRIM(Table1[[#This Row],[Product]])</f>
        <v>Monitor</v>
      </c>
      <c r="E953" t="str">
        <f>PROPER(Table1[[#This Row],[Column1]])</f>
        <v>Monitor</v>
      </c>
      <c r="F953" s="8" t="str">
        <f t="shared" si="70"/>
        <v>Technology</v>
      </c>
      <c r="G953" s="5">
        <v>6</v>
      </c>
      <c r="H953">
        <v>509.48</v>
      </c>
      <c r="I953" t="s">
        <v>57</v>
      </c>
      <c r="J953" t="s">
        <v>58</v>
      </c>
      <c r="K953" s="7">
        <v>0</v>
      </c>
      <c r="L953" t="s">
        <v>18</v>
      </c>
      <c r="M953" s="5">
        <v>3056.88</v>
      </c>
      <c r="N953" t="s">
        <v>85</v>
      </c>
      <c r="O953" t="s">
        <v>71</v>
      </c>
      <c r="P953" s="5">
        <v>0</v>
      </c>
      <c r="Q953" t="s">
        <v>1927</v>
      </c>
      <c r="R953" t="s">
        <v>1928</v>
      </c>
      <c r="S953" s="5">
        <v>35.92</v>
      </c>
      <c r="T953" s="3">
        <v>45380</v>
      </c>
      <c r="U953" s="3">
        <v>45388</v>
      </c>
      <c r="V953" t="s">
        <v>63</v>
      </c>
      <c r="W953">
        <f t="shared" si="72"/>
        <v>3056.88</v>
      </c>
      <c r="X953">
        <f t="shared" si="73"/>
        <v>3056.88</v>
      </c>
      <c r="Y953">
        <f t="shared" si="74"/>
        <v>0</v>
      </c>
      <c r="Z953" s="8" t="str">
        <f t="shared" si="71"/>
        <v>No Discount</v>
      </c>
      <c r="AA953" s="12">
        <f>DATE(YEAR(Table1[[#This Row],[OrderDate]]),MONTH(Table1[[#This Row],[OrderDate]]),1)</f>
        <v>45352</v>
      </c>
    </row>
    <row r="954" spans="1:27" x14ac:dyDescent="0.3">
      <c r="A954" s="3">
        <v>45805</v>
      </c>
      <c r="B954" t="s">
        <v>16</v>
      </c>
      <c r="C954" t="s">
        <v>30</v>
      </c>
      <c r="D954" t="str">
        <f>TRIM(Table1[[#This Row],[Product]])</f>
        <v>Desk</v>
      </c>
      <c r="E954" t="str">
        <f>PROPER(Table1[[#This Row],[Column1]])</f>
        <v>Desk</v>
      </c>
      <c r="F954" s="8" t="str">
        <f t="shared" si="70"/>
        <v>Furniture</v>
      </c>
      <c r="G954" s="5">
        <v>3</v>
      </c>
      <c r="H954">
        <v>470.09</v>
      </c>
      <c r="I954" t="s">
        <v>57</v>
      </c>
      <c r="J954" t="s">
        <v>58</v>
      </c>
      <c r="K954" s="7">
        <v>0</v>
      </c>
      <c r="L954" t="s">
        <v>25</v>
      </c>
      <c r="M954" s="5">
        <v>1410.27</v>
      </c>
      <c r="N954" t="s">
        <v>66</v>
      </c>
      <c r="P954" s="5">
        <v>0</v>
      </c>
      <c r="Q954" t="s">
        <v>1929</v>
      </c>
      <c r="R954" t="s">
        <v>1930</v>
      </c>
      <c r="S954" s="5">
        <v>38.29</v>
      </c>
      <c r="T954" s="3">
        <v>45805</v>
      </c>
      <c r="U954" s="3">
        <v>45809</v>
      </c>
      <c r="V954" t="s">
        <v>95</v>
      </c>
      <c r="W954">
        <f t="shared" si="72"/>
        <v>1410.27</v>
      </c>
      <c r="X954">
        <f t="shared" si="73"/>
        <v>1410.27</v>
      </c>
      <c r="Y954">
        <f t="shared" si="74"/>
        <v>0</v>
      </c>
      <c r="Z954" s="8" t="str">
        <f t="shared" si="71"/>
        <v>No Discount</v>
      </c>
      <c r="AA954" s="12">
        <f>DATE(YEAR(Table1[[#This Row],[OrderDate]]),MONTH(Table1[[#This Row],[OrderDate]]),1)</f>
        <v>45778</v>
      </c>
    </row>
    <row r="955" spans="1:27" x14ac:dyDescent="0.3">
      <c r="A955" s="3">
        <v>45436</v>
      </c>
      <c r="B955" t="s">
        <v>16</v>
      </c>
      <c r="C955" t="s">
        <v>34</v>
      </c>
      <c r="D955" t="str">
        <f>TRIM(Table1[[#This Row],[Product]])</f>
        <v>Printer</v>
      </c>
      <c r="E955" t="str">
        <f>PROPER(Table1[[#This Row],[Column1]])</f>
        <v>Printer</v>
      </c>
      <c r="F955" s="8" t="str">
        <f t="shared" si="70"/>
        <v>Office Supplies</v>
      </c>
      <c r="G955" s="5">
        <v>10</v>
      </c>
      <c r="H955">
        <v>280.8</v>
      </c>
      <c r="I955" t="s">
        <v>78</v>
      </c>
      <c r="J955" t="s">
        <v>65</v>
      </c>
      <c r="K955" s="7">
        <v>0</v>
      </c>
      <c r="L955" t="s">
        <v>18</v>
      </c>
      <c r="M955" s="5">
        <v>2808</v>
      </c>
      <c r="N955" t="s">
        <v>82</v>
      </c>
      <c r="O955" t="s">
        <v>67</v>
      </c>
      <c r="P955" s="5">
        <v>0</v>
      </c>
      <c r="Q955" t="s">
        <v>1931</v>
      </c>
      <c r="R955" t="s">
        <v>1932</v>
      </c>
      <c r="S955" s="5">
        <v>49.98</v>
      </c>
      <c r="T955" s="3">
        <v>45436</v>
      </c>
      <c r="U955" s="3">
        <v>45442</v>
      </c>
      <c r="V955" t="s">
        <v>95</v>
      </c>
      <c r="W955">
        <f t="shared" si="72"/>
        <v>2808</v>
      </c>
      <c r="X955">
        <f t="shared" si="73"/>
        <v>2808</v>
      </c>
      <c r="Y955">
        <f t="shared" si="74"/>
        <v>0</v>
      </c>
      <c r="Z955" s="8" t="str">
        <f t="shared" si="71"/>
        <v>No Discount</v>
      </c>
      <c r="AA955" s="12">
        <f>DATE(YEAR(Table1[[#This Row],[OrderDate]]),MONTH(Table1[[#This Row],[OrderDate]]),1)</f>
        <v>45413</v>
      </c>
    </row>
    <row r="956" spans="1:27" x14ac:dyDescent="0.3">
      <c r="A956" s="3">
        <v>45058</v>
      </c>
      <c r="B956" t="s">
        <v>13</v>
      </c>
      <c r="C956" t="s">
        <v>29</v>
      </c>
      <c r="D956" t="str">
        <f>TRIM(Table1[[#This Row],[Product]])</f>
        <v>Chair</v>
      </c>
      <c r="E956" t="str">
        <f>PROPER(Table1[[#This Row],[Column1]])</f>
        <v>Chair</v>
      </c>
      <c r="F956" s="8" t="str">
        <f t="shared" si="70"/>
        <v>Furniture</v>
      </c>
      <c r="G956" s="5">
        <v>9</v>
      </c>
      <c r="H956">
        <v>251.43</v>
      </c>
      <c r="I956" t="s">
        <v>78</v>
      </c>
      <c r="J956" t="s">
        <v>65</v>
      </c>
      <c r="K956" s="7">
        <v>0.1</v>
      </c>
      <c r="L956" t="s">
        <v>27</v>
      </c>
      <c r="M956" s="5">
        <v>2036.5830000000001</v>
      </c>
      <c r="N956" t="s">
        <v>82</v>
      </c>
      <c r="P956" s="5">
        <v>0</v>
      </c>
      <c r="Q956" t="s">
        <v>1933</v>
      </c>
      <c r="R956" t="s">
        <v>1934</v>
      </c>
      <c r="S956" s="5">
        <v>22.57</v>
      </c>
      <c r="T956" s="3">
        <v>45058</v>
      </c>
      <c r="U956" s="3">
        <v>45063</v>
      </c>
      <c r="V956" t="s">
        <v>70</v>
      </c>
      <c r="W956">
        <f t="shared" si="72"/>
        <v>1832.9247</v>
      </c>
      <c r="X956">
        <f t="shared" si="73"/>
        <v>2262.87</v>
      </c>
      <c r="Y956">
        <f t="shared" si="74"/>
        <v>429.94529999999986</v>
      </c>
      <c r="Z956" s="8" t="str">
        <f t="shared" si="71"/>
        <v>Medium</v>
      </c>
      <c r="AA956" s="12">
        <f>DATE(YEAR(Table1[[#This Row],[OrderDate]]),MONTH(Table1[[#This Row],[OrderDate]]),1)</f>
        <v>45047</v>
      </c>
    </row>
    <row r="957" spans="1:27" x14ac:dyDescent="0.3">
      <c r="A957" s="3">
        <v>45210</v>
      </c>
      <c r="B957" t="s">
        <v>13</v>
      </c>
      <c r="C957" t="s">
        <v>33</v>
      </c>
      <c r="D957" t="str">
        <f>TRIM(Table1[[#This Row],[Product]])</f>
        <v>Phone</v>
      </c>
      <c r="E957" t="str">
        <f>PROPER(Table1[[#This Row],[Column1]])</f>
        <v>Phone</v>
      </c>
      <c r="F957" s="8" t="str">
        <f t="shared" si="70"/>
        <v>Technology</v>
      </c>
      <c r="G957" s="5">
        <v>4</v>
      </c>
      <c r="H957">
        <v>408.28</v>
      </c>
      <c r="I957" t="s">
        <v>64</v>
      </c>
      <c r="J957" t="s">
        <v>65</v>
      </c>
      <c r="K957" s="7">
        <v>0.15</v>
      </c>
      <c r="L957" t="s">
        <v>18</v>
      </c>
      <c r="M957" s="5">
        <v>1388.152</v>
      </c>
      <c r="N957" t="s">
        <v>88</v>
      </c>
      <c r="O957" t="s">
        <v>71</v>
      </c>
      <c r="P957" s="5">
        <v>0</v>
      </c>
      <c r="Q957" t="s">
        <v>1935</v>
      </c>
      <c r="R957" t="s">
        <v>1474</v>
      </c>
      <c r="S957" s="5">
        <v>5.38</v>
      </c>
      <c r="T957" s="3">
        <v>45210</v>
      </c>
      <c r="U957" s="3">
        <v>45214</v>
      </c>
      <c r="V957" t="s">
        <v>70</v>
      </c>
      <c r="W957">
        <f t="shared" si="72"/>
        <v>1179.9292</v>
      </c>
      <c r="X957">
        <f t="shared" si="73"/>
        <v>1633.12</v>
      </c>
      <c r="Y957">
        <f t="shared" si="74"/>
        <v>453.19079999999985</v>
      </c>
      <c r="Z957" s="8" t="str">
        <f t="shared" si="71"/>
        <v>High</v>
      </c>
      <c r="AA957" s="12">
        <f>DATE(YEAR(Table1[[#This Row],[OrderDate]]),MONTH(Table1[[#This Row],[OrderDate]]),1)</f>
        <v>45200</v>
      </c>
    </row>
    <row r="958" spans="1:27" x14ac:dyDescent="0.3">
      <c r="A958" s="3">
        <v>45316</v>
      </c>
      <c r="B958" t="s">
        <v>11</v>
      </c>
      <c r="C958" t="s">
        <v>34</v>
      </c>
      <c r="D958" t="str">
        <f>TRIM(Table1[[#This Row],[Product]])</f>
        <v>Printer</v>
      </c>
      <c r="E958" t="str">
        <f>PROPER(Table1[[#This Row],[Column1]])</f>
        <v>Printer</v>
      </c>
      <c r="F958" s="8" t="str">
        <f t="shared" si="70"/>
        <v>Office Supplies</v>
      </c>
      <c r="G958" s="5">
        <v>2</v>
      </c>
      <c r="H958">
        <v>27.43</v>
      </c>
      <c r="I958" t="s">
        <v>57</v>
      </c>
      <c r="J958" t="s">
        <v>65</v>
      </c>
      <c r="K958" s="7">
        <v>0.15</v>
      </c>
      <c r="L958" t="s">
        <v>27</v>
      </c>
      <c r="M958" s="5">
        <v>46.631</v>
      </c>
      <c r="N958" t="s">
        <v>59</v>
      </c>
      <c r="O958" t="s">
        <v>71</v>
      </c>
      <c r="P958" s="5">
        <v>0</v>
      </c>
      <c r="Q958" t="s">
        <v>1936</v>
      </c>
      <c r="R958" t="s">
        <v>1937</v>
      </c>
      <c r="S958" s="5">
        <v>6.15</v>
      </c>
      <c r="T958" s="3">
        <v>45316</v>
      </c>
      <c r="U958" s="3">
        <v>45323</v>
      </c>
      <c r="V958" t="s">
        <v>74</v>
      </c>
      <c r="W958">
        <f t="shared" si="72"/>
        <v>39.63635</v>
      </c>
      <c r="X958">
        <f t="shared" si="73"/>
        <v>54.86</v>
      </c>
      <c r="Y958">
        <f t="shared" si="74"/>
        <v>15.223649999999999</v>
      </c>
      <c r="Z958" s="8" t="str">
        <f t="shared" si="71"/>
        <v>High</v>
      </c>
      <c r="AA958" s="12">
        <f>DATE(YEAR(Table1[[#This Row],[OrderDate]]),MONTH(Table1[[#This Row],[OrderDate]]),1)</f>
        <v>45292</v>
      </c>
    </row>
    <row r="959" spans="1:27" x14ac:dyDescent="0.3">
      <c r="A959" s="3">
        <v>44960</v>
      </c>
      <c r="B959" t="s">
        <v>9</v>
      </c>
      <c r="C959" t="s">
        <v>33</v>
      </c>
      <c r="D959" t="str">
        <f>TRIM(Table1[[#This Row],[Product]])</f>
        <v>Phone</v>
      </c>
      <c r="E959" t="str">
        <f>PROPER(Table1[[#This Row],[Column1]])</f>
        <v>Phone</v>
      </c>
      <c r="F959" s="8" t="str">
        <f t="shared" si="70"/>
        <v>Technology</v>
      </c>
      <c r="G959" s="5">
        <v>11</v>
      </c>
      <c r="H959">
        <v>321.72000000000003</v>
      </c>
      <c r="I959" t="s">
        <v>64</v>
      </c>
      <c r="J959" t="s">
        <v>65</v>
      </c>
      <c r="K959" s="7">
        <v>0.1</v>
      </c>
      <c r="L959" t="s">
        <v>21</v>
      </c>
      <c r="M959" s="5">
        <v>3185.0279999999998</v>
      </c>
      <c r="N959" t="s">
        <v>59</v>
      </c>
      <c r="O959" t="s">
        <v>71</v>
      </c>
      <c r="P959" s="5">
        <v>1</v>
      </c>
      <c r="Q959" t="s">
        <v>1938</v>
      </c>
      <c r="R959" t="s">
        <v>1939</v>
      </c>
      <c r="S959" s="5">
        <v>17.940000000000001</v>
      </c>
      <c r="T959" s="3">
        <v>44960</v>
      </c>
      <c r="U959" s="3">
        <v>44963</v>
      </c>
      <c r="V959" t="s">
        <v>63</v>
      </c>
      <c r="W959">
        <f t="shared" si="72"/>
        <v>2866.5252</v>
      </c>
      <c r="X959">
        <f t="shared" si="73"/>
        <v>3538.92</v>
      </c>
      <c r="Y959">
        <f t="shared" si="74"/>
        <v>672.39480000000003</v>
      </c>
      <c r="Z959" s="8" t="str">
        <f t="shared" si="71"/>
        <v>Medium</v>
      </c>
      <c r="AA959" s="12">
        <f>DATE(YEAR(Table1[[#This Row],[OrderDate]]),MONTH(Table1[[#This Row],[OrderDate]]),1)</f>
        <v>44958</v>
      </c>
    </row>
    <row r="960" spans="1:27" x14ac:dyDescent="0.3">
      <c r="A960" s="3">
        <v>45481</v>
      </c>
      <c r="B960" t="s">
        <v>11</v>
      </c>
      <c r="C960" t="s">
        <v>30</v>
      </c>
      <c r="D960" t="str">
        <f>TRIM(Table1[[#This Row],[Product]])</f>
        <v>Desk</v>
      </c>
      <c r="E960" t="str">
        <f>PROPER(Table1[[#This Row],[Column1]])</f>
        <v>Desk</v>
      </c>
      <c r="F960" s="8" t="str">
        <f t="shared" si="70"/>
        <v>Furniture</v>
      </c>
      <c r="G960" s="5">
        <v>5</v>
      </c>
      <c r="H960">
        <v>186.32</v>
      </c>
      <c r="I960" t="s">
        <v>64</v>
      </c>
      <c r="J960" t="s">
        <v>58</v>
      </c>
      <c r="K960" s="7">
        <v>0.1</v>
      </c>
      <c r="L960" t="s">
        <v>21</v>
      </c>
      <c r="M960" s="5">
        <v>838.43999999999994</v>
      </c>
      <c r="N960" t="s">
        <v>66</v>
      </c>
      <c r="O960" t="s">
        <v>71</v>
      </c>
      <c r="P960" s="5">
        <v>0</v>
      </c>
      <c r="Q960" t="s">
        <v>1940</v>
      </c>
      <c r="R960" t="s">
        <v>325</v>
      </c>
      <c r="S960" s="5">
        <v>17.09</v>
      </c>
      <c r="T960" s="3">
        <v>45481</v>
      </c>
      <c r="U960" s="3">
        <v>45487</v>
      </c>
      <c r="V960" t="s">
        <v>74</v>
      </c>
      <c r="W960">
        <f t="shared" si="72"/>
        <v>754.596</v>
      </c>
      <c r="X960">
        <f t="shared" si="73"/>
        <v>931.59999999999991</v>
      </c>
      <c r="Y960">
        <f t="shared" si="74"/>
        <v>177.00399999999991</v>
      </c>
      <c r="Z960" s="8" t="str">
        <f t="shared" si="71"/>
        <v>Medium</v>
      </c>
      <c r="AA960" s="12">
        <f>DATE(YEAR(Table1[[#This Row],[OrderDate]]),MONTH(Table1[[#This Row],[OrderDate]]),1)</f>
        <v>45474</v>
      </c>
    </row>
    <row r="961" spans="1:27" x14ac:dyDescent="0.3">
      <c r="A961" s="3">
        <v>45808</v>
      </c>
      <c r="B961" t="s">
        <v>13</v>
      </c>
      <c r="C961" t="s">
        <v>32</v>
      </c>
      <c r="D961" t="str">
        <f>TRIM(Table1[[#This Row],[Product]])</f>
        <v>Monitor</v>
      </c>
      <c r="E961" t="str">
        <f>PROPER(Table1[[#This Row],[Column1]])</f>
        <v>Monitor</v>
      </c>
      <c r="F961" s="8" t="str">
        <f t="shared" si="70"/>
        <v>Technology</v>
      </c>
      <c r="G961" s="5">
        <v>3</v>
      </c>
      <c r="H961">
        <v>390.28</v>
      </c>
      <c r="I961" t="s">
        <v>57</v>
      </c>
      <c r="J961" t="s">
        <v>65</v>
      </c>
      <c r="K961" s="7">
        <v>0</v>
      </c>
      <c r="L961" t="s">
        <v>27</v>
      </c>
      <c r="M961" s="5">
        <v>1170.8399999999999</v>
      </c>
      <c r="N961" t="s">
        <v>59</v>
      </c>
      <c r="O961" t="s">
        <v>71</v>
      </c>
      <c r="P961" s="5">
        <v>1</v>
      </c>
      <c r="Q961" t="s">
        <v>1941</v>
      </c>
      <c r="R961" t="s">
        <v>1942</v>
      </c>
      <c r="S961" s="5">
        <v>45.22</v>
      </c>
      <c r="T961" s="3">
        <v>45808</v>
      </c>
      <c r="U961" s="3">
        <v>45818</v>
      </c>
      <c r="V961" t="s">
        <v>70</v>
      </c>
      <c r="W961">
        <f t="shared" si="72"/>
        <v>1170.8399999999999</v>
      </c>
      <c r="X961">
        <f t="shared" si="73"/>
        <v>1170.8399999999999</v>
      </c>
      <c r="Y961">
        <f t="shared" si="74"/>
        <v>0</v>
      </c>
      <c r="Z961" s="8" t="str">
        <f t="shared" si="71"/>
        <v>No Discount</v>
      </c>
      <c r="AA961" s="12">
        <f>DATE(YEAR(Table1[[#This Row],[OrderDate]]),MONTH(Table1[[#This Row],[OrderDate]]),1)</f>
        <v>45778</v>
      </c>
    </row>
    <row r="962" spans="1:27" x14ac:dyDescent="0.3">
      <c r="A962" s="3">
        <v>45239</v>
      </c>
      <c r="B962" t="s">
        <v>13</v>
      </c>
      <c r="C962" t="s">
        <v>32</v>
      </c>
      <c r="D962" t="str">
        <f>TRIM(Table1[[#This Row],[Product]])</f>
        <v>Monitor</v>
      </c>
      <c r="E962" t="str">
        <f>PROPER(Table1[[#This Row],[Column1]])</f>
        <v>Monitor</v>
      </c>
      <c r="F962" s="8" t="str">
        <f t="shared" ref="F962:F1025" si="75">IF(OR(E962="Chair",E962="Desk"),"Furniture",IF(OR(E962="Laptop",E962="Monitor",E962="Phone",E962="Tablet"),"Technology",IF(E962="Printer","Office Supplies","Other")))</f>
        <v>Technology</v>
      </c>
      <c r="G962" s="5">
        <v>13</v>
      </c>
      <c r="H962">
        <v>174.9</v>
      </c>
      <c r="I962" t="s">
        <v>64</v>
      </c>
      <c r="J962" t="s">
        <v>58</v>
      </c>
      <c r="K962" s="7">
        <v>0.15</v>
      </c>
      <c r="L962" t="s">
        <v>21</v>
      </c>
      <c r="M962" s="5">
        <v>1932.645</v>
      </c>
      <c r="N962" t="s">
        <v>59</v>
      </c>
      <c r="O962" t="s">
        <v>71</v>
      </c>
      <c r="P962" s="5">
        <v>0</v>
      </c>
      <c r="Q962" t="s">
        <v>1943</v>
      </c>
      <c r="R962" t="s">
        <v>1944</v>
      </c>
      <c r="S962" s="5">
        <v>31.26</v>
      </c>
      <c r="T962" s="3">
        <v>45239</v>
      </c>
      <c r="U962" s="3">
        <v>45242</v>
      </c>
      <c r="V962" t="s">
        <v>70</v>
      </c>
      <c r="W962">
        <f t="shared" si="72"/>
        <v>1642.7482499999999</v>
      </c>
      <c r="X962">
        <f t="shared" si="73"/>
        <v>2273.7000000000003</v>
      </c>
      <c r="Y962">
        <f t="shared" si="74"/>
        <v>630.9517500000004</v>
      </c>
      <c r="Z962" s="8" t="str">
        <f t="shared" ref="Z962:Z1025" si="76">IF(K962=0,"No Discount",IF(K962&lt;5%,"Low",IF(K962&lt;15%,"Medium","High")))</f>
        <v>High</v>
      </c>
      <c r="AA962" s="12">
        <f>DATE(YEAR(Table1[[#This Row],[OrderDate]]),MONTH(Table1[[#This Row],[OrderDate]]),1)</f>
        <v>45231</v>
      </c>
    </row>
    <row r="963" spans="1:27" x14ac:dyDescent="0.3">
      <c r="A963" s="3">
        <v>45113</v>
      </c>
      <c r="B963" t="s">
        <v>11</v>
      </c>
      <c r="C963" t="s">
        <v>29</v>
      </c>
      <c r="D963" t="str">
        <f>TRIM(Table1[[#This Row],[Product]])</f>
        <v>Chair</v>
      </c>
      <c r="E963" t="str">
        <f>PROPER(Table1[[#This Row],[Column1]])</f>
        <v>Chair</v>
      </c>
      <c r="F963" s="8" t="str">
        <f t="shared" si="75"/>
        <v>Furniture</v>
      </c>
      <c r="G963" s="5">
        <v>8</v>
      </c>
      <c r="H963">
        <v>419.13</v>
      </c>
      <c r="I963" t="s">
        <v>64</v>
      </c>
      <c r="J963" t="s">
        <v>65</v>
      </c>
      <c r="K963" s="7">
        <v>0.1</v>
      </c>
      <c r="L963" t="s">
        <v>18</v>
      </c>
      <c r="M963" s="5">
        <v>3017.7359999999999</v>
      </c>
      <c r="N963" t="s">
        <v>59</v>
      </c>
      <c r="P963" s="5">
        <v>1</v>
      </c>
      <c r="Q963" t="s">
        <v>1945</v>
      </c>
      <c r="R963" t="s">
        <v>1946</v>
      </c>
      <c r="S963" s="5">
        <v>11.02</v>
      </c>
      <c r="T963" s="3">
        <v>45113</v>
      </c>
      <c r="U963" s="3">
        <v>45117</v>
      </c>
      <c r="V963" t="s">
        <v>74</v>
      </c>
      <c r="W963">
        <f t="shared" ref="W963:W1026" si="77">M963*(1-K963)</f>
        <v>2715.9623999999999</v>
      </c>
      <c r="X963">
        <f t="shared" ref="X963:X1026" si="78">G963*H963</f>
        <v>3353.04</v>
      </c>
      <c r="Y963">
        <f t="shared" ref="Y963:Y1026" si="79">X963-W963</f>
        <v>637.07760000000007</v>
      </c>
      <c r="Z963" s="8" t="str">
        <f t="shared" si="76"/>
        <v>Medium</v>
      </c>
      <c r="AA963" s="12">
        <f>DATE(YEAR(Table1[[#This Row],[OrderDate]]),MONTH(Table1[[#This Row],[OrderDate]]),1)</f>
        <v>45108</v>
      </c>
    </row>
    <row r="964" spans="1:27" x14ac:dyDescent="0.3">
      <c r="A964" s="3">
        <v>45121</v>
      </c>
      <c r="B964" t="s">
        <v>11</v>
      </c>
      <c r="C964" t="s">
        <v>29</v>
      </c>
      <c r="D964" t="str">
        <f>TRIM(Table1[[#This Row],[Product]])</f>
        <v>Chair</v>
      </c>
      <c r="E964" t="str">
        <f>PROPER(Table1[[#This Row],[Column1]])</f>
        <v>Chair</v>
      </c>
      <c r="F964" s="8" t="str">
        <f t="shared" si="75"/>
        <v>Furniture</v>
      </c>
      <c r="G964" s="5">
        <v>12</v>
      </c>
      <c r="H964">
        <v>116.96</v>
      </c>
      <c r="I964" t="s">
        <v>81</v>
      </c>
      <c r="J964" t="s">
        <v>58</v>
      </c>
      <c r="K964" s="7">
        <v>0</v>
      </c>
      <c r="L964" t="s">
        <v>18</v>
      </c>
      <c r="M964" s="5">
        <v>1403.52</v>
      </c>
      <c r="N964" t="s">
        <v>66</v>
      </c>
      <c r="O964" t="s">
        <v>71</v>
      </c>
      <c r="P964" s="5">
        <v>0</v>
      </c>
      <c r="Q964" t="s">
        <v>1947</v>
      </c>
      <c r="R964" t="s">
        <v>1948</v>
      </c>
      <c r="S964" s="5">
        <v>22.04</v>
      </c>
      <c r="T964" s="3">
        <v>45121</v>
      </c>
      <c r="U964" s="3">
        <v>45129</v>
      </c>
      <c r="V964" t="s">
        <v>74</v>
      </c>
      <c r="W964">
        <f t="shared" si="77"/>
        <v>1403.52</v>
      </c>
      <c r="X964">
        <f t="shared" si="78"/>
        <v>1403.52</v>
      </c>
      <c r="Y964">
        <f t="shared" si="79"/>
        <v>0</v>
      </c>
      <c r="Z964" s="8" t="str">
        <f t="shared" si="76"/>
        <v>No Discount</v>
      </c>
      <c r="AA964" s="12">
        <f>DATE(YEAR(Table1[[#This Row],[OrderDate]]),MONTH(Table1[[#This Row],[OrderDate]]),1)</f>
        <v>45108</v>
      </c>
    </row>
    <row r="965" spans="1:27" x14ac:dyDescent="0.3">
      <c r="A965" s="3">
        <v>45243</v>
      </c>
      <c r="B965" t="s">
        <v>16</v>
      </c>
      <c r="C965" t="s">
        <v>29</v>
      </c>
      <c r="D965" t="str">
        <f>TRIM(Table1[[#This Row],[Product]])</f>
        <v>Chair</v>
      </c>
      <c r="E965" t="str">
        <f>PROPER(Table1[[#This Row],[Column1]])</f>
        <v>Chair</v>
      </c>
      <c r="F965" s="8" t="str">
        <f t="shared" si="75"/>
        <v>Furniture</v>
      </c>
      <c r="G965" s="5">
        <v>11</v>
      </c>
      <c r="H965">
        <v>323.72000000000003</v>
      </c>
      <c r="I965" t="s">
        <v>64</v>
      </c>
      <c r="J965" t="s">
        <v>58</v>
      </c>
      <c r="K965" s="7">
        <v>0.1</v>
      </c>
      <c r="L965" t="s">
        <v>19</v>
      </c>
      <c r="M965" s="5">
        <v>3204.828</v>
      </c>
      <c r="N965" t="s">
        <v>66</v>
      </c>
      <c r="O965" t="s">
        <v>71</v>
      </c>
      <c r="P965" s="5">
        <v>0</v>
      </c>
      <c r="Q965" t="s">
        <v>1949</v>
      </c>
      <c r="R965" t="s">
        <v>1950</v>
      </c>
      <c r="S965" s="5">
        <v>7.52</v>
      </c>
      <c r="T965" s="3">
        <v>45243</v>
      </c>
      <c r="U965" s="3">
        <v>45245</v>
      </c>
      <c r="V965" t="s">
        <v>95</v>
      </c>
      <c r="W965">
        <f t="shared" si="77"/>
        <v>2884.3452000000002</v>
      </c>
      <c r="X965">
        <f t="shared" si="78"/>
        <v>3560.92</v>
      </c>
      <c r="Y965">
        <f t="shared" si="79"/>
        <v>676.57479999999987</v>
      </c>
      <c r="Z965" s="8" t="str">
        <f t="shared" si="76"/>
        <v>Medium</v>
      </c>
      <c r="AA965" s="12">
        <f>DATE(YEAR(Table1[[#This Row],[OrderDate]]),MONTH(Table1[[#This Row],[OrderDate]]),1)</f>
        <v>45231</v>
      </c>
    </row>
    <row r="966" spans="1:27" x14ac:dyDescent="0.3">
      <c r="A966" s="3">
        <v>45690</v>
      </c>
      <c r="B966" t="s">
        <v>16</v>
      </c>
      <c r="C966" t="s">
        <v>35</v>
      </c>
      <c r="D966" t="str">
        <f>TRIM(Table1[[#This Row],[Product]])</f>
        <v>Tablet</v>
      </c>
      <c r="E966" t="str">
        <f>PROPER(Table1[[#This Row],[Column1]])</f>
        <v>Tablet</v>
      </c>
      <c r="F966" s="8" t="str">
        <f t="shared" si="75"/>
        <v>Technology</v>
      </c>
      <c r="G966" s="5">
        <v>11</v>
      </c>
      <c r="H966">
        <v>155.49</v>
      </c>
      <c r="I966" t="s">
        <v>81</v>
      </c>
      <c r="J966" t="s">
        <v>65</v>
      </c>
      <c r="K966" s="7">
        <v>0.05</v>
      </c>
      <c r="L966" t="s">
        <v>27</v>
      </c>
      <c r="M966" s="5">
        <v>1624.8705</v>
      </c>
      <c r="N966" t="s">
        <v>88</v>
      </c>
      <c r="P966" s="5">
        <v>0</v>
      </c>
      <c r="Q966" t="s">
        <v>1951</v>
      </c>
      <c r="R966" t="s">
        <v>1952</v>
      </c>
      <c r="S966" s="5">
        <v>47.01</v>
      </c>
      <c r="T966" s="3">
        <v>45690</v>
      </c>
      <c r="U966" s="3">
        <v>45700</v>
      </c>
      <c r="V966" t="s">
        <v>95</v>
      </c>
      <c r="W966">
        <f t="shared" si="77"/>
        <v>1543.6269749999999</v>
      </c>
      <c r="X966">
        <f t="shared" si="78"/>
        <v>1710.39</v>
      </c>
      <c r="Y966">
        <f t="shared" si="79"/>
        <v>166.7630250000002</v>
      </c>
      <c r="Z966" s="8" t="str">
        <f t="shared" si="76"/>
        <v>Medium</v>
      </c>
      <c r="AA966" s="12">
        <f>DATE(YEAR(Table1[[#This Row],[OrderDate]]),MONTH(Table1[[#This Row],[OrderDate]]),1)</f>
        <v>45689</v>
      </c>
    </row>
    <row r="967" spans="1:27" x14ac:dyDescent="0.3">
      <c r="A967" s="3">
        <v>45418</v>
      </c>
      <c r="B967" t="s">
        <v>13</v>
      </c>
      <c r="C967" t="s">
        <v>34</v>
      </c>
      <c r="D967" t="str">
        <f>TRIM(Table1[[#This Row],[Product]])</f>
        <v>Printer</v>
      </c>
      <c r="E967" t="str">
        <f>PROPER(Table1[[#This Row],[Column1]])</f>
        <v>Printer</v>
      </c>
      <c r="F967" s="8" t="str">
        <f t="shared" si="75"/>
        <v>Office Supplies</v>
      </c>
      <c r="G967" s="5">
        <v>20</v>
      </c>
      <c r="H967">
        <v>270.2</v>
      </c>
      <c r="I967" t="s">
        <v>64</v>
      </c>
      <c r="J967" t="s">
        <v>58</v>
      </c>
      <c r="K967" s="7">
        <v>0</v>
      </c>
      <c r="L967" t="s">
        <v>23</v>
      </c>
      <c r="M967" s="5">
        <v>5404</v>
      </c>
      <c r="N967" t="s">
        <v>82</v>
      </c>
      <c r="O967" t="s">
        <v>71</v>
      </c>
      <c r="P967" s="5">
        <v>0</v>
      </c>
      <c r="Q967" t="s">
        <v>1953</v>
      </c>
      <c r="R967" t="s">
        <v>1954</v>
      </c>
      <c r="S967" s="5">
        <v>6.8</v>
      </c>
      <c r="T967" s="3">
        <v>45418</v>
      </c>
      <c r="U967" s="3">
        <v>45427</v>
      </c>
      <c r="V967" t="s">
        <v>70</v>
      </c>
      <c r="W967">
        <f t="shared" si="77"/>
        <v>5404</v>
      </c>
      <c r="X967">
        <f t="shared" si="78"/>
        <v>5404</v>
      </c>
      <c r="Y967">
        <f t="shared" si="79"/>
        <v>0</v>
      </c>
      <c r="Z967" s="8" t="str">
        <f t="shared" si="76"/>
        <v>No Discount</v>
      </c>
      <c r="AA967" s="12">
        <f>DATE(YEAR(Table1[[#This Row],[OrderDate]]),MONTH(Table1[[#This Row],[OrderDate]]),1)</f>
        <v>45413</v>
      </c>
    </row>
    <row r="968" spans="1:27" x14ac:dyDescent="0.3">
      <c r="A968" s="3">
        <v>45582</v>
      </c>
      <c r="B968" t="s">
        <v>13</v>
      </c>
      <c r="C968" t="s">
        <v>34</v>
      </c>
      <c r="D968" t="str">
        <f>TRIM(Table1[[#This Row],[Product]])</f>
        <v>Printer</v>
      </c>
      <c r="E968" t="str">
        <f>PROPER(Table1[[#This Row],[Column1]])</f>
        <v>Printer</v>
      </c>
      <c r="F968" s="8" t="str">
        <f t="shared" si="75"/>
        <v>Office Supplies</v>
      </c>
      <c r="G968" s="5">
        <v>15</v>
      </c>
      <c r="H968">
        <v>482.08</v>
      </c>
      <c r="I968" t="s">
        <v>81</v>
      </c>
      <c r="J968" t="s">
        <v>65</v>
      </c>
      <c r="K968" s="7">
        <v>0.1</v>
      </c>
      <c r="L968" t="s">
        <v>25</v>
      </c>
      <c r="M968" s="5">
        <v>6508.08</v>
      </c>
      <c r="N968" t="s">
        <v>85</v>
      </c>
      <c r="O968" t="s">
        <v>60</v>
      </c>
      <c r="P968" s="5">
        <v>1</v>
      </c>
      <c r="Q968" t="s">
        <v>1955</v>
      </c>
      <c r="R968" t="s">
        <v>1277</v>
      </c>
      <c r="S968" s="5">
        <v>13.35</v>
      </c>
      <c r="T968" s="3">
        <v>45582</v>
      </c>
      <c r="U968" s="3">
        <v>45584</v>
      </c>
      <c r="V968" t="s">
        <v>70</v>
      </c>
      <c r="W968">
        <f t="shared" si="77"/>
        <v>5857.2719999999999</v>
      </c>
      <c r="X968">
        <f t="shared" si="78"/>
        <v>7231.2</v>
      </c>
      <c r="Y968">
        <f t="shared" si="79"/>
        <v>1373.9279999999999</v>
      </c>
      <c r="Z968" s="8" t="str">
        <f t="shared" si="76"/>
        <v>Medium</v>
      </c>
      <c r="AA968" s="12">
        <f>DATE(YEAR(Table1[[#This Row],[OrderDate]]),MONTH(Table1[[#This Row],[OrderDate]]),1)</f>
        <v>45566</v>
      </c>
    </row>
    <row r="969" spans="1:27" x14ac:dyDescent="0.3">
      <c r="A969" s="3">
        <v>45686</v>
      </c>
      <c r="B969" t="s">
        <v>11</v>
      </c>
      <c r="C969" t="s">
        <v>31</v>
      </c>
      <c r="D969" t="str">
        <f>TRIM(Table1[[#This Row],[Product]])</f>
        <v>Laptop</v>
      </c>
      <c r="E969" t="str">
        <f>PROPER(Table1[[#This Row],[Column1]])</f>
        <v>Laptop</v>
      </c>
      <c r="F969" s="8" t="str">
        <f t="shared" si="75"/>
        <v>Technology</v>
      </c>
      <c r="G969" s="5">
        <v>11</v>
      </c>
      <c r="H969">
        <v>431.51</v>
      </c>
      <c r="I969" t="s">
        <v>78</v>
      </c>
      <c r="J969" t="s">
        <v>58</v>
      </c>
      <c r="K969" s="7">
        <v>0.1</v>
      </c>
      <c r="L969" t="s">
        <v>21</v>
      </c>
      <c r="M969" s="5">
        <v>4271.9489999999996</v>
      </c>
      <c r="N969" t="s">
        <v>85</v>
      </c>
      <c r="O969" t="s">
        <v>67</v>
      </c>
      <c r="P969" s="5">
        <v>0</v>
      </c>
      <c r="Q969" t="s">
        <v>1956</v>
      </c>
      <c r="R969" t="s">
        <v>1957</v>
      </c>
      <c r="S969" s="5">
        <v>22.83</v>
      </c>
      <c r="T969" s="3">
        <v>45686</v>
      </c>
      <c r="U969" s="3">
        <v>45693</v>
      </c>
      <c r="V969" t="s">
        <v>74</v>
      </c>
      <c r="W969">
        <f t="shared" si="77"/>
        <v>3844.7540999999997</v>
      </c>
      <c r="X969">
        <f t="shared" si="78"/>
        <v>4746.6099999999997</v>
      </c>
      <c r="Y969">
        <f t="shared" si="79"/>
        <v>901.85590000000002</v>
      </c>
      <c r="Z969" s="8" t="str">
        <f t="shared" si="76"/>
        <v>Medium</v>
      </c>
      <c r="AA969" s="12">
        <f>DATE(YEAR(Table1[[#This Row],[OrderDate]]),MONTH(Table1[[#This Row],[OrderDate]]),1)</f>
        <v>45658</v>
      </c>
    </row>
    <row r="970" spans="1:27" x14ac:dyDescent="0.3">
      <c r="A970" s="3">
        <v>45739</v>
      </c>
      <c r="B970" t="s">
        <v>7</v>
      </c>
      <c r="C970" t="s">
        <v>29</v>
      </c>
      <c r="D970" t="str">
        <f>TRIM(Table1[[#This Row],[Product]])</f>
        <v>Chair</v>
      </c>
      <c r="E970" t="str">
        <f>PROPER(Table1[[#This Row],[Column1]])</f>
        <v>Chair</v>
      </c>
      <c r="F970" s="8" t="str">
        <f t="shared" si="75"/>
        <v>Furniture</v>
      </c>
      <c r="G970" s="5">
        <v>5</v>
      </c>
      <c r="H970">
        <v>302.76</v>
      </c>
      <c r="I970" t="s">
        <v>81</v>
      </c>
      <c r="J970" t="s">
        <v>58</v>
      </c>
      <c r="K970" s="7">
        <v>0</v>
      </c>
      <c r="L970" t="s">
        <v>21</v>
      </c>
      <c r="M970" s="5">
        <v>1513.8</v>
      </c>
      <c r="N970" t="s">
        <v>66</v>
      </c>
      <c r="O970" t="s">
        <v>60</v>
      </c>
      <c r="P970" s="5">
        <v>1</v>
      </c>
      <c r="Q970" t="s">
        <v>1958</v>
      </c>
      <c r="R970" t="s">
        <v>1959</v>
      </c>
      <c r="S970" s="5">
        <v>46.69</v>
      </c>
      <c r="T970" s="3">
        <v>45739</v>
      </c>
      <c r="U970" s="3">
        <v>45745</v>
      </c>
      <c r="V970" t="s">
        <v>77</v>
      </c>
      <c r="W970">
        <f t="shared" si="77"/>
        <v>1513.8</v>
      </c>
      <c r="X970">
        <f t="shared" si="78"/>
        <v>1513.8</v>
      </c>
      <c r="Y970">
        <f t="shared" si="79"/>
        <v>0</v>
      </c>
      <c r="Z970" s="8" t="str">
        <f t="shared" si="76"/>
        <v>No Discount</v>
      </c>
      <c r="AA970" s="12">
        <f>DATE(YEAR(Table1[[#This Row],[OrderDate]]),MONTH(Table1[[#This Row],[OrderDate]]),1)</f>
        <v>45717</v>
      </c>
    </row>
    <row r="971" spans="1:27" x14ac:dyDescent="0.3">
      <c r="A971" s="3">
        <v>45393</v>
      </c>
      <c r="B971" t="s">
        <v>16</v>
      </c>
      <c r="C971" t="s">
        <v>29</v>
      </c>
      <c r="D971" t="str">
        <f>TRIM(Table1[[#This Row],[Product]])</f>
        <v>Chair</v>
      </c>
      <c r="E971" t="str">
        <f>PROPER(Table1[[#This Row],[Column1]])</f>
        <v>Chair</v>
      </c>
      <c r="F971" s="8" t="str">
        <f t="shared" si="75"/>
        <v>Furniture</v>
      </c>
      <c r="G971" s="5">
        <v>19</v>
      </c>
      <c r="H971">
        <v>344.92</v>
      </c>
      <c r="I971" t="s">
        <v>78</v>
      </c>
      <c r="J971" t="s">
        <v>58</v>
      </c>
      <c r="K971" s="7">
        <v>0</v>
      </c>
      <c r="L971" t="s">
        <v>25</v>
      </c>
      <c r="M971" s="5">
        <v>6553.48</v>
      </c>
      <c r="N971" t="s">
        <v>88</v>
      </c>
      <c r="O971" t="s">
        <v>71</v>
      </c>
      <c r="P971" s="5">
        <v>0</v>
      </c>
      <c r="Q971" t="s">
        <v>1960</v>
      </c>
      <c r="R971" t="s">
        <v>1961</v>
      </c>
      <c r="S971" s="5">
        <v>6.91</v>
      </c>
      <c r="T971" s="3">
        <v>45393</v>
      </c>
      <c r="U971" s="3">
        <v>45402</v>
      </c>
      <c r="V971" t="s">
        <v>95</v>
      </c>
      <c r="W971">
        <f t="shared" si="77"/>
        <v>6553.48</v>
      </c>
      <c r="X971">
        <f t="shared" si="78"/>
        <v>6553.4800000000005</v>
      </c>
      <c r="Y971">
        <f t="shared" si="79"/>
        <v>0</v>
      </c>
      <c r="Z971" s="8" t="str">
        <f t="shared" si="76"/>
        <v>No Discount</v>
      </c>
      <c r="AA971" s="12">
        <f>DATE(YEAR(Table1[[#This Row],[OrderDate]]),MONTH(Table1[[#This Row],[OrderDate]]),1)</f>
        <v>45383</v>
      </c>
    </row>
    <row r="972" spans="1:27" x14ac:dyDescent="0.3">
      <c r="A972" s="3">
        <v>45415</v>
      </c>
      <c r="B972" t="s">
        <v>7</v>
      </c>
      <c r="C972" t="s">
        <v>29</v>
      </c>
      <c r="D972" t="str">
        <f>TRIM(Table1[[#This Row],[Product]])</f>
        <v>Chair</v>
      </c>
      <c r="E972" t="str">
        <f>PROPER(Table1[[#This Row],[Column1]])</f>
        <v>Chair</v>
      </c>
      <c r="F972" s="8" t="str">
        <f t="shared" si="75"/>
        <v>Furniture</v>
      </c>
      <c r="G972" s="5">
        <v>7</v>
      </c>
      <c r="H972">
        <v>511.46</v>
      </c>
      <c r="I972" t="s">
        <v>78</v>
      </c>
      <c r="J972" t="s">
        <v>65</v>
      </c>
      <c r="K972" s="7">
        <v>0.1</v>
      </c>
      <c r="L972" t="s">
        <v>25</v>
      </c>
      <c r="M972" s="5">
        <v>3222.1979999999999</v>
      </c>
      <c r="N972" t="s">
        <v>88</v>
      </c>
      <c r="O972" t="s">
        <v>60</v>
      </c>
      <c r="P972" s="5">
        <v>0</v>
      </c>
      <c r="Q972" t="s">
        <v>1962</v>
      </c>
      <c r="R972" t="s">
        <v>1963</v>
      </c>
      <c r="S972" s="5">
        <v>19.2</v>
      </c>
      <c r="T972" s="3">
        <v>45415</v>
      </c>
      <c r="U972" s="3">
        <v>45424</v>
      </c>
      <c r="V972" t="s">
        <v>77</v>
      </c>
      <c r="W972">
        <f t="shared" si="77"/>
        <v>2899.9782</v>
      </c>
      <c r="X972">
        <f t="shared" si="78"/>
        <v>3580.22</v>
      </c>
      <c r="Y972">
        <f t="shared" si="79"/>
        <v>680.24179999999978</v>
      </c>
      <c r="Z972" s="8" t="str">
        <f t="shared" si="76"/>
        <v>Medium</v>
      </c>
      <c r="AA972" s="12">
        <f>DATE(YEAR(Table1[[#This Row],[OrderDate]]),MONTH(Table1[[#This Row],[OrderDate]]),1)</f>
        <v>45413</v>
      </c>
    </row>
    <row r="973" spans="1:27" x14ac:dyDescent="0.3">
      <c r="A973" s="3">
        <v>45579</v>
      </c>
      <c r="B973" t="s">
        <v>9</v>
      </c>
      <c r="C973" t="s">
        <v>32</v>
      </c>
      <c r="D973" t="str">
        <f>TRIM(Table1[[#This Row],[Product]])</f>
        <v>Monitor</v>
      </c>
      <c r="E973" t="str">
        <f>PROPER(Table1[[#This Row],[Column1]])</f>
        <v>Monitor</v>
      </c>
      <c r="F973" s="8" t="str">
        <f t="shared" si="75"/>
        <v>Technology</v>
      </c>
      <c r="G973" s="5">
        <v>7</v>
      </c>
      <c r="H973">
        <v>150.6</v>
      </c>
      <c r="I973" t="s">
        <v>64</v>
      </c>
      <c r="J973" t="s">
        <v>58</v>
      </c>
      <c r="K973" s="7">
        <v>0.15</v>
      </c>
      <c r="L973" t="s">
        <v>19</v>
      </c>
      <c r="M973" s="5">
        <v>896.07</v>
      </c>
      <c r="N973" t="s">
        <v>88</v>
      </c>
      <c r="O973" t="s">
        <v>71</v>
      </c>
      <c r="P973" s="5">
        <v>1</v>
      </c>
      <c r="Q973" t="s">
        <v>1964</v>
      </c>
      <c r="R973" t="s">
        <v>1965</v>
      </c>
      <c r="S973" s="5">
        <v>15.52</v>
      </c>
      <c r="T973" s="3">
        <v>45579</v>
      </c>
      <c r="U973" s="3">
        <v>45586</v>
      </c>
      <c r="V973" t="s">
        <v>63</v>
      </c>
      <c r="W973">
        <f t="shared" si="77"/>
        <v>761.65949999999998</v>
      </c>
      <c r="X973">
        <f t="shared" si="78"/>
        <v>1054.2</v>
      </c>
      <c r="Y973">
        <f t="shared" si="79"/>
        <v>292.54050000000007</v>
      </c>
      <c r="Z973" s="8" t="str">
        <f t="shared" si="76"/>
        <v>High</v>
      </c>
      <c r="AA973" s="12">
        <f>DATE(YEAR(Table1[[#This Row],[OrderDate]]),MONTH(Table1[[#This Row],[OrderDate]]),1)</f>
        <v>45566</v>
      </c>
    </row>
    <row r="974" spans="1:27" x14ac:dyDescent="0.3">
      <c r="A974" s="3">
        <v>45330</v>
      </c>
      <c r="B974" t="s">
        <v>16</v>
      </c>
      <c r="C974" t="s">
        <v>33</v>
      </c>
      <c r="D974" t="str">
        <f>TRIM(Table1[[#This Row],[Product]])</f>
        <v>Phone</v>
      </c>
      <c r="E974" t="str">
        <f>PROPER(Table1[[#This Row],[Column1]])</f>
        <v>Phone</v>
      </c>
      <c r="F974" s="8" t="str">
        <f t="shared" si="75"/>
        <v>Technology</v>
      </c>
      <c r="G974" s="5">
        <v>8</v>
      </c>
      <c r="H974">
        <v>158.02000000000001</v>
      </c>
      <c r="I974" t="s">
        <v>78</v>
      </c>
      <c r="J974" t="s">
        <v>58</v>
      </c>
      <c r="K974" s="7">
        <v>0.15</v>
      </c>
      <c r="L974" t="s">
        <v>23</v>
      </c>
      <c r="M974" s="5">
        <v>1074.5360000000001</v>
      </c>
      <c r="N974" t="s">
        <v>82</v>
      </c>
      <c r="O974" t="s">
        <v>60</v>
      </c>
      <c r="P974" s="5">
        <v>0</v>
      </c>
      <c r="Q974" t="s">
        <v>1966</v>
      </c>
      <c r="R974" t="s">
        <v>1967</v>
      </c>
      <c r="S974" s="5">
        <v>47.43</v>
      </c>
      <c r="T974" s="3">
        <v>45330</v>
      </c>
      <c r="U974" s="3">
        <v>45335</v>
      </c>
      <c r="V974" t="s">
        <v>95</v>
      </c>
      <c r="W974">
        <f t="shared" si="77"/>
        <v>913.35559999999998</v>
      </c>
      <c r="X974">
        <f t="shared" si="78"/>
        <v>1264.1600000000001</v>
      </c>
      <c r="Y974">
        <f t="shared" si="79"/>
        <v>350.8044000000001</v>
      </c>
      <c r="Z974" s="8" t="str">
        <f t="shared" si="76"/>
        <v>High</v>
      </c>
      <c r="AA974" s="12">
        <f>DATE(YEAR(Table1[[#This Row],[OrderDate]]),MONTH(Table1[[#This Row],[OrderDate]]),1)</f>
        <v>45323</v>
      </c>
    </row>
    <row r="975" spans="1:27" x14ac:dyDescent="0.3">
      <c r="A975" s="3">
        <v>45056</v>
      </c>
      <c r="B975" t="s">
        <v>7</v>
      </c>
      <c r="C975" t="s">
        <v>35</v>
      </c>
      <c r="D975" t="str">
        <f>TRIM(Table1[[#This Row],[Product]])</f>
        <v>Tablet</v>
      </c>
      <c r="E975" t="str">
        <f>PROPER(Table1[[#This Row],[Column1]])</f>
        <v>Tablet</v>
      </c>
      <c r="F975" s="8" t="str">
        <f t="shared" si="75"/>
        <v>Technology</v>
      </c>
      <c r="G975" s="5">
        <v>2</v>
      </c>
      <c r="H975">
        <v>536.17999999999995</v>
      </c>
      <c r="I975" t="s">
        <v>57</v>
      </c>
      <c r="J975" t="s">
        <v>65</v>
      </c>
      <c r="K975" s="7">
        <v>0.1</v>
      </c>
      <c r="L975" t="s">
        <v>27</v>
      </c>
      <c r="M975" s="5">
        <v>965.12399999999991</v>
      </c>
      <c r="N975" t="s">
        <v>82</v>
      </c>
      <c r="O975" t="s">
        <v>60</v>
      </c>
      <c r="P975" s="5">
        <v>0</v>
      </c>
      <c r="Q975" t="s">
        <v>1968</v>
      </c>
      <c r="R975" t="s">
        <v>1969</v>
      </c>
      <c r="S975" s="5">
        <v>34.75</v>
      </c>
      <c r="T975" s="3">
        <v>45056</v>
      </c>
      <c r="U975" s="3">
        <v>45059</v>
      </c>
      <c r="V975" t="s">
        <v>77</v>
      </c>
      <c r="W975">
        <f t="shared" si="77"/>
        <v>868.61159999999995</v>
      </c>
      <c r="X975">
        <f t="shared" si="78"/>
        <v>1072.3599999999999</v>
      </c>
      <c r="Y975">
        <f t="shared" si="79"/>
        <v>203.74839999999995</v>
      </c>
      <c r="Z975" s="8" t="str">
        <f t="shared" si="76"/>
        <v>Medium</v>
      </c>
      <c r="AA975" s="12">
        <f>DATE(YEAR(Table1[[#This Row],[OrderDate]]),MONTH(Table1[[#This Row],[OrderDate]]),1)</f>
        <v>45047</v>
      </c>
    </row>
    <row r="976" spans="1:27" x14ac:dyDescent="0.3">
      <c r="A976" s="3">
        <v>44988</v>
      </c>
      <c r="B976" t="s">
        <v>11</v>
      </c>
      <c r="C976" t="s">
        <v>29</v>
      </c>
      <c r="D976" t="str">
        <f>TRIM(Table1[[#This Row],[Product]])</f>
        <v>Chair</v>
      </c>
      <c r="E976" t="str">
        <f>PROPER(Table1[[#This Row],[Column1]])</f>
        <v>Chair</v>
      </c>
      <c r="F976" s="8" t="str">
        <f t="shared" si="75"/>
        <v>Furniture</v>
      </c>
      <c r="G976" s="5">
        <v>16</v>
      </c>
      <c r="H976">
        <v>571.26</v>
      </c>
      <c r="I976" t="s">
        <v>78</v>
      </c>
      <c r="J976" t="s">
        <v>58</v>
      </c>
      <c r="K976" s="7">
        <v>0.15</v>
      </c>
      <c r="L976" t="s">
        <v>19</v>
      </c>
      <c r="M976" s="5">
        <v>7769.1360000000004</v>
      </c>
      <c r="N976" t="s">
        <v>66</v>
      </c>
      <c r="O976" t="s">
        <v>67</v>
      </c>
      <c r="P976" s="5">
        <v>0</v>
      </c>
      <c r="Q976" t="s">
        <v>1970</v>
      </c>
      <c r="R976" t="s">
        <v>1971</v>
      </c>
      <c r="S976" s="5">
        <v>6.13</v>
      </c>
      <c r="T976" s="3">
        <v>44988</v>
      </c>
      <c r="U976" s="3">
        <v>44997</v>
      </c>
      <c r="V976" t="s">
        <v>74</v>
      </c>
      <c r="W976">
        <f t="shared" si="77"/>
        <v>6603.7656000000006</v>
      </c>
      <c r="X976">
        <f t="shared" si="78"/>
        <v>9140.16</v>
      </c>
      <c r="Y976">
        <f t="shared" si="79"/>
        <v>2536.3943999999992</v>
      </c>
      <c r="Z976" s="8" t="str">
        <f t="shared" si="76"/>
        <v>High</v>
      </c>
      <c r="AA976" s="12">
        <f>DATE(YEAR(Table1[[#This Row],[OrderDate]]),MONTH(Table1[[#This Row],[OrderDate]]),1)</f>
        <v>44986</v>
      </c>
    </row>
    <row r="977" spans="1:27" x14ac:dyDescent="0.3">
      <c r="A977" s="3">
        <v>45798</v>
      </c>
      <c r="B977" t="s">
        <v>7</v>
      </c>
      <c r="C977" t="s">
        <v>35</v>
      </c>
      <c r="D977" t="str">
        <f>TRIM(Table1[[#This Row],[Product]])</f>
        <v>Tablet</v>
      </c>
      <c r="E977" t="str">
        <f>PROPER(Table1[[#This Row],[Column1]])</f>
        <v>Tablet</v>
      </c>
      <c r="F977" s="8" t="str">
        <f t="shared" si="75"/>
        <v>Technology</v>
      </c>
      <c r="G977" s="5">
        <v>12</v>
      </c>
      <c r="H977">
        <v>134.41999999999999</v>
      </c>
      <c r="I977" t="s">
        <v>81</v>
      </c>
      <c r="J977" t="s">
        <v>65</v>
      </c>
      <c r="K977" s="7">
        <v>0.1</v>
      </c>
      <c r="L977" t="s">
        <v>23</v>
      </c>
      <c r="M977" s="5">
        <v>1451.7360000000001</v>
      </c>
      <c r="N977" t="s">
        <v>66</v>
      </c>
      <c r="O977" t="s">
        <v>60</v>
      </c>
      <c r="P977" s="5">
        <v>0</v>
      </c>
      <c r="Q977" t="s">
        <v>1972</v>
      </c>
      <c r="R977" t="s">
        <v>1535</v>
      </c>
      <c r="S977" s="5">
        <v>33.979999999999997</v>
      </c>
      <c r="T977" s="3">
        <v>45798</v>
      </c>
      <c r="U977" s="3">
        <v>45804</v>
      </c>
      <c r="V977" t="s">
        <v>77</v>
      </c>
      <c r="W977">
        <f t="shared" si="77"/>
        <v>1306.5624</v>
      </c>
      <c r="X977">
        <f t="shared" si="78"/>
        <v>1613.04</v>
      </c>
      <c r="Y977">
        <f t="shared" si="79"/>
        <v>306.47759999999994</v>
      </c>
      <c r="Z977" s="8" t="str">
        <f t="shared" si="76"/>
        <v>Medium</v>
      </c>
      <c r="AA977" s="12">
        <f>DATE(YEAR(Table1[[#This Row],[OrderDate]]),MONTH(Table1[[#This Row],[OrderDate]]),1)</f>
        <v>45778</v>
      </c>
    </row>
    <row r="978" spans="1:27" x14ac:dyDescent="0.3">
      <c r="A978" s="3">
        <v>45777</v>
      </c>
      <c r="B978" t="s">
        <v>7</v>
      </c>
      <c r="C978" t="s">
        <v>31</v>
      </c>
      <c r="D978" t="str">
        <f>TRIM(Table1[[#This Row],[Product]])</f>
        <v>Laptop</v>
      </c>
      <c r="E978" t="str">
        <f>PROPER(Table1[[#This Row],[Column1]])</f>
        <v>Laptop</v>
      </c>
      <c r="F978" s="8" t="str">
        <f t="shared" si="75"/>
        <v>Technology</v>
      </c>
      <c r="G978" s="5">
        <v>5</v>
      </c>
      <c r="H978">
        <v>563.70000000000005</v>
      </c>
      <c r="I978" t="s">
        <v>64</v>
      </c>
      <c r="J978" t="s">
        <v>65</v>
      </c>
      <c r="K978" s="7">
        <v>0</v>
      </c>
      <c r="L978" t="s">
        <v>19</v>
      </c>
      <c r="M978" s="5">
        <v>2818.5</v>
      </c>
      <c r="N978" t="s">
        <v>59</v>
      </c>
      <c r="O978" t="s">
        <v>67</v>
      </c>
      <c r="P978" s="5">
        <v>0</v>
      </c>
      <c r="Q978" t="s">
        <v>1973</v>
      </c>
      <c r="R978" t="s">
        <v>1974</v>
      </c>
      <c r="S978" s="5">
        <v>29.28</v>
      </c>
      <c r="T978" s="3">
        <v>45777</v>
      </c>
      <c r="U978" s="3">
        <v>45784</v>
      </c>
      <c r="V978" t="s">
        <v>77</v>
      </c>
      <c r="W978">
        <f t="shared" si="77"/>
        <v>2818.5</v>
      </c>
      <c r="X978">
        <f t="shared" si="78"/>
        <v>2818.5</v>
      </c>
      <c r="Y978">
        <f t="shared" si="79"/>
        <v>0</v>
      </c>
      <c r="Z978" s="8" t="str">
        <f t="shared" si="76"/>
        <v>No Discount</v>
      </c>
      <c r="AA978" s="12">
        <f>DATE(YEAR(Table1[[#This Row],[OrderDate]]),MONTH(Table1[[#This Row],[OrderDate]]),1)</f>
        <v>45748</v>
      </c>
    </row>
    <row r="979" spans="1:27" x14ac:dyDescent="0.3">
      <c r="A979" s="3">
        <v>45018</v>
      </c>
      <c r="B979" t="s">
        <v>11</v>
      </c>
      <c r="C979" t="s">
        <v>33</v>
      </c>
      <c r="D979" t="str">
        <f>TRIM(Table1[[#This Row],[Product]])</f>
        <v>Phone</v>
      </c>
      <c r="E979" t="str">
        <f>PROPER(Table1[[#This Row],[Column1]])</f>
        <v>Phone</v>
      </c>
      <c r="F979" s="8" t="str">
        <f t="shared" si="75"/>
        <v>Technology</v>
      </c>
      <c r="G979" s="5">
        <v>11</v>
      </c>
      <c r="H979">
        <v>546.57000000000005</v>
      </c>
      <c r="I979" t="s">
        <v>81</v>
      </c>
      <c r="J979" t="s">
        <v>65</v>
      </c>
      <c r="K979" s="7">
        <v>0.15</v>
      </c>
      <c r="L979" t="s">
        <v>19</v>
      </c>
      <c r="M979" s="5">
        <v>5110.4295000000002</v>
      </c>
      <c r="N979" t="s">
        <v>82</v>
      </c>
      <c r="O979" t="s">
        <v>67</v>
      </c>
      <c r="P979" s="5">
        <v>1</v>
      </c>
      <c r="Q979" t="s">
        <v>1975</v>
      </c>
      <c r="R979" t="s">
        <v>1976</v>
      </c>
      <c r="S979" s="5">
        <v>24.77</v>
      </c>
      <c r="T979" s="3">
        <v>45018</v>
      </c>
      <c r="U979" s="3">
        <v>45020</v>
      </c>
      <c r="V979" t="s">
        <v>74</v>
      </c>
      <c r="W979">
        <f t="shared" si="77"/>
        <v>4343.8650749999997</v>
      </c>
      <c r="X979">
        <f t="shared" si="78"/>
        <v>6012.27</v>
      </c>
      <c r="Y979">
        <f t="shared" si="79"/>
        <v>1668.4049250000007</v>
      </c>
      <c r="Z979" s="8" t="str">
        <f t="shared" si="76"/>
        <v>High</v>
      </c>
      <c r="AA979" s="12">
        <f>DATE(YEAR(Table1[[#This Row],[OrderDate]]),MONTH(Table1[[#This Row],[OrderDate]]),1)</f>
        <v>45017</v>
      </c>
    </row>
    <row r="980" spans="1:27" x14ac:dyDescent="0.3">
      <c r="A980" s="3">
        <v>45530</v>
      </c>
      <c r="B980" t="s">
        <v>11</v>
      </c>
      <c r="C980" t="s">
        <v>32</v>
      </c>
      <c r="D980" t="str">
        <f>TRIM(Table1[[#This Row],[Product]])</f>
        <v>Monitor</v>
      </c>
      <c r="E980" t="str">
        <f>PROPER(Table1[[#This Row],[Column1]])</f>
        <v>Monitor</v>
      </c>
      <c r="F980" s="8" t="str">
        <f t="shared" si="75"/>
        <v>Technology</v>
      </c>
      <c r="G980" s="5">
        <v>9</v>
      </c>
      <c r="H980">
        <v>364.88</v>
      </c>
      <c r="I980" t="s">
        <v>78</v>
      </c>
      <c r="J980" t="s">
        <v>58</v>
      </c>
      <c r="K980" s="7">
        <v>0.05</v>
      </c>
      <c r="L980" t="s">
        <v>19</v>
      </c>
      <c r="M980" s="5">
        <v>3119.7240000000002</v>
      </c>
      <c r="N980" t="s">
        <v>88</v>
      </c>
      <c r="O980" t="s">
        <v>67</v>
      </c>
      <c r="P980" s="5">
        <v>0</v>
      </c>
      <c r="Q980" t="s">
        <v>1977</v>
      </c>
      <c r="R980" t="s">
        <v>641</v>
      </c>
      <c r="S980" s="5">
        <v>40.26</v>
      </c>
      <c r="T980" s="3">
        <v>45530</v>
      </c>
      <c r="U980" s="3">
        <v>45540</v>
      </c>
      <c r="V980" t="s">
        <v>74</v>
      </c>
      <c r="W980">
        <f t="shared" si="77"/>
        <v>2963.7377999999999</v>
      </c>
      <c r="X980">
        <f t="shared" si="78"/>
        <v>3283.92</v>
      </c>
      <c r="Y980">
        <f t="shared" si="79"/>
        <v>320.18220000000019</v>
      </c>
      <c r="Z980" s="8" t="str">
        <f t="shared" si="76"/>
        <v>Medium</v>
      </c>
      <c r="AA980" s="12">
        <f>DATE(YEAR(Table1[[#This Row],[OrderDate]]),MONTH(Table1[[#This Row],[OrderDate]]),1)</f>
        <v>45505</v>
      </c>
    </row>
    <row r="981" spans="1:27" x14ac:dyDescent="0.3">
      <c r="A981" s="3">
        <v>45240</v>
      </c>
      <c r="B981" t="s">
        <v>13</v>
      </c>
      <c r="C981" t="s">
        <v>32</v>
      </c>
      <c r="D981" t="str">
        <f>TRIM(Table1[[#This Row],[Product]])</f>
        <v>Monitor</v>
      </c>
      <c r="E981" t="str">
        <f>PROPER(Table1[[#This Row],[Column1]])</f>
        <v>Monitor</v>
      </c>
      <c r="F981" s="8" t="str">
        <f t="shared" si="75"/>
        <v>Technology</v>
      </c>
      <c r="G981" s="5">
        <v>7</v>
      </c>
      <c r="H981">
        <v>368.27</v>
      </c>
      <c r="I981" t="s">
        <v>78</v>
      </c>
      <c r="J981" t="s">
        <v>58</v>
      </c>
      <c r="K981" s="7">
        <v>0.15</v>
      </c>
      <c r="L981" t="s">
        <v>21</v>
      </c>
      <c r="M981" s="5">
        <v>2191.2064999999998</v>
      </c>
      <c r="N981" t="s">
        <v>59</v>
      </c>
      <c r="O981" t="s">
        <v>71</v>
      </c>
      <c r="P981" s="5">
        <v>0</v>
      </c>
      <c r="Q981" t="s">
        <v>1978</v>
      </c>
      <c r="R981" t="s">
        <v>1979</v>
      </c>
      <c r="S981" s="5">
        <v>28.98</v>
      </c>
      <c r="T981" s="3">
        <v>45240</v>
      </c>
      <c r="U981" s="3">
        <v>45250</v>
      </c>
      <c r="V981" t="s">
        <v>70</v>
      </c>
      <c r="W981">
        <f t="shared" si="77"/>
        <v>1862.5255249999998</v>
      </c>
      <c r="X981">
        <f t="shared" si="78"/>
        <v>2577.89</v>
      </c>
      <c r="Y981">
        <f t="shared" si="79"/>
        <v>715.36447500000008</v>
      </c>
      <c r="Z981" s="8" t="str">
        <f t="shared" si="76"/>
        <v>High</v>
      </c>
      <c r="AA981" s="12">
        <f>DATE(YEAR(Table1[[#This Row],[OrderDate]]),MONTH(Table1[[#This Row],[OrderDate]]),1)</f>
        <v>45231</v>
      </c>
    </row>
    <row r="982" spans="1:27" x14ac:dyDescent="0.3">
      <c r="A982" s="3">
        <v>45684</v>
      </c>
      <c r="B982" t="s">
        <v>7</v>
      </c>
      <c r="C982" t="s">
        <v>34</v>
      </c>
      <c r="D982" t="str">
        <f>TRIM(Table1[[#This Row],[Product]])</f>
        <v>Printer</v>
      </c>
      <c r="E982" t="str">
        <f>PROPER(Table1[[#This Row],[Column1]])</f>
        <v>Printer</v>
      </c>
      <c r="F982" s="8" t="str">
        <f t="shared" si="75"/>
        <v>Office Supplies</v>
      </c>
      <c r="G982" s="5">
        <v>20</v>
      </c>
      <c r="H982">
        <v>537.28</v>
      </c>
      <c r="I982" t="s">
        <v>78</v>
      </c>
      <c r="J982" t="s">
        <v>58</v>
      </c>
      <c r="K982" s="7">
        <v>0</v>
      </c>
      <c r="L982" t="s">
        <v>27</v>
      </c>
      <c r="M982" s="5">
        <v>10745.6</v>
      </c>
      <c r="N982" t="s">
        <v>59</v>
      </c>
      <c r="P982" s="5">
        <v>1</v>
      </c>
      <c r="Q982" t="s">
        <v>1980</v>
      </c>
      <c r="R982" t="s">
        <v>1981</v>
      </c>
      <c r="S982" s="5">
        <v>15.6</v>
      </c>
      <c r="T982" s="3">
        <v>45684</v>
      </c>
      <c r="U982" s="3">
        <v>45690</v>
      </c>
      <c r="V982" t="s">
        <v>77</v>
      </c>
      <c r="W982">
        <f t="shared" si="77"/>
        <v>10745.6</v>
      </c>
      <c r="X982">
        <f t="shared" si="78"/>
        <v>10745.599999999999</v>
      </c>
      <c r="Y982">
        <f t="shared" si="79"/>
        <v>0</v>
      </c>
      <c r="Z982" s="8" t="str">
        <f t="shared" si="76"/>
        <v>No Discount</v>
      </c>
      <c r="AA982" s="12">
        <f>DATE(YEAR(Table1[[#This Row],[OrderDate]]),MONTH(Table1[[#This Row],[OrderDate]]),1)</f>
        <v>45658</v>
      </c>
    </row>
    <row r="983" spans="1:27" x14ac:dyDescent="0.3">
      <c r="A983" s="3">
        <v>45408</v>
      </c>
      <c r="B983" t="s">
        <v>13</v>
      </c>
      <c r="C983" t="s">
        <v>33</v>
      </c>
      <c r="D983" t="str">
        <f>TRIM(Table1[[#This Row],[Product]])</f>
        <v>Phone</v>
      </c>
      <c r="E983" t="str">
        <f>PROPER(Table1[[#This Row],[Column1]])</f>
        <v>Phone</v>
      </c>
      <c r="F983" s="8" t="str">
        <f t="shared" si="75"/>
        <v>Technology</v>
      </c>
      <c r="G983" s="5">
        <v>3</v>
      </c>
      <c r="H983">
        <v>103.09</v>
      </c>
      <c r="I983" t="s">
        <v>81</v>
      </c>
      <c r="J983" t="s">
        <v>58</v>
      </c>
      <c r="K983" s="7">
        <v>0</v>
      </c>
      <c r="L983" t="s">
        <v>21</v>
      </c>
      <c r="M983" s="5">
        <v>309.27</v>
      </c>
      <c r="N983" t="s">
        <v>66</v>
      </c>
      <c r="O983" t="s">
        <v>67</v>
      </c>
      <c r="P983" s="5">
        <v>1</v>
      </c>
      <c r="Q983" t="s">
        <v>1982</v>
      </c>
      <c r="R983" t="s">
        <v>1983</v>
      </c>
      <c r="S983" s="5">
        <v>46.47</v>
      </c>
      <c r="T983" s="3">
        <v>45408</v>
      </c>
      <c r="U983" s="3">
        <v>45412</v>
      </c>
      <c r="V983" t="s">
        <v>70</v>
      </c>
      <c r="W983">
        <f t="shared" si="77"/>
        <v>309.27</v>
      </c>
      <c r="X983">
        <f t="shared" si="78"/>
        <v>309.27</v>
      </c>
      <c r="Y983">
        <f t="shared" si="79"/>
        <v>0</v>
      </c>
      <c r="Z983" s="8" t="str">
        <f t="shared" si="76"/>
        <v>No Discount</v>
      </c>
      <c r="AA983" s="12">
        <f>DATE(YEAR(Table1[[#This Row],[OrderDate]]),MONTH(Table1[[#This Row],[OrderDate]]),1)</f>
        <v>45383</v>
      </c>
    </row>
    <row r="984" spans="1:27" x14ac:dyDescent="0.3">
      <c r="A984" s="3">
        <v>45257</v>
      </c>
      <c r="B984" t="s">
        <v>9</v>
      </c>
      <c r="C984" t="s">
        <v>35</v>
      </c>
      <c r="D984" t="str">
        <f>TRIM(Table1[[#This Row],[Product]])</f>
        <v>Tablet</v>
      </c>
      <c r="E984" t="str">
        <f>PROPER(Table1[[#This Row],[Column1]])</f>
        <v>Tablet</v>
      </c>
      <c r="F984" s="8" t="str">
        <f t="shared" si="75"/>
        <v>Technology</v>
      </c>
      <c r="G984" s="5">
        <v>9</v>
      </c>
      <c r="H984">
        <v>97.56</v>
      </c>
      <c r="I984" t="s">
        <v>64</v>
      </c>
      <c r="J984" t="s">
        <v>58</v>
      </c>
      <c r="K984" s="7">
        <v>0</v>
      </c>
      <c r="L984" t="s">
        <v>18</v>
      </c>
      <c r="M984" s="5">
        <v>878.04</v>
      </c>
      <c r="N984" t="s">
        <v>59</v>
      </c>
      <c r="P984" s="5">
        <v>0</v>
      </c>
      <c r="Q984" t="s">
        <v>1984</v>
      </c>
      <c r="R984" t="s">
        <v>1985</v>
      </c>
      <c r="S984" s="5">
        <v>48.84</v>
      </c>
      <c r="T984" s="3">
        <v>45257</v>
      </c>
      <c r="U984" s="3">
        <v>45261</v>
      </c>
      <c r="V984" t="s">
        <v>63</v>
      </c>
      <c r="W984">
        <f t="shared" si="77"/>
        <v>878.04</v>
      </c>
      <c r="X984">
        <f t="shared" si="78"/>
        <v>878.04</v>
      </c>
      <c r="Y984">
        <f t="shared" si="79"/>
        <v>0</v>
      </c>
      <c r="Z984" s="8" t="str">
        <f t="shared" si="76"/>
        <v>No Discount</v>
      </c>
      <c r="AA984" s="12">
        <f>DATE(YEAR(Table1[[#This Row],[OrderDate]]),MONTH(Table1[[#This Row],[OrderDate]]),1)</f>
        <v>45231</v>
      </c>
    </row>
    <row r="985" spans="1:27" x14ac:dyDescent="0.3">
      <c r="A985" s="3">
        <v>45015</v>
      </c>
      <c r="B985" t="s">
        <v>7</v>
      </c>
      <c r="C985" t="s">
        <v>35</v>
      </c>
      <c r="D985" t="str">
        <f>TRIM(Table1[[#This Row],[Product]])</f>
        <v>Tablet</v>
      </c>
      <c r="E985" t="str">
        <f>PROPER(Table1[[#This Row],[Column1]])</f>
        <v>Tablet</v>
      </c>
      <c r="F985" s="8" t="str">
        <f t="shared" si="75"/>
        <v>Technology</v>
      </c>
      <c r="G985" s="5">
        <v>10</v>
      </c>
      <c r="H985">
        <v>338.75</v>
      </c>
      <c r="I985" t="s">
        <v>64</v>
      </c>
      <c r="J985" t="s">
        <v>58</v>
      </c>
      <c r="K985" s="7">
        <v>0.15</v>
      </c>
      <c r="L985" t="s">
        <v>21</v>
      </c>
      <c r="M985" s="5">
        <v>2879.375</v>
      </c>
      <c r="N985" t="s">
        <v>88</v>
      </c>
      <c r="O985" t="s">
        <v>71</v>
      </c>
      <c r="P985" s="5">
        <v>1</v>
      </c>
      <c r="Q985" t="s">
        <v>1986</v>
      </c>
      <c r="R985" t="s">
        <v>1987</v>
      </c>
      <c r="S985" s="5">
        <v>36.56</v>
      </c>
      <c r="T985" s="3">
        <v>45015</v>
      </c>
      <c r="U985" s="3">
        <v>45022</v>
      </c>
      <c r="V985" t="s">
        <v>77</v>
      </c>
      <c r="W985">
        <f t="shared" si="77"/>
        <v>2447.46875</v>
      </c>
      <c r="X985">
        <f t="shared" si="78"/>
        <v>3387.5</v>
      </c>
      <c r="Y985">
        <f t="shared" si="79"/>
        <v>940.03125</v>
      </c>
      <c r="Z985" s="8" t="str">
        <f t="shared" si="76"/>
        <v>High</v>
      </c>
      <c r="AA985" s="12">
        <f>DATE(YEAR(Table1[[#This Row],[OrderDate]]),MONTH(Table1[[#This Row],[OrderDate]]),1)</f>
        <v>44986</v>
      </c>
    </row>
    <row r="986" spans="1:27" x14ac:dyDescent="0.3">
      <c r="A986" s="3">
        <v>45355</v>
      </c>
      <c r="B986" t="s">
        <v>11</v>
      </c>
      <c r="C986" t="s">
        <v>30</v>
      </c>
      <c r="D986" t="str">
        <f>TRIM(Table1[[#This Row],[Product]])</f>
        <v>Desk</v>
      </c>
      <c r="E986" t="str">
        <f>PROPER(Table1[[#This Row],[Column1]])</f>
        <v>Desk</v>
      </c>
      <c r="F986" s="8" t="str">
        <f t="shared" si="75"/>
        <v>Furniture</v>
      </c>
      <c r="G986" s="5">
        <v>2</v>
      </c>
      <c r="H986">
        <v>239.04</v>
      </c>
      <c r="I986" t="s">
        <v>64</v>
      </c>
      <c r="J986" t="s">
        <v>58</v>
      </c>
      <c r="K986" s="7">
        <v>0</v>
      </c>
      <c r="L986" t="s">
        <v>19</v>
      </c>
      <c r="M986" s="5">
        <v>478.08</v>
      </c>
      <c r="N986" t="s">
        <v>85</v>
      </c>
      <c r="O986" t="s">
        <v>67</v>
      </c>
      <c r="P986" s="5">
        <v>1</v>
      </c>
      <c r="Q986" t="s">
        <v>1988</v>
      </c>
      <c r="R986" t="s">
        <v>1989</v>
      </c>
      <c r="S986" s="5">
        <v>43.84</v>
      </c>
      <c r="T986" s="3">
        <v>45355</v>
      </c>
      <c r="U986" s="3">
        <v>45362</v>
      </c>
      <c r="V986" t="s">
        <v>74</v>
      </c>
      <c r="W986">
        <f t="shared" si="77"/>
        <v>478.08</v>
      </c>
      <c r="X986">
        <f t="shared" si="78"/>
        <v>478.08</v>
      </c>
      <c r="Y986">
        <f t="shared" si="79"/>
        <v>0</v>
      </c>
      <c r="Z986" s="8" t="str">
        <f t="shared" si="76"/>
        <v>No Discount</v>
      </c>
      <c r="AA986" s="12">
        <f>DATE(YEAR(Table1[[#This Row],[OrderDate]]),MONTH(Table1[[#This Row],[OrderDate]]),1)</f>
        <v>45352</v>
      </c>
    </row>
    <row r="987" spans="1:27" x14ac:dyDescent="0.3">
      <c r="A987" s="3">
        <v>45118</v>
      </c>
      <c r="B987" t="s">
        <v>13</v>
      </c>
      <c r="C987" t="s">
        <v>31</v>
      </c>
      <c r="D987" t="str">
        <f>TRIM(Table1[[#This Row],[Product]])</f>
        <v>Laptop</v>
      </c>
      <c r="E987" t="str">
        <f>PROPER(Table1[[#This Row],[Column1]])</f>
        <v>Laptop</v>
      </c>
      <c r="F987" s="8" t="str">
        <f t="shared" si="75"/>
        <v>Technology</v>
      </c>
      <c r="G987" s="5">
        <v>14</v>
      </c>
      <c r="H987">
        <v>362.44</v>
      </c>
      <c r="I987" t="s">
        <v>78</v>
      </c>
      <c r="J987" t="s">
        <v>58</v>
      </c>
      <c r="K987" s="7">
        <v>0.1</v>
      </c>
      <c r="L987" t="s">
        <v>19</v>
      </c>
      <c r="M987" s="5">
        <v>4566.7439999999997</v>
      </c>
      <c r="N987" t="s">
        <v>88</v>
      </c>
      <c r="O987" t="s">
        <v>71</v>
      </c>
      <c r="P987" s="5">
        <v>0</v>
      </c>
      <c r="Q987" t="s">
        <v>1990</v>
      </c>
      <c r="R987" t="s">
        <v>1991</v>
      </c>
      <c r="S987" s="5">
        <v>36.729999999999997</v>
      </c>
      <c r="T987" s="3">
        <v>45118</v>
      </c>
      <c r="U987" s="3">
        <v>45122</v>
      </c>
      <c r="V987" t="s">
        <v>70</v>
      </c>
      <c r="W987">
        <f t="shared" si="77"/>
        <v>4110.0695999999998</v>
      </c>
      <c r="X987">
        <f t="shared" si="78"/>
        <v>5074.16</v>
      </c>
      <c r="Y987">
        <f t="shared" si="79"/>
        <v>964.09040000000005</v>
      </c>
      <c r="Z987" s="8" t="str">
        <f t="shared" si="76"/>
        <v>Medium</v>
      </c>
      <c r="AA987" s="12">
        <f>DATE(YEAR(Table1[[#This Row],[OrderDate]]),MONTH(Table1[[#This Row],[OrderDate]]),1)</f>
        <v>45108</v>
      </c>
    </row>
    <row r="988" spans="1:27" x14ac:dyDescent="0.3">
      <c r="A988" s="3">
        <v>45555</v>
      </c>
      <c r="B988" t="s">
        <v>16</v>
      </c>
      <c r="C988" t="s">
        <v>32</v>
      </c>
      <c r="D988" t="str">
        <f>TRIM(Table1[[#This Row],[Product]])</f>
        <v>Monitor</v>
      </c>
      <c r="E988" t="str">
        <f>PROPER(Table1[[#This Row],[Column1]])</f>
        <v>Monitor</v>
      </c>
      <c r="F988" s="8" t="str">
        <f t="shared" si="75"/>
        <v>Technology</v>
      </c>
      <c r="G988" s="5">
        <v>6</v>
      </c>
      <c r="H988">
        <v>551.13</v>
      </c>
      <c r="I988" t="s">
        <v>81</v>
      </c>
      <c r="J988" t="s">
        <v>65</v>
      </c>
      <c r="K988" s="7">
        <v>0</v>
      </c>
      <c r="L988" t="s">
        <v>21</v>
      </c>
      <c r="M988" s="5">
        <v>3306.78</v>
      </c>
      <c r="N988" t="s">
        <v>66</v>
      </c>
      <c r="O988" t="s">
        <v>60</v>
      </c>
      <c r="P988" s="5">
        <v>0</v>
      </c>
      <c r="Q988" t="s">
        <v>1992</v>
      </c>
      <c r="R988" t="s">
        <v>1993</v>
      </c>
      <c r="S988" s="5">
        <v>14.67</v>
      </c>
      <c r="T988" s="3">
        <v>45555</v>
      </c>
      <c r="U988" s="3">
        <v>45564</v>
      </c>
      <c r="V988" t="s">
        <v>95</v>
      </c>
      <c r="W988">
        <f t="shared" si="77"/>
        <v>3306.78</v>
      </c>
      <c r="X988">
        <f t="shared" si="78"/>
        <v>3306.7799999999997</v>
      </c>
      <c r="Y988">
        <f t="shared" si="79"/>
        <v>0</v>
      </c>
      <c r="Z988" s="8" t="str">
        <f t="shared" si="76"/>
        <v>No Discount</v>
      </c>
      <c r="AA988" s="12">
        <f>DATE(YEAR(Table1[[#This Row],[OrderDate]]),MONTH(Table1[[#This Row],[OrderDate]]),1)</f>
        <v>45536</v>
      </c>
    </row>
    <row r="989" spans="1:27" x14ac:dyDescent="0.3">
      <c r="A989" s="3">
        <v>45706</v>
      </c>
      <c r="B989" t="s">
        <v>16</v>
      </c>
      <c r="C989" t="s">
        <v>31</v>
      </c>
      <c r="D989" t="str">
        <f>TRIM(Table1[[#This Row],[Product]])</f>
        <v>Laptop</v>
      </c>
      <c r="E989" t="str">
        <f>PROPER(Table1[[#This Row],[Column1]])</f>
        <v>Laptop</v>
      </c>
      <c r="F989" s="8" t="str">
        <f t="shared" si="75"/>
        <v>Technology</v>
      </c>
      <c r="G989" s="5">
        <v>1</v>
      </c>
      <c r="H989">
        <v>82.06</v>
      </c>
      <c r="I989" t="s">
        <v>81</v>
      </c>
      <c r="J989" t="s">
        <v>65</v>
      </c>
      <c r="K989" s="7">
        <v>0.1</v>
      </c>
      <c r="L989" t="s">
        <v>25</v>
      </c>
      <c r="M989" s="5">
        <v>73.853999999999999</v>
      </c>
      <c r="N989" t="s">
        <v>82</v>
      </c>
      <c r="O989" t="s">
        <v>60</v>
      </c>
      <c r="P989" s="5">
        <v>0</v>
      </c>
      <c r="Q989" t="s">
        <v>1994</v>
      </c>
      <c r="R989" t="s">
        <v>1995</v>
      </c>
      <c r="S989" s="5">
        <v>11.11</v>
      </c>
      <c r="T989" s="3">
        <v>45706</v>
      </c>
      <c r="U989" s="3">
        <v>45712</v>
      </c>
      <c r="V989" t="s">
        <v>95</v>
      </c>
      <c r="W989">
        <f t="shared" si="77"/>
        <v>66.468599999999995</v>
      </c>
      <c r="X989">
        <f t="shared" si="78"/>
        <v>82.06</v>
      </c>
      <c r="Y989">
        <f t="shared" si="79"/>
        <v>15.591400000000007</v>
      </c>
      <c r="Z989" s="8" t="str">
        <f t="shared" si="76"/>
        <v>Medium</v>
      </c>
      <c r="AA989" s="12">
        <f>DATE(YEAR(Table1[[#This Row],[OrderDate]]),MONTH(Table1[[#This Row],[OrderDate]]),1)</f>
        <v>45689</v>
      </c>
    </row>
    <row r="990" spans="1:27" x14ac:dyDescent="0.3">
      <c r="A990" s="3">
        <v>45489</v>
      </c>
      <c r="B990" t="s">
        <v>9</v>
      </c>
      <c r="C990" t="s">
        <v>35</v>
      </c>
      <c r="D990" t="str">
        <f>TRIM(Table1[[#This Row],[Product]])</f>
        <v>Tablet</v>
      </c>
      <c r="E990" t="str">
        <f>PROPER(Table1[[#This Row],[Column1]])</f>
        <v>Tablet</v>
      </c>
      <c r="F990" s="8" t="str">
        <f t="shared" si="75"/>
        <v>Technology</v>
      </c>
      <c r="G990" s="5">
        <v>7</v>
      </c>
      <c r="H990">
        <v>498.46</v>
      </c>
      <c r="I990" t="s">
        <v>78</v>
      </c>
      <c r="J990" t="s">
        <v>58</v>
      </c>
      <c r="K990" s="7">
        <v>0.15</v>
      </c>
      <c r="L990" t="s">
        <v>21</v>
      </c>
      <c r="M990" s="5">
        <v>2965.837</v>
      </c>
      <c r="N990" t="s">
        <v>66</v>
      </c>
      <c r="P990" s="5">
        <v>0</v>
      </c>
      <c r="Q990" t="s">
        <v>1996</v>
      </c>
      <c r="R990" t="s">
        <v>1997</v>
      </c>
      <c r="S990" s="5">
        <v>42.72</v>
      </c>
      <c r="T990" s="3">
        <v>45489</v>
      </c>
      <c r="U990" s="3">
        <v>45493</v>
      </c>
      <c r="V990" t="s">
        <v>63</v>
      </c>
      <c r="W990">
        <f t="shared" si="77"/>
        <v>2520.9614499999998</v>
      </c>
      <c r="X990">
        <f t="shared" si="78"/>
        <v>3489.22</v>
      </c>
      <c r="Y990">
        <f t="shared" si="79"/>
        <v>968.25855000000001</v>
      </c>
      <c r="Z990" s="8" t="str">
        <f t="shared" si="76"/>
        <v>High</v>
      </c>
      <c r="AA990" s="12">
        <f>DATE(YEAR(Table1[[#This Row],[OrderDate]]),MONTH(Table1[[#This Row],[OrderDate]]),1)</f>
        <v>45474</v>
      </c>
    </row>
    <row r="991" spans="1:27" x14ac:dyDescent="0.3">
      <c r="A991" s="3">
        <v>45253</v>
      </c>
      <c r="B991" t="s">
        <v>9</v>
      </c>
      <c r="C991" t="s">
        <v>29</v>
      </c>
      <c r="D991" t="str">
        <f>TRIM(Table1[[#This Row],[Product]])</f>
        <v>Chair</v>
      </c>
      <c r="E991" t="str">
        <f>PROPER(Table1[[#This Row],[Column1]])</f>
        <v>Chair</v>
      </c>
      <c r="F991" s="8" t="str">
        <f t="shared" si="75"/>
        <v>Furniture</v>
      </c>
      <c r="G991" s="5">
        <v>2</v>
      </c>
      <c r="H991">
        <v>253.41</v>
      </c>
      <c r="I991" t="s">
        <v>81</v>
      </c>
      <c r="J991" t="s">
        <v>65</v>
      </c>
      <c r="K991" s="7">
        <v>0.1</v>
      </c>
      <c r="L991" t="s">
        <v>27</v>
      </c>
      <c r="M991" s="5">
        <v>456.13799999999998</v>
      </c>
      <c r="N991" t="s">
        <v>88</v>
      </c>
      <c r="O991" t="s">
        <v>60</v>
      </c>
      <c r="P991" s="5">
        <v>0</v>
      </c>
      <c r="Q991" t="s">
        <v>1998</v>
      </c>
      <c r="R991" t="s">
        <v>1999</v>
      </c>
      <c r="S991" s="5">
        <v>49.64</v>
      </c>
      <c r="T991" s="3">
        <v>45253</v>
      </c>
      <c r="U991" s="3">
        <v>45255</v>
      </c>
      <c r="V991" t="s">
        <v>63</v>
      </c>
      <c r="W991">
        <f t="shared" si="77"/>
        <v>410.52420000000001</v>
      </c>
      <c r="X991">
        <f t="shared" si="78"/>
        <v>506.82</v>
      </c>
      <c r="Y991">
        <f t="shared" si="79"/>
        <v>96.295799999999986</v>
      </c>
      <c r="Z991" s="8" t="str">
        <f t="shared" si="76"/>
        <v>Medium</v>
      </c>
      <c r="AA991" s="12">
        <f>DATE(YEAR(Table1[[#This Row],[OrderDate]]),MONTH(Table1[[#This Row],[OrderDate]]),1)</f>
        <v>45231</v>
      </c>
    </row>
    <row r="992" spans="1:27" x14ac:dyDescent="0.3">
      <c r="A992" s="3">
        <v>45176</v>
      </c>
      <c r="B992" t="s">
        <v>13</v>
      </c>
      <c r="C992" t="s">
        <v>33</v>
      </c>
      <c r="D992" t="str">
        <f>TRIM(Table1[[#This Row],[Product]])</f>
        <v>Phone</v>
      </c>
      <c r="E992" t="str">
        <f>PROPER(Table1[[#This Row],[Column1]])</f>
        <v>Phone</v>
      </c>
      <c r="F992" s="8" t="str">
        <f t="shared" si="75"/>
        <v>Technology</v>
      </c>
      <c r="G992" s="5">
        <v>16</v>
      </c>
      <c r="H992">
        <v>144.07</v>
      </c>
      <c r="I992" t="s">
        <v>81</v>
      </c>
      <c r="J992" t="s">
        <v>58</v>
      </c>
      <c r="K992" s="7">
        <v>0.1</v>
      </c>
      <c r="L992" t="s">
        <v>25</v>
      </c>
      <c r="M992" s="5">
        <v>2074.6080000000002</v>
      </c>
      <c r="N992" t="s">
        <v>85</v>
      </c>
      <c r="O992" t="s">
        <v>60</v>
      </c>
      <c r="P992" s="5">
        <v>0</v>
      </c>
      <c r="Q992" t="s">
        <v>2000</v>
      </c>
      <c r="R992" t="s">
        <v>2001</v>
      </c>
      <c r="S992" s="5">
        <v>7.33</v>
      </c>
      <c r="T992" s="3">
        <v>45176</v>
      </c>
      <c r="U992" s="3">
        <v>45178</v>
      </c>
      <c r="V992" t="s">
        <v>70</v>
      </c>
      <c r="W992">
        <f t="shared" si="77"/>
        <v>1867.1472000000001</v>
      </c>
      <c r="X992">
        <f t="shared" si="78"/>
        <v>2305.12</v>
      </c>
      <c r="Y992">
        <f t="shared" si="79"/>
        <v>437.97279999999978</v>
      </c>
      <c r="Z992" s="8" t="str">
        <f t="shared" si="76"/>
        <v>Medium</v>
      </c>
      <c r="AA992" s="12">
        <f>DATE(YEAR(Table1[[#This Row],[OrderDate]]),MONTH(Table1[[#This Row],[OrderDate]]),1)</f>
        <v>45170</v>
      </c>
    </row>
    <row r="993" spans="1:27" x14ac:dyDescent="0.3">
      <c r="A993" s="3">
        <v>45323</v>
      </c>
      <c r="B993" t="s">
        <v>16</v>
      </c>
      <c r="C993" t="s">
        <v>32</v>
      </c>
      <c r="D993" t="str">
        <f>TRIM(Table1[[#This Row],[Product]])</f>
        <v>Monitor</v>
      </c>
      <c r="E993" t="str">
        <f>PROPER(Table1[[#This Row],[Column1]])</f>
        <v>Monitor</v>
      </c>
      <c r="F993" s="8" t="str">
        <f t="shared" si="75"/>
        <v>Technology</v>
      </c>
      <c r="G993" s="5">
        <v>11</v>
      </c>
      <c r="H993">
        <v>201.09</v>
      </c>
      <c r="I993" t="s">
        <v>78</v>
      </c>
      <c r="J993" t="s">
        <v>65</v>
      </c>
      <c r="K993" s="7">
        <v>0.15</v>
      </c>
      <c r="L993" t="s">
        <v>21</v>
      </c>
      <c r="M993" s="5">
        <v>1880.1914999999999</v>
      </c>
      <c r="N993" t="s">
        <v>88</v>
      </c>
      <c r="P993" s="5">
        <v>1</v>
      </c>
      <c r="Q993" t="s">
        <v>2002</v>
      </c>
      <c r="R993" t="s">
        <v>2003</v>
      </c>
      <c r="S993" s="5">
        <v>48.42</v>
      </c>
      <c r="T993" s="3">
        <v>45323</v>
      </c>
      <c r="U993" s="3">
        <v>45326</v>
      </c>
      <c r="V993" t="s">
        <v>95</v>
      </c>
      <c r="W993">
        <f t="shared" si="77"/>
        <v>1598.1627749999998</v>
      </c>
      <c r="X993">
        <f t="shared" si="78"/>
        <v>2211.9900000000002</v>
      </c>
      <c r="Y993">
        <f t="shared" si="79"/>
        <v>613.82722500000045</v>
      </c>
      <c r="Z993" s="8" t="str">
        <f t="shared" si="76"/>
        <v>High</v>
      </c>
      <c r="AA993" s="12">
        <f>DATE(YEAR(Table1[[#This Row],[OrderDate]]),MONTH(Table1[[#This Row],[OrderDate]]),1)</f>
        <v>45323</v>
      </c>
    </row>
    <row r="994" spans="1:27" x14ac:dyDescent="0.3">
      <c r="A994" s="3">
        <v>45785</v>
      </c>
      <c r="B994" t="s">
        <v>13</v>
      </c>
      <c r="C994" t="s">
        <v>29</v>
      </c>
      <c r="D994" t="str">
        <f>TRIM(Table1[[#This Row],[Product]])</f>
        <v>Chair</v>
      </c>
      <c r="E994" t="str">
        <f>PROPER(Table1[[#This Row],[Column1]])</f>
        <v>Chair</v>
      </c>
      <c r="F994" s="8" t="str">
        <f t="shared" si="75"/>
        <v>Furniture</v>
      </c>
      <c r="G994" s="5">
        <v>11</v>
      </c>
      <c r="H994">
        <v>585.45000000000005</v>
      </c>
      <c r="I994" t="s">
        <v>81</v>
      </c>
      <c r="J994" t="s">
        <v>58</v>
      </c>
      <c r="K994" s="7">
        <v>0.1</v>
      </c>
      <c r="L994" t="s">
        <v>18</v>
      </c>
      <c r="M994" s="5">
        <v>5795.9550000000008</v>
      </c>
      <c r="N994" t="s">
        <v>82</v>
      </c>
      <c r="O994" t="s">
        <v>71</v>
      </c>
      <c r="P994" s="5">
        <v>0</v>
      </c>
      <c r="Q994" t="s">
        <v>2004</v>
      </c>
      <c r="R994" t="s">
        <v>2005</v>
      </c>
      <c r="S994" s="5">
        <v>36.590000000000003</v>
      </c>
      <c r="T994" s="3">
        <v>45785</v>
      </c>
      <c r="U994" s="3">
        <v>45789</v>
      </c>
      <c r="V994" t="s">
        <v>70</v>
      </c>
      <c r="W994">
        <f t="shared" si="77"/>
        <v>5216.3595000000005</v>
      </c>
      <c r="X994">
        <f t="shared" si="78"/>
        <v>6439.9500000000007</v>
      </c>
      <c r="Y994">
        <f t="shared" si="79"/>
        <v>1223.5905000000002</v>
      </c>
      <c r="Z994" s="8" t="str">
        <f t="shared" si="76"/>
        <v>Medium</v>
      </c>
      <c r="AA994" s="12">
        <f>DATE(YEAR(Table1[[#This Row],[OrderDate]]),MONTH(Table1[[#This Row],[OrderDate]]),1)</f>
        <v>45778</v>
      </c>
    </row>
    <row r="995" spans="1:27" x14ac:dyDescent="0.3">
      <c r="A995" s="3">
        <v>45674</v>
      </c>
      <c r="B995" t="s">
        <v>11</v>
      </c>
      <c r="C995" t="s">
        <v>31</v>
      </c>
      <c r="D995" t="str">
        <f>TRIM(Table1[[#This Row],[Product]])</f>
        <v>Laptop</v>
      </c>
      <c r="E995" t="str">
        <f>PROPER(Table1[[#This Row],[Column1]])</f>
        <v>Laptop</v>
      </c>
      <c r="F995" s="8" t="str">
        <f t="shared" si="75"/>
        <v>Technology</v>
      </c>
      <c r="G995" s="5">
        <v>3</v>
      </c>
      <c r="H995">
        <v>448.77</v>
      </c>
      <c r="I995" t="s">
        <v>64</v>
      </c>
      <c r="J995" t="s">
        <v>65</v>
      </c>
      <c r="K995" s="7">
        <v>0</v>
      </c>
      <c r="L995" t="s">
        <v>18</v>
      </c>
      <c r="M995" s="5">
        <v>1346.31</v>
      </c>
      <c r="N995" t="s">
        <v>59</v>
      </c>
      <c r="O995" t="s">
        <v>60</v>
      </c>
      <c r="P995" s="5">
        <v>0</v>
      </c>
      <c r="Q995" t="s">
        <v>2006</v>
      </c>
      <c r="R995" t="s">
        <v>1265</v>
      </c>
      <c r="S995" s="5">
        <v>28.5</v>
      </c>
      <c r="T995" s="3">
        <v>45674</v>
      </c>
      <c r="U995" s="3">
        <v>45681</v>
      </c>
      <c r="V995" t="s">
        <v>74</v>
      </c>
      <c r="W995">
        <f t="shared" si="77"/>
        <v>1346.31</v>
      </c>
      <c r="X995">
        <f t="shared" si="78"/>
        <v>1346.31</v>
      </c>
      <c r="Y995">
        <f t="shared" si="79"/>
        <v>0</v>
      </c>
      <c r="Z995" s="8" t="str">
        <f t="shared" si="76"/>
        <v>No Discount</v>
      </c>
      <c r="AA995" s="12">
        <f>DATE(YEAR(Table1[[#This Row],[OrderDate]]),MONTH(Table1[[#This Row],[OrderDate]]),1)</f>
        <v>45658</v>
      </c>
    </row>
    <row r="996" spans="1:27" x14ac:dyDescent="0.3">
      <c r="A996" s="3">
        <v>45171</v>
      </c>
      <c r="B996" t="s">
        <v>9</v>
      </c>
      <c r="C996" t="s">
        <v>32</v>
      </c>
      <c r="D996" t="str">
        <f>TRIM(Table1[[#This Row],[Product]])</f>
        <v>Monitor</v>
      </c>
      <c r="E996" t="str">
        <f>PROPER(Table1[[#This Row],[Column1]])</f>
        <v>Monitor</v>
      </c>
      <c r="F996" s="8" t="str">
        <f t="shared" si="75"/>
        <v>Technology</v>
      </c>
      <c r="G996" s="5">
        <v>9</v>
      </c>
      <c r="H996">
        <v>184.43</v>
      </c>
      <c r="I996" t="s">
        <v>81</v>
      </c>
      <c r="J996" t="s">
        <v>58</v>
      </c>
      <c r="K996" s="7">
        <v>0</v>
      </c>
      <c r="L996" t="s">
        <v>21</v>
      </c>
      <c r="M996" s="5">
        <v>1659.87</v>
      </c>
      <c r="N996" t="s">
        <v>59</v>
      </c>
      <c r="O996" t="s">
        <v>71</v>
      </c>
      <c r="P996" s="5">
        <v>0</v>
      </c>
      <c r="Q996" t="s">
        <v>2007</v>
      </c>
      <c r="R996" t="s">
        <v>2008</v>
      </c>
      <c r="S996" s="5">
        <v>30.78</v>
      </c>
      <c r="T996" s="3">
        <v>45171</v>
      </c>
      <c r="U996" s="3">
        <v>45177</v>
      </c>
      <c r="V996" t="s">
        <v>63</v>
      </c>
      <c r="W996">
        <f t="shared" si="77"/>
        <v>1659.87</v>
      </c>
      <c r="X996">
        <f t="shared" si="78"/>
        <v>1659.8700000000001</v>
      </c>
      <c r="Y996">
        <f t="shared" si="79"/>
        <v>0</v>
      </c>
      <c r="Z996" s="8" t="str">
        <f t="shared" si="76"/>
        <v>No Discount</v>
      </c>
      <c r="AA996" s="12">
        <f>DATE(YEAR(Table1[[#This Row],[OrderDate]]),MONTH(Table1[[#This Row],[OrderDate]]),1)</f>
        <v>45170</v>
      </c>
    </row>
    <row r="997" spans="1:27" x14ac:dyDescent="0.3">
      <c r="A997" s="3">
        <v>45100</v>
      </c>
      <c r="B997" t="s">
        <v>7</v>
      </c>
      <c r="C997" t="s">
        <v>31</v>
      </c>
      <c r="D997" t="str">
        <f>TRIM(Table1[[#This Row],[Product]])</f>
        <v>Laptop</v>
      </c>
      <c r="E997" t="str">
        <f>PROPER(Table1[[#This Row],[Column1]])</f>
        <v>Laptop</v>
      </c>
      <c r="F997" s="8" t="str">
        <f t="shared" si="75"/>
        <v>Technology</v>
      </c>
      <c r="G997" s="5">
        <v>16</v>
      </c>
      <c r="H997">
        <v>594.1</v>
      </c>
      <c r="I997" t="s">
        <v>81</v>
      </c>
      <c r="J997" t="s">
        <v>65</v>
      </c>
      <c r="K997" s="7">
        <v>0</v>
      </c>
      <c r="L997" t="s">
        <v>19</v>
      </c>
      <c r="M997" s="5">
        <v>9505.6</v>
      </c>
      <c r="N997" t="s">
        <v>66</v>
      </c>
      <c r="O997" t="s">
        <v>60</v>
      </c>
      <c r="P997" s="5">
        <v>0</v>
      </c>
      <c r="Q997" t="s">
        <v>2009</v>
      </c>
      <c r="R997" t="s">
        <v>2010</v>
      </c>
      <c r="S997" s="5">
        <v>18.2</v>
      </c>
      <c r="T997" s="3">
        <v>45100</v>
      </c>
      <c r="U997" s="3">
        <v>45108</v>
      </c>
      <c r="V997" t="s">
        <v>77</v>
      </c>
      <c r="W997">
        <f t="shared" si="77"/>
        <v>9505.6</v>
      </c>
      <c r="X997">
        <f t="shared" si="78"/>
        <v>9505.6</v>
      </c>
      <c r="Y997">
        <f t="shared" si="79"/>
        <v>0</v>
      </c>
      <c r="Z997" s="8" t="str">
        <f t="shared" si="76"/>
        <v>No Discount</v>
      </c>
      <c r="AA997" s="12">
        <f>DATE(YEAR(Table1[[#This Row],[OrderDate]]),MONTH(Table1[[#This Row],[OrderDate]]),1)</f>
        <v>45078</v>
      </c>
    </row>
    <row r="998" spans="1:27" x14ac:dyDescent="0.3">
      <c r="A998" s="3">
        <v>45311</v>
      </c>
      <c r="B998" t="s">
        <v>9</v>
      </c>
      <c r="C998" t="s">
        <v>31</v>
      </c>
      <c r="D998" t="str">
        <f>TRIM(Table1[[#This Row],[Product]])</f>
        <v>Laptop</v>
      </c>
      <c r="E998" t="str">
        <f>PROPER(Table1[[#This Row],[Column1]])</f>
        <v>Laptop</v>
      </c>
      <c r="F998" s="8" t="str">
        <f t="shared" si="75"/>
        <v>Technology</v>
      </c>
      <c r="G998" s="5">
        <v>19</v>
      </c>
      <c r="H998">
        <v>482.07</v>
      </c>
      <c r="I998" t="s">
        <v>57</v>
      </c>
      <c r="J998" t="s">
        <v>58</v>
      </c>
      <c r="K998" s="7">
        <v>0.1</v>
      </c>
      <c r="L998" t="s">
        <v>19</v>
      </c>
      <c r="M998" s="5">
        <v>8243.3970000000008</v>
      </c>
      <c r="N998" t="s">
        <v>82</v>
      </c>
      <c r="P998" s="5">
        <v>0</v>
      </c>
      <c r="Q998" t="s">
        <v>2011</v>
      </c>
      <c r="R998" t="s">
        <v>2012</v>
      </c>
      <c r="S998" s="5">
        <v>25.96</v>
      </c>
      <c r="T998" s="3">
        <v>45311</v>
      </c>
      <c r="U998" s="3">
        <v>45317</v>
      </c>
      <c r="V998" t="s">
        <v>63</v>
      </c>
      <c r="W998">
        <f t="shared" si="77"/>
        <v>7419.0573000000013</v>
      </c>
      <c r="X998">
        <f t="shared" si="78"/>
        <v>9159.33</v>
      </c>
      <c r="Y998">
        <f t="shared" si="79"/>
        <v>1740.2726999999986</v>
      </c>
      <c r="Z998" s="8" t="str">
        <f t="shared" si="76"/>
        <v>Medium</v>
      </c>
      <c r="AA998" s="12">
        <f>DATE(YEAR(Table1[[#This Row],[OrderDate]]),MONTH(Table1[[#This Row],[OrderDate]]),1)</f>
        <v>45292</v>
      </c>
    </row>
    <row r="999" spans="1:27" x14ac:dyDescent="0.3">
      <c r="A999" s="3">
        <v>45469</v>
      </c>
      <c r="B999" t="s">
        <v>9</v>
      </c>
      <c r="C999" t="s">
        <v>29</v>
      </c>
      <c r="D999" t="str">
        <f>TRIM(Table1[[#This Row],[Product]])</f>
        <v>Chair</v>
      </c>
      <c r="E999" t="str">
        <f>PROPER(Table1[[#This Row],[Column1]])</f>
        <v>Chair</v>
      </c>
      <c r="F999" s="8" t="str">
        <f t="shared" si="75"/>
        <v>Furniture</v>
      </c>
      <c r="G999" s="5">
        <v>20</v>
      </c>
      <c r="H999">
        <v>75.45</v>
      </c>
      <c r="I999" t="s">
        <v>57</v>
      </c>
      <c r="J999" t="s">
        <v>58</v>
      </c>
      <c r="K999" s="7">
        <v>0.05</v>
      </c>
      <c r="L999" t="s">
        <v>25</v>
      </c>
      <c r="M999" s="5">
        <v>1433.55</v>
      </c>
      <c r="N999" t="s">
        <v>82</v>
      </c>
      <c r="O999" t="s">
        <v>67</v>
      </c>
      <c r="P999" s="5">
        <v>0</v>
      </c>
      <c r="Q999" t="s">
        <v>2013</v>
      </c>
      <c r="R999" t="s">
        <v>295</v>
      </c>
      <c r="S999" s="5">
        <v>44.77</v>
      </c>
      <c r="T999" s="3">
        <v>45469</v>
      </c>
      <c r="U999" s="3">
        <v>45479</v>
      </c>
      <c r="V999" t="s">
        <v>63</v>
      </c>
      <c r="W999">
        <f t="shared" si="77"/>
        <v>1361.8724999999999</v>
      </c>
      <c r="X999">
        <f t="shared" si="78"/>
        <v>1509</v>
      </c>
      <c r="Y999">
        <f t="shared" si="79"/>
        <v>147.12750000000005</v>
      </c>
      <c r="Z999" s="8" t="str">
        <f t="shared" si="76"/>
        <v>Medium</v>
      </c>
      <c r="AA999" s="12">
        <f>DATE(YEAR(Table1[[#This Row],[OrderDate]]),MONTH(Table1[[#This Row],[OrderDate]]),1)</f>
        <v>45444</v>
      </c>
    </row>
    <row r="1000" spans="1:27" x14ac:dyDescent="0.3">
      <c r="A1000" s="3">
        <v>45638</v>
      </c>
      <c r="B1000" t="s">
        <v>7</v>
      </c>
      <c r="C1000" t="s">
        <v>32</v>
      </c>
      <c r="D1000" t="str">
        <f>TRIM(Table1[[#This Row],[Product]])</f>
        <v>Monitor</v>
      </c>
      <c r="E1000" t="str">
        <f>PROPER(Table1[[#This Row],[Column1]])</f>
        <v>Monitor</v>
      </c>
      <c r="F1000" s="8" t="str">
        <f t="shared" si="75"/>
        <v>Technology</v>
      </c>
      <c r="G1000" s="5">
        <v>2</v>
      </c>
      <c r="H1000">
        <v>494.22</v>
      </c>
      <c r="I1000" t="s">
        <v>78</v>
      </c>
      <c r="J1000" t="s">
        <v>65</v>
      </c>
      <c r="K1000" s="7">
        <v>0.1</v>
      </c>
      <c r="L1000" t="s">
        <v>21</v>
      </c>
      <c r="M1000" s="5">
        <v>889.59600000000012</v>
      </c>
      <c r="N1000" t="s">
        <v>66</v>
      </c>
      <c r="O1000" t="s">
        <v>60</v>
      </c>
      <c r="P1000" s="5">
        <v>0</v>
      </c>
      <c r="Q1000" t="s">
        <v>2014</v>
      </c>
      <c r="R1000" t="s">
        <v>2015</v>
      </c>
      <c r="S1000" s="5">
        <v>13.45</v>
      </c>
      <c r="T1000" s="3">
        <v>45638</v>
      </c>
      <c r="U1000" s="3">
        <v>45643</v>
      </c>
      <c r="V1000" t="s">
        <v>77</v>
      </c>
      <c r="W1000">
        <f t="shared" si="77"/>
        <v>800.63640000000009</v>
      </c>
      <c r="X1000">
        <f t="shared" si="78"/>
        <v>988.44</v>
      </c>
      <c r="Y1000">
        <f t="shared" si="79"/>
        <v>187.80359999999996</v>
      </c>
      <c r="Z1000" s="8" t="str">
        <f t="shared" si="76"/>
        <v>Medium</v>
      </c>
      <c r="AA1000" s="12">
        <f>DATE(YEAR(Table1[[#This Row],[OrderDate]]),MONTH(Table1[[#This Row],[OrderDate]]),1)</f>
        <v>45627</v>
      </c>
    </row>
    <row r="1001" spans="1:27" x14ac:dyDescent="0.3">
      <c r="A1001" s="3">
        <v>45343</v>
      </c>
      <c r="B1001" t="s">
        <v>9</v>
      </c>
      <c r="C1001" t="s">
        <v>31</v>
      </c>
      <c r="D1001" t="str">
        <f>TRIM(Table1[[#This Row],[Product]])</f>
        <v>Laptop</v>
      </c>
      <c r="E1001" t="str">
        <f>PROPER(Table1[[#This Row],[Column1]])</f>
        <v>Laptop</v>
      </c>
      <c r="F1001" s="8" t="str">
        <f t="shared" si="75"/>
        <v>Technology</v>
      </c>
      <c r="G1001" s="5">
        <v>15</v>
      </c>
      <c r="H1001">
        <v>112.82</v>
      </c>
      <c r="I1001" t="s">
        <v>57</v>
      </c>
      <c r="J1001" t="s">
        <v>58</v>
      </c>
      <c r="K1001" s="7">
        <v>0.05</v>
      </c>
      <c r="L1001" t="s">
        <v>27</v>
      </c>
      <c r="M1001" s="5">
        <v>1607.6849999999999</v>
      </c>
      <c r="N1001" t="s">
        <v>82</v>
      </c>
      <c r="O1001" t="s">
        <v>71</v>
      </c>
      <c r="P1001" s="5">
        <v>0</v>
      </c>
      <c r="Q1001" t="s">
        <v>2016</v>
      </c>
      <c r="R1001" t="s">
        <v>2017</v>
      </c>
      <c r="S1001" s="5">
        <v>18.21</v>
      </c>
      <c r="T1001" s="3">
        <v>45343</v>
      </c>
      <c r="U1001" s="3">
        <v>45352</v>
      </c>
      <c r="V1001" t="s">
        <v>63</v>
      </c>
      <c r="W1001">
        <f t="shared" si="77"/>
        <v>1527.3007499999999</v>
      </c>
      <c r="X1001">
        <f t="shared" si="78"/>
        <v>1692.3</v>
      </c>
      <c r="Y1001">
        <f t="shared" si="79"/>
        <v>164.99925000000007</v>
      </c>
      <c r="Z1001" s="8" t="str">
        <f t="shared" si="76"/>
        <v>Medium</v>
      </c>
      <c r="AA1001" s="12">
        <f>DATE(YEAR(Table1[[#This Row],[OrderDate]]),MONTH(Table1[[#This Row],[OrderDate]]),1)</f>
        <v>45323</v>
      </c>
    </row>
    <row r="1002" spans="1:27" x14ac:dyDescent="0.3">
      <c r="A1002" s="3">
        <v>45125</v>
      </c>
      <c r="B1002" t="s">
        <v>9</v>
      </c>
      <c r="C1002" t="s">
        <v>30</v>
      </c>
      <c r="D1002" t="str">
        <f>TRIM(Table1[[#This Row],[Product]])</f>
        <v>Desk</v>
      </c>
      <c r="E1002" t="str">
        <f>PROPER(Table1[[#This Row],[Column1]])</f>
        <v>Desk</v>
      </c>
      <c r="F1002" s="8" t="str">
        <f t="shared" si="75"/>
        <v>Furniture</v>
      </c>
      <c r="G1002" s="5">
        <v>3</v>
      </c>
      <c r="H1002">
        <v>121.56</v>
      </c>
      <c r="I1002" t="s">
        <v>81</v>
      </c>
      <c r="J1002" t="s">
        <v>58</v>
      </c>
      <c r="K1002" s="7">
        <v>0</v>
      </c>
      <c r="L1002" t="s">
        <v>25</v>
      </c>
      <c r="M1002" s="5">
        <v>364.68</v>
      </c>
      <c r="N1002" t="s">
        <v>85</v>
      </c>
      <c r="O1002" t="s">
        <v>71</v>
      </c>
      <c r="P1002" s="5">
        <v>0</v>
      </c>
      <c r="Q1002" t="s">
        <v>2018</v>
      </c>
      <c r="R1002" t="s">
        <v>2019</v>
      </c>
      <c r="S1002" s="5">
        <v>29.06</v>
      </c>
      <c r="T1002" s="3">
        <v>45125</v>
      </c>
      <c r="U1002" s="3">
        <v>45132</v>
      </c>
      <c r="V1002" t="s">
        <v>63</v>
      </c>
      <c r="W1002">
        <f t="shared" si="77"/>
        <v>364.68</v>
      </c>
      <c r="X1002">
        <f t="shared" si="78"/>
        <v>364.68</v>
      </c>
      <c r="Y1002">
        <f t="shared" si="79"/>
        <v>0</v>
      </c>
      <c r="Z1002" s="8" t="str">
        <f t="shared" si="76"/>
        <v>No Discount</v>
      </c>
      <c r="AA1002" s="12">
        <f>DATE(YEAR(Table1[[#This Row],[OrderDate]]),MONTH(Table1[[#This Row],[OrderDate]]),1)</f>
        <v>45108</v>
      </c>
    </row>
    <row r="1003" spans="1:27" x14ac:dyDescent="0.3">
      <c r="A1003" s="3">
        <v>45567</v>
      </c>
      <c r="B1003" t="s">
        <v>11</v>
      </c>
      <c r="C1003" t="s">
        <v>30</v>
      </c>
      <c r="D1003" t="str">
        <f>TRIM(Table1[[#This Row],[Product]])</f>
        <v>Desk</v>
      </c>
      <c r="E1003" t="str">
        <f>PROPER(Table1[[#This Row],[Column1]])</f>
        <v>Desk</v>
      </c>
      <c r="F1003" s="8" t="str">
        <f t="shared" si="75"/>
        <v>Furniture</v>
      </c>
      <c r="G1003" s="5">
        <v>12</v>
      </c>
      <c r="H1003">
        <v>465.94</v>
      </c>
      <c r="I1003" t="s">
        <v>81</v>
      </c>
      <c r="J1003" t="s">
        <v>58</v>
      </c>
      <c r="K1003" s="7">
        <v>0</v>
      </c>
      <c r="L1003" t="s">
        <v>18</v>
      </c>
      <c r="M1003" s="5">
        <v>5591.28</v>
      </c>
      <c r="N1003" t="s">
        <v>82</v>
      </c>
      <c r="O1003" t="s">
        <v>71</v>
      </c>
      <c r="P1003" s="5">
        <v>0</v>
      </c>
      <c r="Q1003" t="s">
        <v>2020</v>
      </c>
      <c r="R1003" t="s">
        <v>2021</v>
      </c>
      <c r="S1003" s="5">
        <v>34.159999999999997</v>
      </c>
      <c r="T1003" s="3">
        <v>45567</v>
      </c>
      <c r="U1003" s="3">
        <v>45571</v>
      </c>
      <c r="V1003" t="s">
        <v>74</v>
      </c>
      <c r="W1003">
        <f t="shared" si="77"/>
        <v>5591.28</v>
      </c>
      <c r="X1003">
        <f t="shared" si="78"/>
        <v>5591.28</v>
      </c>
      <c r="Y1003">
        <f t="shared" si="79"/>
        <v>0</v>
      </c>
      <c r="Z1003" s="8" t="str">
        <f t="shared" si="76"/>
        <v>No Discount</v>
      </c>
      <c r="AA1003" s="12">
        <f>DATE(YEAR(Table1[[#This Row],[OrderDate]]),MONTH(Table1[[#This Row],[OrderDate]]),1)</f>
        <v>45566</v>
      </c>
    </row>
    <row r="1004" spans="1:27" x14ac:dyDescent="0.3">
      <c r="A1004" s="3">
        <v>45627</v>
      </c>
      <c r="B1004" t="s">
        <v>16</v>
      </c>
      <c r="C1004" t="s">
        <v>33</v>
      </c>
      <c r="D1004" t="str">
        <f>TRIM(Table1[[#This Row],[Product]])</f>
        <v>Phone</v>
      </c>
      <c r="E1004" t="str">
        <f>PROPER(Table1[[#This Row],[Column1]])</f>
        <v>Phone</v>
      </c>
      <c r="F1004" s="8" t="str">
        <f t="shared" si="75"/>
        <v>Technology</v>
      </c>
      <c r="G1004" s="5">
        <v>12</v>
      </c>
      <c r="H1004">
        <v>187.8</v>
      </c>
      <c r="I1004" t="s">
        <v>81</v>
      </c>
      <c r="J1004" t="s">
        <v>58</v>
      </c>
      <c r="K1004" s="7">
        <v>0.15</v>
      </c>
      <c r="L1004" t="s">
        <v>23</v>
      </c>
      <c r="M1004" s="5">
        <v>1915.56</v>
      </c>
      <c r="N1004" t="s">
        <v>59</v>
      </c>
      <c r="O1004" t="s">
        <v>60</v>
      </c>
      <c r="P1004" s="5">
        <v>0</v>
      </c>
      <c r="Q1004" t="s">
        <v>2022</v>
      </c>
      <c r="R1004" t="s">
        <v>2023</v>
      </c>
      <c r="S1004" s="5">
        <v>17.739999999999998</v>
      </c>
      <c r="T1004" s="3">
        <v>45627</v>
      </c>
      <c r="U1004" s="3">
        <v>45630</v>
      </c>
      <c r="V1004" t="s">
        <v>95</v>
      </c>
      <c r="W1004">
        <f t="shared" si="77"/>
        <v>1628.2259999999999</v>
      </c>
      <c r="X1004">
        <f t="shared" si="78"/>
        <v>2253.6000000000004</v>
      </c>
      <c r="Y1004">
        <f t="shared" si="79"/>
        <v>625.37400000000048</v>
      </c>
      <c r="Z1004" s="8" t="str">
        <f t="shared" si="76"/>
        <v>High</v>
      </c>
      <c r="AA1004" s="12">
        <f>DATE(YEAR(Table1[[#This Row],[OrderDate]]),MONTH(Table1[[#This Row],[OrderDate]]),1)</f>
        <v>45627</v>
      </c>
    </row>
    <row r="1005" spans="1:27" x14ac:dyDescent="0.3">
      <c r="A1005" s="3">
        <v>45538</v>
      </c>
      <c r="B1005" t="s">
        <v>9</v>
      </c>
      <c r="C1005" t="s">
        <v>30</v>
      </c>
      <c r="D1005" t="str">
        <f>TRIM(Table1[[#This Row],[Product]])</f>
        <v>Desk</v>
      </c>
      <c r="E1005" t="str">
        <f>PROPER(Table1[[#This Row],[Column1]])</f>
        <v>Desk</v>
      </c>
      <c r="F1005" s="8" t="str">
        <f t="shared" si="75"/>
        <v>Furniture</v>
      </c>
      <c r="G1005" s="5">
        <v>1</v>
      </c>
      <c r="H1005">
        <v>561.29999999999995</v>
      </c>
      <c r="I1005" t="s">
        <v>81</v>
      </c>
      <c r="J1005" t="s">
        <v>65</v>
      </c>
      <c r="K1005" s="7">
        <v>0.15</v>
      </c>
      <c r="L1005" t="s">
        <v>27</v>
      </c>
      <c r="M1005" s="5">
        <v>477.10500000000002</v>
      </c>
      <c r="N1005" t="s">
        <v>66</v>
      </c>
      <c r="P1005" s="5">
        <v>0</v>
      </c>
      <c r="Q1005" t="s">
        <v>2024</v>
      </c>
      <c r="R1005" t="s">
        <v>2025</v>
      </c>
      <c r="S1005" s="5">
        <v>5.19</v>
      </c>
      <c r="T1005" s="3">
        <v>45538</v>
      </c>
      <c r="U1005" s="3">
        <v>45547</v>
      </c>
      <c r="V1005" t="s">
        <v>63</v>
      </c>
      <c r="W1005">
        <f t="shared" si="77"/>
        <v>405.53924999999998</v>
      </c>
      <c r="X1005">
        <f t="shared" si="78"/>
        <v>561.29999999999995</v>
      </c>
      <c r="Y1005">
        <f t="shared" si="79"/>
        <v>155.76074999999997</v>
      </c>
      <c r="Z1005" s="8" t="str">
        <f t="shared" si="76"/>
        <v>High</v>
      </c>
      <c r="AA1005" s="12">
        <f>DATE(YEAR(Table1[[#This Row],[OrderDate]]),MONTH(Table1[[#This Row],[OrderDate]]),1)</f>
        <v>45536</v>
      </c>
    </row>
    <row r="1006" spans="1:27" x14ac:dyDescent="0.3">
      <c r="A1006" s="3">
        <v>45710</v>
      </c>
      <c r="B1006" t="s">
        <v>16</v>
      </c>
      <c r="C1006" t="s">
        <v>34</v>
      </c>
      <c r="D1006" t="str">
        <f>TRIM(Table1[[#This Row],[Product]])</f>
        <v>Printer</v>
      </c>
      <c r="E1006" t="str">
        <f>PROPER(Table1[[#This Row],[Column1]])</f>
        <v>Printer</v>
      </c>
      <c r="F1006" s="8" t="str">
        <f t="shared" si="75"/>
        <v>Office Supplies</v>
      </c>
      <c r="G1006" s="5">
        <v>7</v>
      </c>
      <c r="H1006">
        <v>178.26</v>
      </c>
      <c r="I1006" t="s">
        <v>78</v>
      </c>
      <c r="J1006" t="s">
        <v>65</v>
      </c>
      <c r="K1006" s="7">
        <v>0.15</v>
      </c>
      <c r="L1006" t="s">
        <v>19</v>
      </c>
      <c r="M1006" s="5">
        <v>1060.6469999999999</v>
      </c>
      <c r="N1006" t="s">
        <v>59</v>
      </c>
      <c r="O1006" t="s">
        <v>60</v>
      </c>
      <c r="P1006" s="5">
        <v>0</v>
      </c>
      <c r="Q1006" t="s">
        <v>2026</v>
      </c>
      <c r="R1006" t="s">
        <v>2027</v>
      </c>
      <c r="S1006" s="5">
        <v>44.91</v>
      </c>
      <c r="T1006" s="3">
        <v>45710</v>
      </c>
      <c r="U1006" s="3">
        <v>45717</v>
      </c>
      <c r="V1006" t="s">
        <v>95</v>
      </c>
      <c r="W1006">
        <f t="shared" si="77"/>
        <v>901.54994999999997</v>
      </c>
      <c r="X1006">
        <f t="shared" si="78"/>
        <v>1247.82</v>
      </c>
      <c r="Y1006">
        <f t="shared" si="79"/>
        <v>346.27004999999997</v>
      </c>
      <c r="Z1006" s="8" t="str">
        <f t="shared" si="76"/>
        <v>High</v>
      </c>
      <c r="AA1006" s="12">
        <f>DATE(YEAR(Table1[[#This Row],[OrderDate]]),MONTH(Table1[[#This Row],[OrderDate]]),1)</f>
        <v>45689</v>
      </c>
    </row>
    <row r="1007" spans="1:27" x14ac:dyDescent="0.3">
      <c r="A1007" s="3">
        <v>45788</v>
      </c>
      <c r="B1007" t="s">
        <v>16</v>
      </c>
      <c r="C1007" t="s">
        <v>32</v>
      </c>
      <c r="D1007" t="str">
        <f>TRIM(Table1[[#This Row],[Product]])</f>
        <v>Monitor</v>
      </c>
      <c r="E1007" t="str">
        <f>PROPER(Table1[[#This Row],[Column1]])</f>
        <v>Monitor</v>
      </c>
      <c r="F1007" s="8" t="str">
        <f t="shared" si="75"/>
        <v>Technology</v>
      </c>
      <c r="G1007" s="5">
        <v>20</v>
      </c>
      <c r="H1007">
        <v>552.83000000000004</v>
      </c>
      <c r="I1007" t="s">
        <v>81</v>
      </c>
      <c r="J1007" t="s">
        <v>65</v>
      </c>
      <c r="K1007" s="7">
        <v>0.15</v>
      </c>
      <c r="L1007" t="s">
        <v>25</v>
      </c>
      <c r="M1007" s="5">
        <v>9398.11</v>
      </c>
      <c r="N1007" t="s">
        <v>59</v>
      </c>
      <c r="O1007" t="s">
        <v>60</v>
      </c>
      <c r="P1007" s="5">
        <v>1</v>
      </c>
      <c r="Q1007" t="s">
        <v>2028</v>
      </c>
      <c r="R1007" t="s">
        <v>2029</v>
      </c>
      <c r="S1007" s="5">
        <v>20.5</v>
      </c>
      <c r="T1007" s="3">
        <v>45788</v>
      </c>
      <c r="U1007" s="3">
        <v>45790</v>
      </c>
      <c r="V1007" t="s">
        <v>95</v>
      </c>
      <c r="W1007">
        <f t="shared" si="77"/>
        <v>7988.3935000000001</v>
      </c>
      <c r="X1007">
        <f t="shared" si="78"/>
        <v>11056.6</v>
      </c>
      <c r="Y1007">
        <f t="shared" si="79"/>
        <v>3068.2065000000002</v>
      </c>
      <c r="Z1007" s="8" t="str">
        <f t="shared" si="76"/>
        <v>High</v>
      </c>
      <c r="AA1007" s="12">
        <f>DATE(YEAR(Table1[[#This Row],[OrderDate]]),MONTH(Table1[[#This Row],[OrderDate]]),1)</f>
        <v>45778</v>
      </c>
    </row>
    <row r="1008" spans="1:27" x14ac:dyDescent="0.3">
      <c r="A1008" s="3">
        <v>45646</v>
      </c>
      <c r="B1008" t="s">
        <v>7</v>
      </c>
      <c r="C1008" t="s">
        <v>35</v>
      </c>
      <c r="D1008" t="str">
        <f>TRIM(Table1[[#This Row],[Product]])</f>
        <v>Tablet</v>
      </c>
      <c r="E1008" t="str">
        <f>PROPER(Table1[[#This Row],[Column1]])</f>
        <v>Tablet</v>
      </c>
      <c r="F1008" s="8" t="str">
        <f t="shared" si="75"/>
        <v>Technology</v>
      </c>
      <c r="G1008" s="5">
        <v>2</v>
      </c>
      <c r="H1008">
        <v>458.25</v>
      </c>
      <c r="I1008" t="s">
        <v>57</v>
      </c>
      <c r="J1008" t="s">
        <v>58</v>
      </c>
      <c r="K1008" s="7">
        <v>0</v>
      </c>
      <c r="L1008" t="s">
        <v>25</v>
      </c>
      <c r="M1008" s="5">
        <v>916.5</v>
      </c>
      <c r="N1008" t="s">
        <v>66</v>
      </c>
      <c r="O1008" t="s">
        <v>67</v>
      </c>
      <c r="P1008" s="5">
        <v>0</v>
      </c>
      <c r="Q1008" t="s">
        <v>2030</v>
      </c>
      <c r="R1008" t="s">
        <v>2031</v>
      </c>
      <c r="S1008" s="5">
        <v>25.94</v>
      </c>
      <c r="T1008" s="3">
        <v>45646</v>
      </c>
      <c r="U1008" s="3">
        <v>45655</v>
      </c>
      <c r="V1008" t="s">
        <v>77</v>
      </c>
      <c r="W1008">
        <f t="shared" si="77"/>
        <v>916.5</v>
      </c>
      <c r="X1008">
        <f t="shared" si="78"/>
        <v>916.5</v>
      </c>
      <c r="Y1008">
        <f t="shared" si="79"/>
        <v>0</v>
      </c>
      <c r="Z1008" s="8" t="str">
        <f t="shared" si="76"/>
        <v>No Discount</v>
      </c>
      <c r="AA1008" s="12">
        <f>DATE(YEAR(Table1[[#This Row],[OrderDate]]),MONTH(Table1[[#This Row],[OrderDate]]),1)</f>
        <v>45627</v>
      </c>
    </row>
    <row r="1009" spans="1:27" x14ac:dyDescent="0.3">
      <c r="A1009" s="3">
        <v>45034</v>
      </c>
      <c r="B1009" t="s">
        <v>9</v>
      </c>
      <c r="C1009" t="s">
        <v>31</v>
      </c>
      <c r="D1009" t="str">
        <f>TRIM(Table1[[#This Row],[Product]])</f>
        <v>Laptop</v>
      </c>
      <c r="E1009" t="str">
        <f>PROPER(Table1[[#This Row],[Column1]])</f>
        <v>Laptop</v>
      </c>
      <c r="F1009" s="8" t="str">
        <f t="shared" si="75"/>
        <v>Technology</v>
      </c>
      <c r="G1009" s="5">
        <v>2</v>
      </c>
      <c r="H1009">
        <v>129.43</v>
      </c>
      <c r="I1009" t="s">
        <v>81</v>
      </c>
      <c r="J1009" t="s">
        <v>65</v>
      </c>
      <c r="K1009" s="7">
        <v>0.05</v>
      </c>
      <c r="L1009" t="s">
        <v>18</v>
      </c>
      <c r="M1009" s="5">
        <v>245.917</v>
      </c>
      <c r="N1009" t="s">
        <v>85</v>
      </c>
      <c r="O1009" t="s">
        <v>60</v>
      </c>
      <c r="P1009" s="5">
        <v>0</v>
      </c>
      <c r="Q1009" t="s">
        <v>2032</v>
      </c>
      <c r="R1009" t="s">
        <v>2033</v>
      </c>
      <c r="S1009" s="5">
        <v>6.91</v>
      </c>
      <c r="T1009" s="3">
        <v>45034</v>
      </c>
      <c r="U1009" s="3">
        <v>45037</v>
      </c>
      <c r="V1009" t="s">
        <v>63</v>
      </c>
      <c r="W1009">
        <f t="shared" si="77"/>
        <v>233.62115</v>
      </c>
      <c r="X1009">
        <f t="shared" si="78"/>
        <v>258.86</v>
      </c>
      <c r="Y1009">
        <f t="shared" si="79"/>
        <v>25.238850000000014</v>
      </c>
      <c r="Z1009" s="8" t="str">
        <f t="shared" si="76"/>
        <v>Medium</v>
      </c>
      <c r="AA1009" s="12">
        <f>DATE(YEAR(Table1[[#This Row],[OrderDate]]),MONTH(Table1[[#This Row],[OrderDate]]),1)</f>
        <v>45017</v>
      </c>
    </row>
    <row r="1010" spans="1:27" x14ac:dyDescent="0.3">
      <c r="A1010" s="3">
        <v>45533</v>
      </c>
      <c r="B1010" t="s">
        <v>9</v>
      </c>
      <c r="C1010" t="s">
        <v>34</v>
      </c>
      <c r="D1010" t="str">
        <f>TRIM(Table1[[#This Row],[Product]])</f>
        <v>Printer</v>
      </c>
      <c r="E1010" t="str">
        <f>PROPER(Table1[[#This Row],[Column1]])</f>
        <v>Printer</v>
      </c>
      <c r="F1010" s="8" t="str">
        <f t="shared" si="75"/>
        <v>Office Supplies</v>
      </c>
      <c r="G1010" s="5">
        <v>19</v>
      </c>
      <c r="H1010">
        <v>448.21</v>
      </c>
      <c r="I1010" t="s">
        <v>78</v>
      </c>
      <c r="J1010" t="s">
        <v>58</v>
      </c>
      <c r="K1010" s="7">
        <v>0.1</v>
      </c>
      <c r="L1010" t="s">
        <v>18</v>
      </c>
      <c r="M1010" s="5">
        <v>7664.3909999999996</v>
      </c>
      <c r="N1010" t="s">
        <v>85</v>
      </c>
      <c r="O1010" t="s">
        <v>71</v>
      </c>
      <c r="P1010" s="5">
        <v>0</v>
      </c>
      <c r="Q1010" t="s">
        <v>2034</v>
      </c>
      <c r="R1010" t="s">
        <v>997</v>
      </c>
      <c r="S1010" s="5">
        <v>30.71</v>
      </c>
      <c r="T1010" s="3">
        <v>45533</v>
      </c>
      <c r="U1010" s="3">
        <v>45538</v>
      </c>
      <c r="V1010" t="s">
        <v>63</v>
      </c>
      <c r="W1010">
        <f t="shared" si="77"/>
        <v>6897.9519</v>
      </c>
      <c r="X1010">
        <f t="shared" si="78"/>
        <v>8515.99</v>
      </c>
      <c r="Y1010">
        <f t="shared" si="79"/>
        <v>1618.0380999999998</v>
      </c>
      <c r="Z1010" s="8" t="str">
        <f t="shared" si="76"/>
        <v>Medium</v>
      </c>
      <c r="AA1010" s="12">
        <f>DATE(YEAR(Table1[[#This Row],[OrderDate]]),MONTH(Table1[[#This Row],[OrderDate]]),1)</f>
        <v>45505</v>
      </c>
    </row>
    <row r="1011" spans="1:27" x14ac:dyDescent="0.3">
      <c r="A1011" s="3">
        <v>45172</v>
      </c>
      <c r="B1011" t="s">
        <v>11</v>
      </c>
      <c r="C1011" t="s">
        <v>30</v>
      </c>
      <c r="D1011" t="str">
        <f>TRIM(Table1[[#This Row],[Product]])</f>
        <v>Desk</v>
      </c>
      <c r="E1011" t="str">
        <f>PROPER(Table1[[#This Row],[Column1]])</f>
        <v>Desk</v>
      </c>
      <c r="F1011" s="8" t="str">
        <f t="shared" si="75"/>
        <v>Furniture</v>
      </c>
      <c r="G1011" s="5">
        <v>16</v>
      </c>
      <c r="H1011">
        <v>440.48</v>
      </c>
      <c r="I1011" t="s">
        <v>57</v>
      </c>
      <c r="J1011" t="s">
        <v>65</v>
      </c>
      <c r="K1011" s="7">
        <v>0.05</v>
      </c>
      <c r="L1011" t="s">
        <v>27</v>
      </c>
      <c r="M1011" s="5">
        <v>6695.2960000000003</v>
      </c>
      <c r="N1011" t="s">
        <v>88</v>
      </c>
      <c r="O1011" t="s">
        <v>60</v>
      </c>
      <c r="P1011" s="5">
        <v>1</v>
      </c>
      <c r="Q1011" t="s">
        <v>2035</v>
      </c>
      <c r="R1011" t="s">
        <v>2036</v>
      </c>
      <c r="S1011" s="5">
        <v>26.87</v>
      </c>
      <c r="T1011" s="3">
        <v>45172</v>
      </c>
      <c r="U1011" s="3">
        <v>45179</v>
      </c>
      <c r="V1011" t="s">
        <v>74</v>
      </c>
      <c r="W1011">
        <f t="shared" si="77"/>
        <v>6360.5312000000004</v>
      </c>
      <c r="X1011">
        <f t="shared" si="78"/>
        <v>7047.68</v>
      </c>
      <c r="Y1011">
        <f t="shared" si="79"/>
        <v>687.14879999999994</v>
      </c>
      <c r="Z1011" s="8" t="str">
        <f t="shared" si="76"/>
        <v>Medium</v>
      </c>
      <c r="AA1011" s="12">
        <f>DATE(YEAR(Table1[[#This Row],[OrderDate]]),MONTH(Table1[[#This Row],[OrderDate]]),1)</f>
        <v>45170</v>
      </c>
    </row>
    <row r="1012" spans="1:27" x14ac:dyDescent="0.3">
      <c r="A1012" s="3">
        <v>45796</v>
      </c>
      <c r="B1012" t="s">
        <v>9</v>
      </c>
      <c r="C1012" t="s">
        <v>31</v>
      </c>
      <c r="D1012" t="str">
        <f>TRIM(Table1[[#This Row],[Product]])</f>
        <v>Laptop</v>
      </c>
      <c r="E1012" t="str">
        <f>PROPER(Table1[[#This Row],[Column1]])</f>
        <v>Laptop</v>
      </c>
      <c r="F1012" s="8" t="str">
        <f t="shared" si="75"/>
        <v>Technology</v>
      </c>
      <c r="G1012" s="5">
        <v>8</v>
      </c>
      <c r="H1012">
        <v>262.62</v>
      </c>
      <c r="I1012" t="s">
        <v>78</v>
      </c>
      <c r="J1012" t="s">
        <v>58</v>
      </c>
      <c r="K1012" s="7">
        <v>0</v>
      </c>
      <c r="L1012" t="s">
        <v>18</v>
      </c>
      <c r="M1012" s="5">
        <v>2100.96</v>
      </c>
      <c r="N1012" t="s">
        <v>88</v>
      </c>
      <c r="O1012" t="s">
        <v>60</v>
      </c>
      <c r="P1012" s="5">
        <v>1</v>
      </c>
      <c r="Q1012" t="s">
        <v>2037</v>
      </c>
      <c r="R1012" t="s">
        <v>2038</v>
      </c>
      <c r="S1012" s="5">
        <v>36.729999999999997</v>
      </c>
      <c r="T1012" s="3">
        <v>45796</v>
      </c>
      <c r="U1012" s="3">
        <v>45801</v>
      </c>
      <c r="V1012" t="s">
        <v>63</v>
      </c>
      <c r="W1012">
        <f t="shared" si="77"/>
        <v>2100.96</v>
      </c>
      <c r="X1012">
        <f t="shared" si="78"/>
        <v>2100.96</v>
      </c>
      <c r="Y1012">
        <f t="shared" si="79"/>
        <v>0</v>
      </c>
      <c r="Z1012" s="8" t="str">
        <f t="shared" si="76"/>
        <v>No Discount</v>
      </c>
      <c r="AA1012" s="12">
        <f>DATE(YEAR(Table1[[#This Row],[OrderDate]]),MONTH(Table1[[#This Row],[OrderDate]]),1)</f>
        <v>45778</v>
      </c>
    </row>
    <row r="1013" spans="1:27" x14ac:dyDescent="0.3">
      <c r="A1013" s="3">
        <v>45095</v>
      </c>
      <c r="B1013" t="s">
        <v>9</v>
      </c>
      <c r="C1013" t="s">
        <v>35</v>
      </c>
      <c r="D1013" t="str">
        <f>TRIM(Table1[[#This Row],[Product]])</f>
        <v>Tablet</v>
      </c>
      <c r="E1013" t="str">
        <f>PROPER(Table1[[#This Row],[Column1]])</f>
        <v>Tablet</v>
      </c>
      <c r="F1013" s="8" t="str">
        <f t="shared" si="75"/>
        <v>Technology</v>
      </c>
      <c r="G1013" s="5">
        <v>15</v>
      </c>
      <c r="H1013">
        <v>124.91</v>
      </c>
      <c r="I1013" t="s">
        <v>64</v>
      </c>
      <c r="J1013" t="s">
        <v>58</v>
      </c>
      <c r="K1013" s="7">
        <v>0.1</v>
      </c>
      <c r="L1013" t="s">
        <v>25</v>
      </c>
      <c r="M1013" s="5">
        <v>1686.2850000000001</v>
      </c>
      <c r="N1013" t="s">
        <v>66</v>
      </c>
      <c r="O1013" t="s">
        <v>60</v>
      </c>
      <c r="P1013" s="5">
        <v>0</v>
      </c>
      <c r="Q1013" t="s">
        <v>2039</v>
      </c>
      <c r="R1013" t="s">
        <v>2040</v>
      </c>
      <c r="S1013" s="5">
        <v>31.95</v>
      </c>
      <c r="T1013" s="3">
        <v>45095</v>
      </c>
      <c r="U1013" s="3">
        <v>45103</v>
      </c>
      <c r="V1013" t="s">
        <v>63</v>
      </c>
      <c r="W1013">
        <f t="shared" si="77"/>
        <v>1517.6565000000001</v>
      </c>
      <c r="X1013">
        <f t="shared" si="78"/>
        <v>1873.6499999999999</v>
      </c>
      <c r="Y1013">
        <f t="shared" si="79"/>
        <v>355.99349999999981</v>
      </c>
      <c r="Z1013" s="8" t="str">
        <f t="shared" si="76"/>
        <v>Medium</v>
      </c>
      <c r="AA1013" s="12">
        <f>DATE(YEAR(Table1[[#This Row],[OrderDate]]),MONTH(Table1[[#This Row],[OrderDate]]),1)</f>
        <v>45078</v>
      </c>
    </row>
    <row r="1014" spans="1:27" x14ac:dyDescent="0.3">
      <c r="A1014" s="3">
        <v>45826</v>
      </c>
      <c r="B1014" t="s">
        <v>16</v>
      </c>
      <c r="C1014" t="s">
        <v>32</v>
      </c>
      <c r="D1014" t="str">
        <f>TRIM(Table1[[#This Row],[Product]])</f>
        <v>Monitor</v>
      </c>
      <c r="E1014" t="str">
        <f>PROPER(Table1[[#This Row],[Column1]])</f>
        <v>Monitor</v>
      </c>
      <c r="F1014" s="8" t="str">
        <f t="shared" si="75"/>
        <v>Technology</v>
      </c>
      <c r="G1014" s="5">
        <v>9</v>
      </c>
      <c r="H1014">
        <v>391</v>
      </c>
      <c r="I1014" t="s">
        <v>81</v>
      </c>
      <c r="J1014" t="s">
        <v>58</v>
      </c>
      <c r="K1014" s="7">
        <v>0.1</v>
      </c>
      <c r="L1014" t="s">
        <v>25</v>
      </c>
      <c r="M1014" s="5">
        <v>3167.1</v>
      </c>
      <c r="N1014" t="s">
        <v>85</v>
      </c>
      <c r="O1014" t="s">
        <v>71</v>
      </c>
      <c r="P1014" s="5">
        <v>0</v>
      </c>
      <c r="Q1014" t="s">
        <v>2041</v>
      </c>
      <c r="R1014" t="s">
        <v>2042</v>
      </c>
      <c r="S1014" s="5">
        <v>46.76</v>
      </c>
      <c r="T1014" s="3">
        <v>45826</v>
      </c>
      <c r="U1014" s="3">
        <v>45830</v>
      </c>
      <c r="V1014" t="s">
        <v>95</v>
      </c>
      <c r="W1014">
        <f t="shared" si="77"/>
        <v>2850.39</v>
      </c>
      <c r="X1014">
        <f t="shared" si="78"/>
        <v>3519</v>
      </c>
      <c r="Y1014">
        <f t="shared" si="79"/>
        <v>668.61000000000013</v>
      </c>
      <c r="Z1014" s="8" t="str">
        <f t="shared" si="76"/>
        <v>Medium</v>
      </c>
      <c r="AA1014" s="12">
        <f>DATE(YEAR(Table1[[#This Row],[OrderDate]]),MONTH(Table1[[#This Row],[OrderDate]]),1)</f>
        <v>45809</v>
      </c>
    </row>
    <row r="1015" spans="1:27" x14ac:dyDescent="0.3">
      <c r="A1015" s="3">
        <v>45564</v>
      </c>
      <c r="B1015" t="s">
        <v>13</v>
      </c>
      <c r="C1015" t="s">
        <v>31</v>
      </c>
      <c r="D1015" t="str">
        <f>TRIM(Table1[[#This Row],[Product]])</f>
        <v>Laptop</v>
      </c>
      <c r="E1015" t="str">
        <f>PROPER(Table1[[#This Row],[Column1]])</f>
        <v>Laptop</v>
      </c>
      <c r="F1015" s="8" t="str">
        <f t="shared" si="75"/>
        <v>Technology</v>
      </c>
      <c r="G1015" s="5">
        <v>12</v>
      </c>
      <c r="H1015">
        <v>204.15</v>
      </c>
      <c r="I1015" t="s">
        <v>78</v>
      </c>
      <c r="J1015" t="s">
        <v>65</v>
      </c>
      <c r="K1015" s="7">
        <v>0.05</v>
      </c>
      <c r="L1015" t="s">
        <v>18</v>
      </c>
      <c r="M1015" s="5">
        <v>2327.31</v>
      </c>
      <c r="N1015" t="s">
        <v>85</v>
      </c>
      <c r="O1015" t="s">
        <v>60</v>
      </c>
      <c r="P1015" s="5">
        <v>1</v>
      </c>
      <c r="Q1015" t="s">
        <v>2043</v>
      </c>
      <c r="R1015" t="s">
        <v>2044</v>
      </c>
      <c r="S1015" s="5">
        <v>26.4</v>
      </c>
      <c r="T1015" s="3">
        <v>45564</v>
      </c>
      <c r="U1015" s="3">
        <v>45572</v>
      </c>
      <c r="V1015" t="s">
        <v>70</v>
      </c>
      <c r="W1015">
        <f t="shared" si="77"/>
        <v>2210.9445000000001</v>
      </c>
      <c r="X1015">
        <f t="shared" si="78"/>
        <v>2449.8000000000002</v>
      </c>
      <c r="Y1015">
        <f t="shared" si="79"/>
        <v>238.85550000000012</v>
      </c>
      <c r="Z1015" s="8" t="str">
        <f t="shared" si="76"/>
        <v>Medium</v>
      </c>
      <c r="AA1015" s="12">
        <f>DATE(YEAR(Table1[[#This Row],[OrderDate]]),MONTH(Table1[[#This Row],[OrderDate]]),1)</f>
        <v>45536</v>
      </c>
    </row>
    <row r="1016" spans="1:27" x14ac:dyDescent="0.3">
      <c r="A1016" s="3">
        <v>45347</v>
      </c>
      <c r="B1016" t="s">
        <v>9</v>
      </c>
      <c r="C1016" t="s">
        <v>31</v>
      </c>
      <c r="D1016" t="str">
        <f>TRIM(Table1[[#This Row],[Product]])</f>
        <v>Laptop</v>
      </c>
      <c r="E1016" t="str">
        <f>PROPER(Table1[[#This Row],[Column1]])</f>
        <v>Laptop</v>
      </c>
      <c r="F1016" s="8" t="str">
        <f t="shared" si="75"/>
        <v>Technology</v>
      </c>
      <c r="G1016" s="5">
        <v>20</v>
      </c>
      <c r="H1016">
        <v>13.64</v>
      </c>
      <c r="I1016" t="s">
        <v>78</v>
      </c>
      <c r="J1016" t="s">
        <v>65</v>
      </c>
      <c r="K1016" s="7">
        <v>0.15</v>
      </c>
      <c r="L1016" t="s">
        <v>27</v>
      </c>
      <c r="M1016" s="5">
        <v>231.88</v>
      </c>
      <c r="N1016" t="s">
        <v>82</v>
      </c>
      <c r="O1016" t="s">
        <v>67</v>
      </c>
      <c r="P1016" s="5">
        <v>0</v>
      </c>
      <c r="Q1016" t="s">
        <v>2045</v>
      </c>
      <c r="R1016" t="s">
        <v>2046</v>
      </c>
      <c r="S1016" s="5">
        <v>33.6</v>
      </c>
      <c r="T1016" s="3">
        <v>45347</v>
      </c>
      <c r="U1016" s="3">
        <v>45355</v>
      </c>
      <c r="V1016" t="s">
        <v>63</v>
      </c>
      <c r="W1016">
        <f t="shared" si="77"/>
        <v>197.09799999999998</v>
      </c>
      <c r="X1016">
        <f t="shared" si="78"/>
        <v>272.8</v>
      </c>
      <c r="Y1016">
        <f t="shared" si="79"/>
        <v>75.702000000000027</v>
      </c>
      <c r="Z1016" s="8" t="str">
        <f t="shared" si="76"/>
        <v>High</v>
      </c>
      <c r="AA1016" s="12">
        <f>DATE(YEAR(Table1[[#This Row],[OrderDate]]),MONTH(Table1[[#This Row],[OrderDate]]),1)</f>
        <v>45323</v>
      </c>
    </row>
    <row r="1017" spans="1:27" x14ac:dyDescent="0.3">
      <c r="A1017" s="3">
        <v>45372</v>
      </c>
      <c r="B1017" t="s">
        <v>11</v>
      </c>
      <c r="C1017" t="s">
        <v>34</v>
      </c>
      <c r="D1017" t="str">
        <f>TRIM(Table1[[#This Row],[Product]])</f>
        <v>Printer</v>
      </c>
      <c r="E1017" t="str">
        <f>PROPER(Table1[[#This Row],[Column1]])</f>
        <v>Printer</v>
      </c>
      <c r="F1017" s="8" t="str">
        <f t="shared" si="75"/>
        <v>Office Supplies</v>
      </c>
      <c r="G1017" s="5">
        <v>14</v>
      </c>
      <c r="H1017">
        <v>524.9</v>
      </c>
      <c r="I1017" t="s">
        <v>78</v>
      </c>
      <c r="J1017" t="s">
        <v>58</v>
      </c>
      <c r="K1017" s="7">
        <v>0.05</v>
      </c>
      <c r="L1017" t="s">
        <v>18</v>
      </c>
      <c r="M1017" s="5">
        <v>6981.1699999999992</v>
      </c>
      <c r="N1017" t="s">
        <v>88</v>
      </c>
      <c r="O1017" t="s">
        <v>60</v>
      </c>
      <c r="P1017" s="5">
        <v>1</v>
      </c>
      <c r="Q1017" t="s">
        <v>2047</v>
      </c>
      <c r="R1017" t="s">
        <v>2048</v>
      </c>
      <c r="S1017" s="5">
        <v>20.23</v>
      </c>
      <c r="T1017" s="3">
        <v>45372</v>
      </c>
      <c r="U1017" s="3">
        <v>45381</v>
      </c>
      <c r="V1017" t="s">
        <v>74</v>
      </c>
      <c r="W1017">
        <f t="shared" si="77"/>
        <v>6632.1114999999991</v>
      </c>
      <c r="X1017">
        <f t="shared" si="78"/>
        <v>7348.5999999999995</v>
      </c>
      <c r="Y1017">
        <f t="shared" si="79"/>
        <v>716.48850000000039</v>
      </c>
      <c r="Z1017" s="8" t="str">
        <f t="shared" si="76"/>
        <v>Medium</v>
      </c>
      <c r="AA1017" s="12">
        <f>DATE(YEAR(Table1[[#This Row],[OrderDate]]),MONTH(Table1[[#This Row],[OrderDate]]),1)</f>
        <v>45352</v>
      </c>
    </row>
    <row r="1018" spans="1:27" x14ac:dyDescent="0.3">
      <c r="A1018" s="3">
        <v>45325</v>
      </c>
      <c r="B1018" t="s">
        <v>11</v>
      </c>
      <c r="C1018" t="s">
        <v>31</v>
      </c>
      <c r="D1018" t="str">
        <f>TRIM(Table1[[#This Row],[Product]])</f>
        <v>Laptop</v>
      </c>
      <c r="E1018" t="str">
        <f>PROPER(Table1[[#This Row],[Column1]])</f>
        <v>Laptop</v>
      </c>
      <c r="F1018" s="8" t="str">
        <f t="shared" si="75"/>
        <v>Technology</v>
      </c>
      <c r="G1018" s="5">
        <v>8</v>
      </c>
      <c r="H1018">
        <v>143.94999999999999</v>
      </c>
      <c r="I1018" t="s">
        <v>57</v>
      </c>
      <c r="J1018" t="s">
        <v>65</v>
      </c>
      <c r="K1018" s="7">
        <v>0.1</v>
      </c>
      <c r="L1018" t="s">
        <v>23</v>
      </c>
      <c r="M1018" s="5">
        <v>1036.44</v>
      </c>
      <c r="N1018" t="s">
        <v>88</v>
      </c>
      <c r="O1018" t="s">
        <v>67</v>
      </c>
      <c r="P1018" s="5">
        <v>0</v>
      </c>
      <c r="Q1018" t="s">
        <v>2049</v>
      </c>
      <c r="R1018" t="s">
        <v>2050</v>
      </c>
      <c r="S1018" s="5">
        <v>28.09</v>
      </c>
      <c r="T1018" s="3">
        <v>45325</v>
      </c>
      <c r="U1018" s="3">
        <v>45331</v>
      </c>
      <c r="V1018" t="s">
        <v>74</v>
      </c>
      <c r="W1018">
        <f t="shared" si="77"/>
        <v>932.79600000000005</v>
      </c>
      <c r="X1018">
        <f t="shared" si="78"/>
        <v>1151.5999999999999</v>
      </c>
      <c r="Y1018">
        <f t="shared" si="79"/>
        <v>218.80399999999986</v>
      </c>
      <c r="Z1018" s="8" t="str">
        <f t="shared" si="76"/>
        <v>Medium</v>
      </c>
      <c r="AA1018" s="12">
        <f>DATE(YEAR(Table1[[#This Row],[OrderDate]]),MONTH(Table1[[#This Row],[OrderDate]]),1)</f>
        <v>45323</v>
      </c>
    </row>
    <row r="1019" spans="1:27" x14ac:dyDescent="0.3">
      <c r="A1019" s="3">
        <v>45251</v>
      </c>
      <c r="B1019" t="s">
        <v>13</v>
      </c>
      <c r="C1019" t="s">
        <v>31</v>
      </c>
      <c r="D1019" t="str">
        <f>TRIM(Table1[[#This Row],[Product]])</f>
        <v>Laptop</v>
      </c>
      <c r="E1019" t="str">
        <f>PROPER(Table1[[#This Row],[Column1]])</f>
        <v>Laptop</v>
      </c>
      <c r="F1019" s="8" t="str">
        <f t="shared" si="75"/>
        <v>Technology</v>
      </c>
      <c r="G1019" s="5">
        <v>2</v>
      </c>
      <c r="H1019">
        <v>576.84</v>
      </c>
      <c r="I1019" t="s">
        <v>81</v>
      </c>
      <c r="J1019" t="s">
        <v>65</v>
      </c>
      <c r="K1019" s="7">
        <v>0.1</v>
      </c>
      <c r="L1019" t="s">
        <v>27</v>
      </c>
      <c r="M1019" s="5">
        <v>1038.3119999999999</v>
      </c>
      <c r="N1019" t="s">
        <v>82</v>
      </c>
      <c r="O1019" t="s">
        <v>60</v>
      </c>
      <c r="P1019" s="5">
        <v>0</v>
      </c>
      <c r="Q1019" t="s">
        <v>2051</v>
      </c>
      <c r="R1019" t="s">
        <v>2052</v>
      </c>
      <c r="S1019" s="5">
        <v>43.32</v>
      </c>
      <c r="T1019" s="3">
        <v>45251</v>
      </c>
      <c r="U1019" s="3">
        <v>45254</v>
      </c>
      <c r="V1019" t="s">
        <v>70</v>
      </c>
      <c r="W1019">
        <f t="shared" si="77"/>
        <v>934.48079999999993</v>
      </c>
      <c r="X1019">
        <f t="shared" si="78"/>
        <v>1153.68</v>
      </c>
      <c r="Y1019">
        <f t="shared" si="79"/>
        <v>219.19920000000013</v>
      </c>
      <c r="Z1019" s="8" t="str">
        <f t="shared" si="76"/>
        <v>Medium</v>
      </c>
      <c r="AA1019" s="12">
        <f>DATE(YEAR(Table1[[#This Row],[OrderDate]]),MONTH(Table1[[#This Row],[OrderDate]]),1)</f>
        <v>45231</v>
      </c>
    </row>
    <row r="1020" spans="1:27" x14ac:dyDescent="0.3">
      <c r="A1020" s="3">
        <v>44936</v>
      </c>
      <c r="B1020" t="s">
        <v>16</v>
      </c>
      <c r="C1020" t="s">
        <v>29</v>
      </c>
      <c r="D1020" t="str">
        <f>TRIM(Table1[[#This Row],[Product]])</f>
        <v>Chair</v>
      </c>
      <c r="E1020" t="str">
        <f>PROPER(Table1[[#This Row],[Column1]])</f>
        <v>Chair</v>
      </c>
      <c r="F1020" s="8" t="str">
        <f t="shared" si="75"/>
        <v>Furniture</v>
      </c>
      <c r="G1020" s="5">
        <v>14</v>
      </c>
      <c r="H1020">
        <v>250.98</v>
      </c>
      <c r="I1020" t="s">
        <v>78</v>
      </c>
      <c r="J1020" t="s">
        <v>65</v>
      </c>
      <c r="K1020" s="7">
        <v>0</v>
      </c>
      <c r="L1020" t="s">
        <v>25</v>
      </c>
      <c r="M1020" s="5">
        <v>3513.72</v>
      </c>
      <c r="N1020" t="s">
        <v>85</v>
      </c>
      <c r="P1020" s="5">
        <v>0</v>
      </c>
      <c r="Q1020" t="s">
        <v>2053</v>
      </c>
      <c r="R1020" t="s">
        <v>2054</v>
      </c>
      <c r="S1020" s="5">
        <v>14.94</v>
      </c>
      <c r="T1020" s="3">
        <v>44936</v>
      </c>
      <c r="U1020" s="3">
        <v>44944</v>
      </c>
      <c r="V1020" t="s">
        <v>95</v>
      </c>
      <c r="W1020">
        <f t="shared" si="77"/>
        <v>3513.72</v>
      </c>
      <c r="X1020">
        <f t="shared" si="78"/>
        <v>3513.72</v>
      </c>
      <c r="Y1020">
        <f t="shared" si="79"/>
        <v>0</v>
      </c>
      <c r="Z1020" s="8" t="str">
        <f t="shared" si="76"/>
        <v>No Discount</v>
      </c>
      <c r="AA1020" s="12">
        <f>DATE(YEAR(Table1[[#This Row],[OrderDate]]),MONTH(Table1[[#This Row],[OrderDate]]),1)</f>
        <v>44927</v>
      </c>
    </row>
    <row r="1021" spans="1:27" x14ac:dyDescent="0.3">
      <c r="A1021" s="3">
        <v>44963</v>
      </c>
      <c r="B1021" t="s">
        <v>7</v>
      </c>
      <c r="C1021" t="s">
        <v>33</v>
      </c>
      <c r="D1021" t="str">
        <f>TRIM(Table1[[#This Row],[Product]])</f>
        <v>Phone</v>
      </c>
      <c r="E1021" t="str">
        <f>PROPER(Table1[[#This Row],[Column1]])</f>
        <v>Phone</v>
      </c>
      <c r="F1021" s="8" t="str">
        <f t="shared" si="75"/>
        <v>Technology</v>
      </c>
      <c r="G1021" s="5">
        <v>7</v>
      </c>
      <c r="H1021">
        <v>335.41</v>
      </c>
      <c r="I1021" t="s">
        <v>78</v>
      </c>
      <c r="J1021" t="s">
        <v>65</v>
      </c>
      <c r="K1021" s="7">
        <v>0</v>
      </c>
      <c r="L1021" t="s">
        <v>19</v>
      </c>
      <c r="M1021" s="5">
        <v>2347.87</v>
      </c>
      <c r="N1021" t="s">
        <v>59</v>
      </c>
      <c r="O1021" t="s">
        <v>67</v>
      </c>
      <c r="P1021" s="5">
        <v>0</v>
      </c>
      <c r="Q1021" t="s">
        <v>2055</v>
      </c>
      <c r="R1021" t="s">
        <v>620</v>
      </c>
      <c r="S1021" s="5">
        <v>18.91</v>
      </c>
      <c r="T1021" s="3">
        <v>44963</v>
      </c>
      <c r="U1021" s="3">
        <v>44967</v>
      </c>
      <c r="V1021" t="s">
        <v>77</v>
      </c>
      <c r="W1021">
        <f t="shared" si="77"/>
        <v>2347.87</v>
      </c>
      <c r="X1021">
        <f t="shared" si="78"/>
        <v>2347.8700000000003</v>
      </c>
      <c r="Y1021">
        <f t="shared" si="79"/>
        <v>0</v>
      </c>
      <c r="Z1021" s="8" t="str">
        <f t="shared" si="76"/>
        <v>No Discount</v>
      </c>
      <c r="AA1021" s="12">
        <f>DATE(YEAR(Table1[[#This Row],[OrderDate]]),MONTH(Table1[[#This Row],[OrderDate]]),1)</f>
        <v>44958</v>
      </c>
    </row>
    <row r="1022" spans="1:27" x14ac:dyDescent="0.3">
      <c r="A1022" s="3">
        <v>45757</v>
      </c>
      <c r="B1022" t="s">
        <v>11</v>
      </c>
      <c r="C1022" t="s">
        <v>34</v>
      </c>
      <c r="D1022" t="str">
        <f>TRIM(Table1[[#This Row],[Product]])</f>
        <v>Printer</v>
      </c>
      <c r="E1022" t="str">
        <f>PROPER(Table1[[#This Row],[Column1]])</f>
        <v>Printer</v>
      </c>
      <c r="F1022" s="8" t="str">
        <f t="shared" si="75"/>
        <v>Office Supplies</v>
      </c>
      <c r="G1022" s="5">
        <v>11</v>
      </c>
      <c r="H1022">
        <v>204.5</v>
      </c>
      <c r="I1022" t="s">
        <v>64</v>
      </c>
      <c r="J1022" t="s">
        <v>65</v>
      </c>
      <c r="K1022" s="7">
        <v>0</v>
      </c>
      <c r="L1022" t="s">
        <v>25</v>
      </c>
      <c r="M1022" s="5">
        <v>2249.5</v>
      </c>
      <c r="N1022" t="s">
        <v>85</v>
      </c>
      <c r="O1022" t="s">
        <v>71</v>
      </c>
      <c r="P1022" s="5">
        <v>0</v>
      </c>
      <c r="Q1022" t="s">
        <v>2056</v>
      </c>
      <c r="R1022" t="s">
        <v>1847</v>
      </c>
      <c r="S1022" s="5">
        <v>13.82</v>
      </c>
      <c r="T1022" s="3">
        <v>45757</v>
      </c>
      <c r="U1022" s="3">
        <v>45767</v>
      </c>
      <c r="V1022" t="s">
        <v>74</v>
      </c>
      <c r="W1022">
        <f t="shared" si="77"/>
        <v>2249.5</v>
      </c>
      <c r="X1022">
        <f t="shared" si="78"/>
        <v>2249.5</v>
      </c>
      <c r="Y1022">
        <f t="shared" si="79"/>
        <v>0</v>
      </c>
      <c r="Z1022" s="8" t="str">
        <f t="shared" si="76"/>
        <v>No Discount</v>
      </c>
      <c r="AA1022" s="12">
        <f>DATE(YEAR(Table1[[#This Row],[OrderDate]]),MONTH(Table1[[#This Row],[OrderDate]]),1)</f>
        <v>45748</v>
      </c>
    </row>
    <row r="1023" spans="1:27" x14ac:dyDescent="0.3">
      <c r="A1023" s="3">
        <v>45336</v>
      </c>
      <c r="B1023" t="s">
        <v>9</v>
      </c>
      <c r="C1023" t="s">
        <v>35</v>
      </c>
      <c r="D1023" t="str">
        <f>TRIM(Table1[[#This Row],[Product]])</f>
        <v>Tablet</v>
      </c>
      <c r="E1023" t="str">
        <f>PROPER(Table1[[#This Row],[Column1]])</f>
        <v>Tablet</v>
      </c>
      <c r="F1023" s="8" t="str">
        <f t="shared" si="75"/>
        <v>Technology</v>
      </c>
      <c r="G1023" s="5">
        <v>1</v>
      </c>
      <c r="H1023">
        <v>542.63</v>
      </c>
      <c r="I1023" t="s">
        <v>64</v>
      </c>
      <c r="J1023" t="s">
        <v>65</v>
      </c>
      <c r="K1023" s="7">
        <v>0.05</v>
      </c>
      <c r="L1023" t="s">
        <v>21</v>
      </c>
      <c r="M1023" s="5">
        <v>515.49849999999992</v>
      </c>
      <c r="N1023" t="s">
        <v>82</v>
      </c>
      <c r="P1023" s="5">
        <v>0</v>
      </c>
      <c r="Q1023" t="s">
        <v>2057</v>
      </c>
      <c r="R1023" t="s">
        <v>2058</v>
      </c>
      <c r="S1023" s="5">
        <v>33.200000000000003</v>
      </c>
      <c r="T1023" s="3">
        <v>45336</v>
      </c>
      <c r="U1023" s="3">
        <v>45343</v>
      </c>
      <c r="V1023" t="s">
        <v>63</v>
      </c>
      <c r="W1023">
        <f t="shared" si="77"/>
        <v>489.72357499999993</v>
      </c>
      <c r="X1023">
        <f t="shared" si="78"/>
        <v>542.63</v>
      </c>
      <c r="Y1023">
        <f t="shared" si="79"/>
        <v>52.90642500000007</v>
      </c>
      <c r="Z1023" s="8" t="str">
        <f t="shared" si="76"/>
        <v>Medium</v>
      </c>
      <c r="AA1023" s="12">
        <f>DATE(YEAR(Table1[[#This Row],[OrderDate]]),MONTH(Table1[[#This Row],[OrderDate]]),1)</f>
        <v>45323</v>
      </c>
    </row>
    <row r="1024" spans="1:27" x14ac:dyDescent="0.3">
      <c r="A1024" s="3">
        <v>45803</v>
      </c>
      <c r="B1024" t="s">
        <v>9</v>
      </c>
      <c r="C1024" t="s">
        <v>33</v>
      </c>
      <c r="D1024" t="str">
        <f>TRIM(Table1[[#This Row],[Product]])</f>
        <v>Phone</v>
      </c>
      <c r="E1024" t="str">
        <f>PROPER(Table1[[#This Row],[Column1]])</f>
        <v>Phone</v>
      </c>
      <c r="F1024" s="8" t="str">
        <f t="shared" si="75"/>
        <v>Technology</v>
      </c>
      <c r="G1024" s="5">
        <v>1</v>
      </c>
      <c r="H1024">
        <v>204.54</v>
      </c>
      <c r="I1024" t="s">
        <v>81</v>
      </c>
      <c r="J1024" t="s">
        <v>65</v>
      </c>
      <c r="K1024" s="7">
        <v>0.1</v>
      </c>
      <c r="L1024" t="s">
        <v>21</v>
      </c>
      <c r="M1024" s="5">
        <v>184.08600000000001</v>
      </c>
      <c r="N1024" t="s">
        <v>59</v>
      </c>
      <c r="P1024" s="5">
        <v>1</v>
      </c>
      <c r="Q1024" t="s">
        <v>2059</v>
      </c>
      <c r="R1024" t="s">
        <v>2060</v>
      </c>
      <c r="S1024" s="5">
        <v>17.760000000000002</v>
      </c>
      <c r="T1024" s="3">
        <v>45803</v>
      </c>
      <c r="U1024" s="3">
        <v>45806</v>
      </c>
      <c r="V1024" t="s">
        <v>63</v>
      </c>
      <c r="W1024">
        <f t="shared" si="77"/>
        <v>165.67740000000001</v>
      </c>
      <c r="X1024">
        <f t="shared" si="78"/>
        <v>204.54</v>
      </c>
      <c r="Y1024">
        <f t="shared" si="79"/>
        <v>38.862599999999986</v>
      </c>
      <c r="Z1024" s="8" t="str">
        <f t="shared" si="76"/>
        <v>Medium</v>
      </c>
      <c r="AA1024" s="12">
        <f>DATE(YEAR(Table1[[#This Row],[OrderDate]]),MONTH(Table1[[#This Row],[OrderDate]]),1)</f>
        <v>45778</v>
      </c>
    </row>
    <row r="1025" spans="1:27" x14ac:dyDescent="0.3">
      <c r="A1025" s="3">
        <v>45181</v>
      </c>
      <c r="B1025" t="s">
        <v>16</v>
      </c>
      <c r="C1025" t="s">
        <v>29</v>
      </c>
      <c r="D1025" t="str">
        <f>TRIM(Table1[[#This Row],[Product]])</f>
        <v>Chair</v>
      </c>
      <c r="E1025" t="str">
        <f>PROPER(Table1[[#This Row],[Column1]])</f>
        <v>Chair</v>
      </c>
      <c r="F1025" s="8" t="str">
        <f t="shared" si="75"/>
        <v>Furniture</v>
      </c>
      <c r="G1025" s="5">
        <v>10</v>
      </c>
      <c r="H1025">
        <v>419.58</v>
      </c>
      <c r="I1025" t="s">
        <v>64</v>
      </c>
      <c r="J1025" t="s">
        <v>58</v>
      </c>
      <c r="K1025" s="7">
        <v>0.15</v>
      </c>
      <c r="L1025" t="s">
        <v>25</v>
      </c>
      <c r="M1025" s="5">
        <v>3566.43</v>
      </c>
      <c r="N1025" t="s">
        <v>85</v>
      </c>
      <c r="O1025" t="s">
        <v>60</v>
      </c>
      <c r="P1025" s="5">
        <v>0</v>
      </c>
      <c r="Q1025" t="s">
        <v>2061</v>
      </c>
      <c r="R1025" t="s">
        <v>1624</v>
      </c>
      <c r="S1025" s="5">
        <v>13.09</v>
      </c>
      <c r="T1025" s="3">
        <v>45181</v>
      </c>
      <c r="U1025" s="3">
        <v>45188</v>
      </c>
      <c r="V1025" t="s">
        <v>95</v>
      </c>
      <c r="W1025">
        <f t="shared" si="77"/>
        <v>3031.4654999999998</v>
      </c>
      <c r="X1025">
        <f t="shared" si="78"/>
        <v>4195.8</v>
      </c>
      <c r="Y1025">
        <f t="shared" si="79"/>
        <v>1164.3345000000004</v>
      </c>
      <c r="Z1025" s="8" t="str">
        <f t="shared" si="76"/>
        <v>High</v>
      </c>
      <c r="AA1025" s="12">
        <f>DATE(YEAR(Table1[[#This Row],[OrderDate]]),MONTH(Table1[[#This Row],[OrderDate]]),1)</f>
        <v>45170</v>
      </c>
    </row>
    <row r="1026" spans="1:27" x14ac:dyDescent="0.3">
      <c r="A1026" s="3">
        <v>45063</v>
      </c>
      <c r="B1026" t="s">
        <v>9</v>
      </c>
      <c r="C1026" t="s">
        <v>30</v>
      </c>
      <c r="D1026" t="str">
        <f>TRIM(Table1[[#This Row],[Product]])</f>
        <v>Desk</v>
      </c>
      <c r="E1026" t="str">
        <f>PROPER(Table1[[#This Row],[Column1]])</f>
        <v>Desk</v>
      </c>
      <c r="F1026" s="8" t="str">
        <f t="shared" ref="F1026:F1089" si="80">IF(OR(E1026="Chair",E1026="Desk"),"Furniture",IF(OR(E1026="Laptop",E1026="Monitor",E1026="Phone",E1026="Tablet"),"Technology",IF(E1026="Printer","Office Supplies","Other")))</f>
        <v>Furniture</v>
      </c>
      <c r="G1026" s="5">
        <v>7</v>
      </c>
      <c r="H1026">
        <v>87.88</v>
      </c>
      <c r="I1026" t="s">
        <v>78</v>
      </c>
      <c r="J1026" t="s">
        <v>58</v>
      </c>
      <c r="K1026" s="7">
        <v>0.15</v>
      </c>
      <c r="L1026" t="s">
        <v>18</v>
      </c>
      <c r="M1026" s="5">
        <v>522.88599999999997</v>
      </c>
      <c r="N1026" t="s">
        <v>59</v>
      </c>
      <c r="O1026" t="s">
        <v>71</v>
      </c>
      <c r="P1026" s="5">
        <v>1</v>
      </c>
      <c r="Q1026" t="s">
        <v>2062</v>
      </c>
      <c r="R1026" t="s">
        <v>2063</v>
      </c>
      <c r="S1026" s="5">
        <v>22.2</v>
      </c>
      <c r="T1026" s="3">
        <v>45063</v>
      </c>
      <c r="U1026" s="3">
        <v>45072</v>
      </c>
      <c r="V1026" t="s">
        <v>63</v>
      </c>
      <c r="W1026">
        <f t="shared" si="77"/>
        <v>444.45309999999995</v>
      </c>
      <c r="X1026">
        <f t="shared" si="78"/>
        <v>615.16</v>
      </c>
      <c r="Y1026">
        <f t="shared" si="79"/>
        <v>170.70690000000002</v>
      </c>
      <c r="Z1026" s="8" t="str">
        <f t="shared" ref="Z1026:Z1089" si="81">IF(K1026=0,"No Discount",IF(K1026&lt;5%,"Low",IF(K1026&lt;15%,"Medium","High")))</f>
        <v>High</v>
      </c>
      <c r="AA1026" s="12">
        <f>DATE(YEAR(Table1[[#This Row],[OrderDate]]),MONTH(Table1[[#This Row],[OrderDate]]),1)</f>
        <v>45047</v>
      </c>
    </row>
    <row r="1027" spans="1:27" x14ac:dyDescent="0.3">
      <c r="A1027" s="3">
        <v>45320</v>
      </c>
      <c r="B1027" t="s">
        <v>16</v>
      </c>
      <c r="C1027" t="s">
        <v>34</v>
      </c>
      <c r="D1027" t="str">
        <f>TRIM(Table1[[#This Row],[Product]])</f>
        <v>Printer</v>
      </c>
      <c r="E1027" t="str">
        <f>PROPER(Table1[[#This Row],[Column1]])</f>
        <v>Printer</v>
      </c>
      <c r="F1027" s="8" t="str">
        <f t="shared" si="80"/>
        <v>Office Supplies</v>
      </c>
      <c r="G1027" s="5">
        <v>7</v>
      </c>
      <c r="H1027">
        <v>386.88</v>
      </c>
      <c r="I1027" t="s">
        <v>57</v>
      </c>
      <c r="J1027" t="s">
        <v>58</v>
      </c>
      <c r="K1027" s="7">
        <v>0.05</v>
      </c>
      <c r="L1027" t="s">
        <v>21</v>
      </c>
      <c r="M1027" s="5">
        <v>2572.752</v>
      </c>
      <c r="N1027" t="s">
        <v>88</v>
      </c>
      <c r="O1027" t="s">
        <v>67</v>
      </c>
      <c r="P1027" s="5">
        <v>0</v>
      </c>
      <c r="Q1027" t="s">
        <v>2064</v>
      </c>
      <c r="R1027" t="s">
        <v>2065</v>
      </c>
      <c r="S1027" s="5">
        <v>38.46</v>
      </c>
      <c r="T1027" s="3">
        <v>45320</v>
      </c>
      <c r="U1027" s="3">
        <v>45322</v>
      </c>
      <c r="V1027" t="s">
        <v>95</v>
      </c>
      <c r="W1027">
        <f t="shared" ref="W1027:W1090" si="82">M1027*(1-K1027)</f>
        <v>2444.1143999999999</v>
      </c>
      <c r="X1027">
        <f t="shared" ref="X1027:X1090" si="83">G1027*H1027</f>
        <v>2708.16</v>
      </c>
      <c r="Y1027">
        <f t="shared" ref="Y1027:Y1090" si="84">X1027-W1027</f>
        <v>264.04559999999992</v>
      </c>
      <c r="Z1027" s="8" t="str">
        <f t="shared" si="81"/>
        <v>Medium</v>
      </c>
      <c r="AA1027" s="12">
        <f>DATE(YEAR(Table1[[#This Row],[OrderDate]]),MONTH(Table1[[#This Row],[OrderDate]]),1)</f>
        <v>45292</v>
      </c>
    </row>
    <row r="1028" spans="1:27" x14ac:dyDescent="0.3">
      <c r="A1028" s="3">
        <v>45786</v>
      </c>
      <c r="B1028" t="s">
        <v>11</v>
      </c>
      <c r="C1028" t="s">
        <v>30</v>
      </c>
      <c r="D1028" t="str">
        <f>TRIM(Table1[[#This Row],[Product]])</f>
        <v>Desk</v>
      </c>
      <c r="E1028" t="str">
        <f>PROPER(Table1[[#This Row],[Column1]])</f>
        <v>Desk</v>
      </c>
      <c r="F1028" s="8" t="str">
        <f t="shared" si="80"/>
        <v>Furniture</v>
      </c>
      <c r="G1028" s="5">
        <v>4</v>
      </c>
      <c r="H1028">
        <v>242.8</v>
      </c>
      <c r="I1028" t="s">
        <v>81</v>
      </c>
      <c r="J1028" t="s">
        <v>58</v>
      </c>
      <c r="K1028" s="7">
        <v>0.05</v>
      </c>
      <c r="L1028" t="s">
        <v>23</v>
      </c>
      <c r="M1028" s="5">
        <v>922.64</v>
      </c>
      <c r="N1028" t="s">
        <v>85</v>
      </c>
      <c r="O1028" t="s">
        <v>60</v>
      </c>
      <c r="P1028" s="5">
        <v>0</v>
      </c>
      <c r="Q1028" t="s">
        <v>2066</v>
      </c>
      <c r="R1028" t="s">
        <v>2067</v>
      </c>
      <c r="S1028" s="5">
        <v>30.03</v>
      </c>
      <c r="T1028" s="3">
        <v>45786</v>
      </c>
      <c r="U1028" s="3">
        <v>45795</v>
      </c>
      <c r="V1028" t="s">
        <v>74</v>
      </c>
      <c r="W1028">
        <f t="shared" si="82"/>
        <v>876.50799999999992</v>
      </c>
      <c r="X1028">
        <f t="shared" si="83"/>
        <v>971.2</v>
      </c>
      <c r="Y1028">
        <f t="shared" si="84"/>
        <v>94.692000000000121</v>
      </c>
      <c r="Z1028" s="8" t="str">
        <f t="shared" si="81"/>
        <v>Medium</v>
      </c>
      <c r="AA1028" s="12">
        <f>DATE(YEAR(Table1[[#This Row],[OrderDate]]),MONTH(Table1[[#This Row],[OrderDate]]),1)</f>
        <v>45778</v>
      </c>
    </row>
    <row r="1029" spans="1:27" x14ac:dyDescent="0.3">
      <c r="A1029" s="3">
        <v>45387</v>
      </c>
      <c r="B1029" t="s">
        <v>9</v>
      </c>
      <c r="C1029" t="s">
        <v>34</v>
      </c>
      <c r="D1029" t="str">
        <f>TRIM(Table1[[#This Row],[Product]])</f>
        <v>Printer</v>
      </c>
      <c r="E1029" t="str">
        <f>PROPER(Table1[[#This Row],[Column1]])</f>
        <v>Printer</v>
      </c>
      <c r="F1029" s="8" t="str">
        <f t="shared" si="80"/>
        <v>Office Supplies</v>
      </c>
      <c r="G1029" s="5">
        <v>4</v>
      </c>
      <c r="H1029">
        <v>410.59</v>
      </c>
      <c r="I1029" t="s">
        <v>64</v>
      </c>
      <c r="J1029" t="s">
        <v>65</v>
      </c>
      <c r="K1029" s="7">
        <v>0</v>
      </c>
      <c r="L1029" t="s">
        <v>25</v>
      </c>
      <c r="M1029" s="5">
        <v>1642.36</v>
      </c>
      <c r="N1029" t="s">
        <v>88</v>
      </c>
      <c r="P1029" s="5">
        <v>0</v>
      </c>
      <c r="Q1029" t="s">
        <v>2068</v>
      </c>
      <c r="R1029" t="s">
        <v>2069</v>
      </c>
      <c r="S1029" s="5">
        <v>17.36</v>
      </c>
      <c r="T1029" s="3">
        <v>45387</v>
      </c>
      <c r="U1029" s="3">
        <v>45391</v>
      </c>
      <c r="V1029" t="s">
        <v>63</v>
      </c>
      <c r="W1029">
        <f t="shared" si="82"/>
        <v>1642.36</v>
      </c>
      <c r="X1029">
        <f t="shared" si="83"/>
        <v>1642.36</v>
      </c>
      <c r="Y1029">
        <f t="shared" si="84"/>
        <v>0</v>
      </c>
      <c r="Z1029" s="8" t="str">
        <f t="shared" si="81"/>
        <v>No Discount</v>
      </c>
      <c r="AA1029" s="12">
        <f>DATE(YEAR(Table1[[#This Row],[OrderDate]]),MONTH(Table1[[#This Row],[OrderDate]]),1)</f>
        <v>45383</v>
      </c>
    </row>
    <row r="1030" spans="1:27" x14ac:dyDescent="0.3">
      <c r="A1030" s="3">
        <v>45505</v>
      </c>
      <c r="B1030" t="s">
        <v>13</v>
      </c>
      <c r="C1030" t="s">
        <v>29</v>
      </c>
      <c r="D1030" t="str">
        <f>TRIM(Table1[[#This Row],[Product]])</f>
        <v>Chair</v>
      </c>
      <c r="E1030" t="str">
        <f>PROPER(Table1[[#This Row],[Column1]])</f>
        <v>Chair</v>
      </c>
      <c r="F1030" s="8" t="str">
        <f t="shared" si="80"/>
        <v>Furniture</v>
      </c>
      <c r="G1030" s="5">
        <v>3</v>
      </c>
      <c r="H1030">
        <v>10.93</v>
      </c>
      <c r="I1030" t="s">
        <v>81</v>
      </c>
      <c r="J1030" t="s">
        <v>58</v>
      </c>
      <c r="K1030" s="7">
        <v>0.15</v>
      </c>
      <c r="L1030" t="s">
        <v>25</v>
      </c>
      <c r="M1030" s="5">
        <v>27.871500000000001</v>
      </c>
      <c r="N1030" t="s">
        <v>88</v>
      </c>
      <c r="O1030" t="s">
        <v>60</v>
      </c>
      <c r="P1030" s="5">
        <v>0</v>
      </c>
      <c r="Q1030" t="s">
        <v>2070</v>
      </c>
      <c r="R1030" t="s">
        <v>2071</v>
      </c>
      <c r="S1030" s="5">
        <v>19.010000000000002</v>
      </c>
      <c r="T1030" s="3">
        <v>45505</v>
      </c>
      <c r="U1030" s="3">
        <v>45514</v>
      </c>
      <c r="V1030" t="s">
        <v>70</v>
      </c>
      <c r="W1030">
        <f t="shared" si="82"/>
        <v>23.690774999999999</v>
      </c>
      <c r="X1030">
        <f t="shared" si="83"/>
        <v>32.79</v>
      </c>
      <c r="Y1030">
        <f t="shared" si="84"/>
        <v>9.0992250000000006</v>
      </c>
      <c r="Z1030" s="8" t="str">
        <f t="shared" si="81"/>
        <v>High</v>
      </c>
      <c r="AA1030" s="12">
        <f>DATE(YEAR(Table1[[#This Row],[OrderDate]]),MONTH(Table1[[#This Row],[OrderDate]]),1)</f>
        <v>45505</v>
      </c>
    </row>
    <row r="1031" spans="1:27" x14ac:dyDescent="0.3">
      <c r="A1031" s="3">
        <v>45483</v>
      </c>
      <c r="B1031" t="s">
        <v>13</v>
      </c>
      <c r="C1031" t="s">
        <v>29</v>
      </c>
      <c r="D1031" t="str">
        <f>TRIM(Table1[[#This Row],[Product]])</f>
        <v>Chair</v>
      </c>
      <c r="E1031" t="str">
        <f>PROPER(Table1[[#This Row],[Column1]])</f>
        <v>Chair</v>
      </c>
      <c r="F1031" s="8" t="str">
        <f t="shared" si="80"/>
        <v>Furniture</v>
      </c>
      <c r="G1031" s="5">
        <v>20</v>
      </c>
      <c r="H1031">
        <v>150.16</v>
      </c>
      <c r="I1031" t="s">
        <v>78</v>
      </c>
      <c r="J1031" t="s">
        <v>58</v>
      </c>
      <c r="K1031" s="7">
        <v>0</v>
      </c>
      <c r="L1031" t="s">
        <v>19</v>
      </c>
      <c r="M1031" s="5">
        <v>3003.2</v>
      </c>
      <c r="N1031" t="s">
        <v>88</v>
      </c>
      <c r="P1031" s="5">
        <v>0</v>
      </c>
      <c r="Q1031" t="s">
        <v>2072</v>
      </c>
      <c r="R1031" t="s">
        <v>2073</v>
      </c>
      <c r="S1031" s="5">
        <v>41.66</v>
      </c>
      <c r="T1031" s="3">
        <v>45483</v>
      </c>
      <c r="U1031" s="3">
        <v>45485</v>
      </c>
      <c r="V1031" t="s">
        <v>70</v>
      </c>
      <c r="W1031">
        <f t="shared" si="82"/>
        <v>3003.2</v>
      </c>
      <c r="X1031">
        <f t="shared" si="83"/>
        <v>3003.2</v>
      </c>
      <c r="Y1031">
        <f t="shared" si="84"/>
        <v>0</v>
      </c>
      <c r="Z1031" s="8" t="str">
        <f t="shared" si="81"/>
        <v>No Discount</v>
      </c>
      <c r="AA1031" s="12">
        <f>DATE(YEAR(Table1[[#This Row],[OrderDate]]),MONTH(Table1[[#This Row],[OrderDate]]),1)</f>
        <v>45474</v>
      </c>
    </row>
    <row r="1032" spans="1:27" x14ac:dyDescent="0.3">
      <c r="A1032" s="3">
        <v>45458</v>
      </c>
      <c r="B1032" t="s">
        <v>9</v>
      </c>
      <c r="C1032" t="s">
        <v>29</v>
      </c>
      <c r="D1032" t="str">
        <f>TRIM(Table1[[#This Row],[Product]])</f>
        <v>Chair</v>
      </c>
      <c r="E1032" t="str">
        <f>PROPER(Table1[[#This Row],[Column1]])</f>
        <v>Chair</v>
      </c>
      <c r="F1032" s="8" t="str">
        <f t="shared" si="80"/>
        <v>Furniture</v>
      </c>
      <c r="G1032" s="5">
        <v>1</v>
      </c>
      <c r="H1032">
        <v>394.41</v>
      </c>
      <c r="I1032" t="s">
        <v>57</v>
      </c>
      <c r="J1032" t="s">
        <v>65</v>
      </c>
      <c r="K1032" s="7">
        <v>0.1</v>
      </c>
      <c r="L1032" t="s">
        <v>18</v>
      </c>
      <c r="M1032" s="5">
        <v>354.96900000000011</v>
      </c>
      <c r="N1032" t="s">
        <v>66</v>
      </c>
      <c r="O1032" t="s">
        <v>71</v>
      </c>
      <c r="P1032" s="5">
        <v>0</v>
      </c>
      <c r="Q1032" t="s">
        <v>2074</v>
      </c>
      <c r="R1032" t="s">
        <v>2075</v>
      </c>
      <c r="S1032" s="5">
        <v>6.37</v>
      </c>
      <c r="T1032" s="3">
        <v>45458</v>
      </c>
      <c r="U1032" s="3">
        <v>45463</v>
      </c>
      <c r="V1032" t="s">
        <v>63</v>
      </c>
      <c r="W1032">
        <f t="shared" si="82"/>
        <v>319.47210000000013</v>
      </c>
      <c r="X1032">
        <f t="shared" si="83"/>
        <v>394.41</v>
      </c>
      <c r="Y1032">
        <f t="shared" si="84"/>
        <v>74.9378999999999</v>
      </c>
      <c r="Z1032" s="8" t="str">
        <f t="shared" si="81"/>
        <v>Medium</v>
      </c>
      <c r="AA1032" s="12">
        <f>DATE(YEAR(Table1[[#This Row],[OrderDate]]),MONTH(Table1[[#This Row],[OrderDate]]),1)</f>
        <v>45444</v>
      </c>
    </row>
    <row r="1033" spans="1:27" x14ac:dyDescent="0.3">
      <c r="A1033" s="3">
        <v>45434</v>
      </c>
      <c r="B1033" t="s">
        <v>9</v>
      </c>
      <c r="C1033" t="s">
        <v>32</v>
      </c>
      <c r="D1033" t="str">
        <f>TRIM(Table1[[#This Row],[Product]])</f>
        <v>Monitor</v>
      </c>
      <c r="E1033" t="str">
        <f>PROPER(Table1[[#This Row],[Column1]])</f>
        <v>Monitor</v>
      </c>
      <c r="F1033" s="8" t="str">
        <f t="shared" si="80"/>
        <v>Technology</v>
      </c>
      <c r="G1033" s="5">
        <v>6</v>
      </c>
      <c r="H1033">
        <v>535.38</v>
      </c>
      <c r="I1033" t="s">
        <v>78</v>
      </c>
      <c r="J1033" t="s">
        <v>58</v>
      </c>
      <c r="K1033" s="7">
        <v>0.15</v>
      </c>
      <c r="L1033" t="s">
        <v>18</v>
      </c>
      <c r="M1033" s="5">
        <v>2730.4380000000001</v>
      </c>
      <c r="N1033" t="s">
        <v>59</v>
      </c>
      <c r="P1033" s="5">
        <v>0</v>
      </c>
      <c r="Q1033" t="s">
        <v>2076</v>
      </c>
      <c r="R1033" t="s">
        <v>2077</v>
      </c>
      <c r="S1033" s="5">
        <v>48.66</v>
      </c>
      <c r="T1033" s="3">
        <v>45434</v>
      </c>
      <c r="U1033" s="3">
        <v>45441</v>
      </c>
      <c r="V1033" t="s">
        <v>63</v>
      </c>
      <c r="W1033">
        <f t="shared" si="82"/>
        <v>2320.8723</v>
      </c>
      <c r="X1033">
        <f t="shared" si="83"/>
        <v>3212.2799999999997</v>
      </c>
      <c r="Y1033">
        <f t="shared" si="84"/>
        <v>891.40769999999975</v>
      </c>
      <c r="Z1033" s="8" t="str">
        <f t="shared" si="81"/>
        <v>High</v>
      </c>
      <c r="AA1033" s="12">
        <f>DATE(YEAR(Table1[[#This Row],[OrderDate]]),MONTH(Table1[[#This Row],[OrderDate]]),1)</f>
        <v>45413</v>
      </c>
    </row>
    <row r="1034" spans="1:27" x14ac:dyDescent="0.3">
      <c r="A1034" s="3">
        <v>45305</v>
      </c>
      <c r="B1034" t="s">
        <v>9</v>
      </c>
      <c r="C1034" t="s">
        <v>32</v>
      </c>
      <c r="D1034" t="str">
        <f>TRIM(Table1[[#This Row],[Product]])</f>
        <v>Monitor</v>
      </c>
      <c r="E1034" t="str">
        <f>PROPER(Table1[[#This Row],[Column1]])</f>
        <v>Monitor</v>
      </c>
      <c r="F1034" s="8" t="str">
        <f t="shared" si="80"/>
        <v>Technology</v>
      </c>
      <c r="G1034" s="5">
        <v>19</v>
      </c>
      <c r="H1034">
        <v>407.82</v>
      </c>
      <c r="I1034" t="s">
        <v>81</v>
      </c>
      <c r="J1034" t="s">
        <v>65</v>
      </c>
      <c r="K1034" s="7">
        <v>0.05</v>
      </c>
      <c r="L1034" t="s">
        <v>23</v>
      </c>
      <c r="M1034" s="5">
        <v>7361.1509999999998</v>
      </c>
      <c r="N1034" t="s">
        <v>66</v>
      </c>
      <c r="O1034" t="s">
        <v>60</v>
      </c>
      <c r="P1034" s="5">
        <v>0</v>
      </c>
      <c r="Q1034" t="s">
        <v>2078</v>
      </c>
      <c r="R1034" t="s">
        <v>2079</v>
      </c>
      <c r="S1034" s="5">
        <v>38.979999999999997</v>
      </c>
      <c r="T1034" s="3">
        <v>45305</v>
      </c>
      <c r="U1034" s="3">
        <v>45309</v>
      </c>
      <c r="V1034" t="s">
        <v>63</v>
      </c>
      <c r="W1034">
        <f t="shared" si="82"/>
        <v>6993.0934499999994</v>
      </c>
      <c r="X1034">
        <f t="shared" si="83"/>
        <v>7748.58</v>
      </c>
      <c r="Y1034">
        <f t="shared" si="84"/>
        <v>755.48655000000053</v>
      </c>
      <c r="Z1034" s="8" t="str">
        <f t="shared" si="81"/>
        <v>Medium</v>
      </c>
      <c r="AA1034" s="12">
        <f>DATE(YEAR(Table1[[#This Row],[OrderDate]]),MONTH(Table1[[#This Row],[OrderDate]]),1)</f>
        <v>45292</v>
      </c>
    </row>
    <row r="1035" spans="1:27" x14ac:dyDescent="0.3">
      <c r="A1035" s="3">
        <v>45596</v>
      </c>
      <c r="B1035" t="s">
        <v>11</v>
      </c>
      <c r="C1035" t="s">
        <v>35</v>
      </c>
      <c r="D1035" t="str">
        <f>TRIM(Table1[[#This Row],[Product]])</f>
        <v>Tablet</v>
      </c>
      <c r="E1035" t="str">
        <f>PROPER(Table1[[#This Row],[Column1]])</f>
        <v>Tablet</v>
      </c>
      <c r="F1035" s="8" t="str">
        <f t="shared" si="80"/>
        <v>Technology</v>
      </c>
      <c r="G1035" s="5">
        <v>16</v>
      </c>
      <c r="H1035">
        <v>120.83</v>
      </c>
      <c r="I1035" t="s">
        <v>57</v>
      </c>
      <c r="J1035" t="s">
        <v>65</v>
      </c>
      <c r="K1035" s="7">
        <v>0.05</v>
      </c>
      <c r="L1035" t="s">
        <v>21</v>
      </c>
      <c r="M1035" s="5">
        <v>1836.616</v>
      </c>
      <c r="N1035" t="s">
        <v>88</v>
      </c>
      <c r="O1035" t="s">
        <v>71</v>
      </c>
      <c r="P1035" s="5">
        <v>1</v>
      </c>
      <c r="Q1035" t="s">
        <v>2080</v>
      </c>
      <c r="R1035" t="s">
        <v>914</v>
      </c>
      <c r="S1035" s="5">
        <v>39.64</v>
      </c>
      <c r="T1035" s="3">
        <v>45596</v>
      </c>
      <c r="U1035" s="3">
        <v>45598</v>
      </c>
      <c r="V1035" t="s">
        <v>74</v>
      </c>
      <c r="W1035">
        <f t="shared" si="82"/>
        <v>1744.7851999999998</v>
      </c>
      <c r="X1035">
        <f t="shared" si="83"/>
        <v>1933.28</v>
      </c>
      <c r="Y1035">
        <f t="shared" si="84"/>
        <v>188.49480000000017</v>
      </c>
      <c r="Z1035" s="8" t="str">
        <f t="shared" si="81"/>
        <v>Medium</v>
      </c>
      <c r="AA1035" s="12">
        <f>DATE(YEAR(Table1[[#This Row],[OrderDate]]),MONTH(Table1[[#This Row],[OrderDate]]),1)</f>
        <v>45566</v>
      </c>
    </row>
    <row r="1036" spans="1:27" x14ac:dyDescent="0.3">
      <c r="A1036" s="3">
        <v>45405</v>
      </c>
      <c r="B1036" t="s">
        <v>16</v>
      </c>
      <c r="C1036" t="s">
        <v>34</v>
      </c>
      <c r="D1036" t="str">
        <f>TRIM(Table1[[#This Row],[Product]])</f>
        <v>Printer</v>
      </c>
      <c r="E1036" t="str">
        <f>PROPER(Table1[[#This Row],[Column1]])</f>
        <v>Printer</v>
      </c>
      <c r="F1036" s="8" t="str">
        <f t="shared" si="80"/>
        <v>Office Supplies</v>
      </c>
      <c r="G1036" s="5">
        <v>7</v>
      </c>
      <c r="H1036">
        <v>39.53</v>
      </c>
      <c r="I1036" t="s">
        <v>81</v>
      </c>
      <c r="J1036" t="s">
        <v>65</v>
      </c>
      <c r="K1036" s="7">
        <v>0.1</v>
      </c>
      <c r="L1036" t="s">
        <v>21</v>
      </c>
      <c r="M1036" s="5">
        <v>249.03899999999999</v>
      </c>
      <c r="N1036" t="s">
        <v>85</v>
      </c>
      <c r="O1036" t="s">
        <v>71</v>
      </c>
      <c r="P1036" s="5">
        <v>0</v>
      </c>
      <c r="Q1036" t="s">
        <v>2081</v>
      </c>
      <c r="R1036" t="s">
        <v>2082</v>
      </c>
      <c r="S1036" s="5">
        <v>18.16</v>
      </c>
      <c r="T1036" s="3">
        <v>45405</v>
      </c>
      <c r="U1036" s="3">
        <v>45411</v>
      </c>
      <c r="V1036" t="s">
        <v>95</v>
      </c>
      <c r="W1036">
        <f t="shared" si="82"/>
        <v>224.13509999999999</v>
      </c>
      <c r="X1036">
        <f t="shared" si="83"/>
        <v>276.71000000000004</v>
      </c>
      <c r="Y1036">
        <f t="shared" si="84"/>
        <v>52.574900000000042</v>
      </c>
      <c r="Z1036" s="8" t="str">
        <f t="shared" si="81"/>
        <v>Medium</v>
      </c>
      <c r="AA1036" s="12">
        <f>DATE(YEAR(Table1[[#This Row],[OrderDate]]),MONTH(Table1[[#This Row],[OrderDate]]),1)</f>
        <v>45383</v>
      </c>
    </row>
    <row r="1037" spans="1:27" x14ac:dyDescent="0.3">
      <c r="A1037" s="3">
        <v>45091</v>
      </c>
      <c r="B1037" t="s">
        <v>13</v>
      </c>
      <c r="C1037" t="s">
        <v>35</v>
      </c>
      <c r="D1037" t="str">
        <f>TRIM(Table1[[#This Row],[Product]])</f>
        <v>Tablet</v>
      </c>
      <c r="E1037" t="str">
        <f>PROPER(Table1[[#This Row],[Column1]])</f>
        <v>Tablet</v>
      </c>
      <c r="F1037" s="8" t="str">
        <f t="shared" si="80"/>
        <v>Technology</v>
      </c>
      <c r="G1037" s="5">
        <v>2</v>
      </c>
      <c r="H1037">
        <v>224.08</v>
      </c>
      <c r="I1037" t="s">
        <v>64</v>
      </c>
      <c r="J1037" t="s">
        <v>65</v>
      </c>
      <c r="K1037" s="7">
        <v>0.05</v>
      </c>
      <c r="L1037" t="s">
        <v>27</v>
      </c>
      <c r="M1037" s="5">
        <v>425.75200000000001</v>
      </c>
      <c r="N1037" t="s">
        <v>82</v>
      </c>
      <c r="O1037" t="s">
        <v>71</v>
      </c>
      <c r="P1037" s="5">
        <v>0</v>
      </c>
      <c r="Q1037" t="s">
        <v>2083</v>
      </c>
      <c r="R1037" t="s">
        <v>2084</v>
      </c>
      <c r="S1037" s="5">
        <v>47.35</v>
      </c>
      <c r="T1037" s="3">
        <v>45091</v>
      </c>
      <c r="U1037" s="3">
        <v>45097</v>
      </c>
      <c r="V1037" t="s">
        <v>70</v>
      </c>
      <c r="W1037">
        <f t="shared" si="82"/>
        <v>404.46440000000001</v>
      </c>
      <c r="X1037">
        <f t="shared" si="83"/>
        <v>448.16</v>
      </c>
      <c r="Y1037">
        <f t="shared" si="84"/>
        <v>43.695600000000013</v>
      </c>
      <c r="Z1037" s="8" t="str">
        <f t="shared" si="81"/>
        <v>Medium</v>
      </c>
      <c r="AA1037" s="12">
        <f>DATE(YEAR(Table1[[#This Row],[OrderDate]]),MONTH(Table1[[#This Row],[OrderDate]]),1)</f>
        <v>45078</v>
      </c>
    </row>
    <row r="1038" spans="1:27" x14ac:dyDescent="0.3">
      <c r="A1038" s="3">
        <v>45350</v>
      </c>
      <c r="B1038" t="s">
        <v>11</v>
      </c>
      <c r="C1038" t="s">
        <v>34</v>
      </c>
      <c r="D1038" t="str">
        <f>TRIM(Table1[[#This Row],[Product]])</f>
        <v>Printer</v>
      </c>
      <c r="E1038" t="str">
        <f>PROPER(Table1[[#This Row],[Column1]])</f>
        <v>Printer</v>
      </c>
      <c r="F1038" s="8" t="str">
        <f t="shared" si="80"/>
        <v>Office Supplies</v>
      </c>
      <c r="G1038" s="5">
        <v>11</v>
      </c>
      <c r="H1038">
        <v>382.08</v>
      </c>
      <c r="I1038" t="s">
        <v>81</v>
      </c>
      <c r="J1038" t="s">
        <v>58</v>
      </c>
      <c r="K1038" s="7">
        <v>0.05</v>
      </c>
      <c r="L1038" t="s">
        <v>27</v>
      </c>
      <c r="M1038" s="5">
        <v>3992.7359999999999</v>
      </c>
      <c r="N1038" t="s">
        <v>88</v>
      </c>
      <c r="O1038" t="s">
        <v>71</v>
      </c>
      <c r="P1038" s="5">
        <v>0</v>
      </c>
      <c r="Q1038" t="s">
        <v>2085</v>
      </c>
      <c r="R1038" t="s">
        <v>2086</v>
      </c>
      <c r="S1038" s="5">
        <v>5.95</v>
      </c>
      <c r="T1038" s="3">
        <v>45350</v>
      </c>
      <c r="U1038" s="3">
        <v>45353</v>
      </c>
      <c r="V1038" t="s">
        <v>74</v>
      </c>
      <c r="W1038">
        <f t="shared" si="82"/>
        <v>3793.0991999999997</v>
      </c>
      <c r="X1038">
        <f t="shared" si="83"/>
        <v>4202.88</v>
      </c>
      <c r="Y1038">
        <f t="shared" si="84"/>
        <v>409.78080000000045</v>
      </c>
      <c r="Z1038" s="8" t="str">
        <f t="shared" si="81"/>
        <v>Medium</v>
      </c>
      <c r="AA1038" s="12">
        <f>DATE(YEAR(Table1[[#This Row],[OrderDate]]),MONTH(Table1[[#This Row],[OrderDate]]),1)</f>
        <v>45323</v>
      </c>
    </row>
    <row r="1039" spans="1:27" x14ac:dyDescent="0.3">
      <c r="A1039" s="3">
        <v>45462</v>
      </c>
      <c r="B1039" t="s">
        <v>13</v>
      </c>
      <c r="C1039" t="s">
        <v>34</v>
      </c>
      <c r="D1039" t="str">
        <f>TRIM(Table1[[#This Row],[Product]])</f>
        <v>Printer</v>
      </c>
      <c r="E1039" t="str">
        <f>PROPER(Table1[[#This Row],[Column1]])</f>
        <v>Printer</v>
      </c>
      <c r="F1039" s="8" t="str">
        <f t="shared" si="80"/>
        <v>Office Supplies</v>
      </c>
      <c r="G1039" s="5">
        <v>9</v>
      </c>
      <c r="H1039">
        <v>88.49</v>
      </c>
      <c r="I1039" t="s">
        <v>81</v>
      </c>
      <c r="J1039" t="s">
        <v>58</v>
      </c>
      <c r="K1039" s="7">
        <v>0.05</v>
      </c>
      <c r="L1039" t="s">
        <v>23</v>
      </c>
      <c r="M1039" s="5">
        <v>756.58949999999993</v>
      </c>
      <c r="N1039" t="s">
        <v>59</v>
      </c>
      <c r="P1039" s="5">
        <v>0</v>
      </c>
      <c r="Q1039" t="s">
        <v>2087</v>
      </c>
      <c r="R1039" t="s">
        <v>2088</v>
      </c>
      <c r="S1039" s="5">
        <v>35.6</v>
      </c>
      <c r="T1039" s="3">
        <v>45462</v>
      </c>
      <c r="U1039" s="3">
        <v>45469</v>
      </c>
      <c r="V1039" t="s">
        <v>70</v>
      </c>
      <c r="W1039">
        <f t="shared" si="82"/>
        <v>718.76002499999993</v>
      </c>
      <c r="X1039">
        <f t="shared" si="83"/>
        <v>796.41</v>
      </c>
      <c r="Y1039">
        <f t="shared" si="84"/>
        <v>77.64997500000004</v>
      </c>
      <c r="Z1039" s="8" t="str">
        <f t="shared" si="81"/>
        <v>Medium</v>
      </c>
      <c r="AA1039" s="12">
        <f>DATE(YEAR(Table1[[#This Row],[OrderDate]]),MONTH(Table1[[#This Row],[OrderDate]]),1)</f>
        <v>45444</v>
      </c>
    </row>
    <row r="1040" spans="1:27" x14ac:dyDescent="0.3">
      <c r="A1040" s="3">
        <v>45003</v>
      </c>
      <c r="B1040" t="s">
        <v>7</v>
      </c>
      <c r="C1040" t="s">
        <v>35</v>
      </c>
      <c r="D1040" t="str">
        <f>TRIM(Table1[[#This Row],[Product]])</f>
        <v>Tablet</v>
      </c>
      <c r="E1040" t="str">
        <f>PROPER(Table1[[#This Row],[Column1]])</f>
        <v>Tablet</v>
      </c>
      <c r="F1040" s="8" t="str">
        <f t="shared" si="80"/>
        <v>Technology</v>
      </c>
      <c r="G1040" s="5">
        <v>20</v>
      </c>
      <c r="H1040">
        <v>139.1</v>
      </c>
      <c r="I1040" t="s">
        <v>78</v>
      </c>
      <c r="J1040" t="s">
        <v>58</v>
      </c>
      <c r="K1040" s="7">
        <v>0.05</v>
      </c>
      <c r="L1040" t="s">
        <v>21</v>
      </c>
      <c r="M1040" s="5">
        <v>2642.9</v>
      </c>
      <c r="N1040" t="s">
        <v>59</v>
      </c>
      <c r="O1040" t="s">
        <v>60</v>
      </c>
      <c r="P1040" s="5">
        <v>0</v>
      </c>
      <c r="Q1040" t="s">
        <v>2089</v>
      </c>
      <c r="R1040" t="s">
        <v>2090</v>
      </c>
      <c r="S1040" s="5">
        <v>30.22</v>
      </c>
      <c r="T1040" s="3">
        <v>45003</v>
      </c>
      <c r="U1040" s="3">
        <v>45005</v>
      </c>
      <c r="V1040" t="s">
        <v>77</v>
      </c>
      <c r="W1040">
        <f t="shared" si="82"/>
        <v>2510.7550000000001</v>
      </c>
      <c r="X1040">
        <f t="shared" si="83"/>
        <v>2782</v>
      </c>
      <c r="Y1040">
        <f t="shared" si="84"/>
        <v>271.24499999999989</v>
      </c>
      <c r="Z1040" s="8" t="str">
        <f t="shared" si="81"/>
        <v>Medium</v>
      </c>
      <c r="AA1040" s="12">
        <f>DATE(YEAR(Table1[[#This Row],[OrderDate]]),MONTH(Table1[[#This Row],[OrderDate]]),1)</f>
        <v>44986</v>
      </c>
    </row>
    <row r="1041" spans="1:27" x14ac:dyDescent="0.3">
      <c r="A1041" s="3">
        <v>45006</v>
      </c>
      <c r="B1041" t="s">
        <v>16</v>
      </c>
      <c r="C1041" t="s">
        <v>30</v>
      </c>
      <c r="D1041" t="str">
        <f>TRIM(Table1[[#This Row],[Product]])</f>
        <v>Desk</v>
      </c>
      <c r="E1041" t="str">
        <f>PROPER(Table1[[#This Row],[Column1]])</f>
        <v>Desk</v>
      </c>
      <c r="F1041" s="8" t="str">
        <f t="shared" si="80"/>
        <v>Furniture</v>
      </c>
      <c r="G1041" s="5">
        <v>19</v>
      </c>
      <c r="H1041">
        <v>322.35000000000002</v>
      </c>
      <c r="I1041" t="s">
        <v>81</v>
      </c>
      <c r="J1041" t="s">
        <v>58</v>
      </c>
      <c r="K1041" s="7">
        <v>0.1</v>
      </c>
      <c r="L1041" t="s">
        <v>18</v>
      </c>
      <c r="M1041" s="5">
        <v>5512.1850000000004</v>
      </c>
      <c r="N1041" t="s">
        <v>85</v>
      </c>
      <c r="O1041" t="s">
        <v>71</v>
      </c>
      <c r="P1041" s="5">
        <v>0</v>
      </c>
      <c r="Q1041" t="s">
        <v>2091</v>
      </c>
      <c r="R1041" t="s">
        <v>2092</v>
      </c>
      <c r="S1041" s="5">
        <v>30.06</v>
      </c>
      <c r="T1041" s="3">
        <v>45006</v>
      </c>
      <c r="U1041" s="3">
        <v>45016</v>
      </c>
      <c r="V1041" t="s">
        <v>95</v>
      </c>
      <c r="W1041">
        <f t="shared" si="82"/>
        <v>4960.9665000000005</v>
      </c>
      <c r="X1041">
        <f t="shared" si="83"/>
        <v>6124.6500000000005</v>
      </c>
      <c r="Y1041">
        <f t="shared" si="84"/>
        <v>1163.6835000000001</v>
      </c>
      <c r="Z1041" s="8" t="str">
        <f t="shared" si="81"/>
        <v>Medium</v>
      </c>
      <c r="AA1041" s="12">
        <f>DATE(YEAR(Table1[[#This Row],[OrderDate]]),MONTH(Table1[[#This Row],[OrderDate]]),1)</f>
        <v>44986</v>
      </c>
    </row>
    <row r="1042" spans="1:27" x14ac:dyDescent="0.3">
      <c r="A1042" s="3">
        <v>45440</v>
      </c>
      <c r="B1042" t="s">
        <v>9</v>
      </c>
      <c r="C1042" t="s">
        <v>34</v>
      </c>
      <c r="D1042" t="str">
        <f>TRIM(Table1[[#This Row],[Product]])</f>
        <v>Printer</v>
      </c>
      <c r="E1042" t="str">
        <f>PROPER(Table1[[#This Row],[Column1]])</f>
        <v>Printer</v>
      </c>
      <c r="F1042" s="8" t="str">
        <f t="shared" si="80"/>
        <v>Office Supplies</v>
      </c>
      <c r="G1042" s="5">
        <v>16</v>
      </c>
      <c r="H1042">
        <v>334.55</v>
      </c>
      <c r="I1042" t="s">
        <v>57</v>
      </c>
      <c r="J1042" t="s">
        <v>58</v>
      </c>
      <c r="K1042" s="7">
        <v>0.1</v>
      </c>
      <c r="L1042" t="s">
        <v>25</v>
      </c>
      <c r="M1042" s="5">
        <v>4817.5200000000004</v>
      </c>
      <c r="N1042" t="s">
        <v>82</v>
      </c>
      <c r="O1042" t="s">
        <v>67</v>
      </c>
      <c r="P1042" s="5">
        <v>0</v>
      </c>
      <c r="Q1042" t="s">
        <v>2093</v>
      </c>
      <c r="R1042" t="s">
        <v>2094</v>
      </c>
      <c r="S1042" s="5">
        <v>37.42</v>
      </c>
      <c r="T1042" s="3">
        <v>45440</v>
      </c>
      <c r="U1042" s="3">
        <v>45444</v>
      </c>
      <c r="V1042" t="s">
        <v>63</v>
      </c>
      <c r="W1042">
        <f t="shared" si="82"/>
        <v>4335.7680000000009</v>
      </c>
      <c r="X1042">
        <f t="shared" si="83"/>
        <v>5352.8</v>
      </c>
      <c r="Y1042">
        <f t="shared" si="84"/>
        <v>1017.0319999999992</v>
      </c>
      <c r="Z1042" s="8" t="str">
        <f t="shared" si="81"/>
        <v>Medium</v>
      </c>
      <c r="AA1042" s="12">
        <f>DATE(YEAR(Table1[[#This Row],[OrderDate]]),MONTH(Table1[[#This Row],[OrderDate]]),1)</f>
        <v>45413</v>
      </c>
    </row>
    <row r="1043" spans="1:27" x14ac:dyDescent="0.3">
      <c r="A1043" s="3">
        <v>45012</v>
      </c>
      <c r="B1043" t="s">
        <v>16</v>
      </c>
      <c r="C1043" t="s">
        <v>30</v>
      </c>
      <c r="D1043" t="str">
        <f>TRIM(Table1[[#This Row],[Product]])</f>
        <v>Desk</v>
      </c>
      <c r="E1043" t="str">
        <f>PROPER(Table1[[#This Row],[Column1]])</f>
        <v>Desk</v>
      </c>
      <c r="F1043" s="8" t="str">
        <f t="shared" si="80"/>
        <v>Furniture</v>
      </c>
      <c r="G1043" s="5">
        <v>20</v>
      </c>
      <c r="H1043">
        <v>332.48</v>
      </c>
      <c r="I1043" t="s">
        <v>57</v>
      </c>
      <c r="J1043" t="s">
        <v>58</v>
      </c>
      <c r="K1043" s="7">
        <v>0</v>
      </c>
      <c r="L1043" t="s">
        <v>25</v>
      </c>
      <c r="M1043" s="5">
        <v>6649.6</v>
      </c>
      <c r="N1043" t="s">
        <v>59</v>
      </c>
      <c r="O1043" t="s">
        <v>67</v>
      </c>
      <c r="P1043" s="5">
        <v>1</v>
      </c>
      <c r="Q1043" t="s">
        <v>2095</v>
      </c>
      <c r="R1043" t="s">
        <v>2096</v>
      </c>
      <c r="S1043" s="5">
        <v>7.79</v>
      </c>
      <c r="T1043" s="3">
        <v>45012</v>
      </c>
      <c r="U1043" s="3">
        <v>45015</v>
      </c>
      <c r="V1043" t="s">
        <v>95</v>
      </c>
      <c r="W1043">
        <f t="shared" si="82"/>
        <v>6649.6</v>
      </c>
      <c r="X1043">
        <f t="shared" si="83"/>
        <v>6649.6</v>
      </c>
      <c r="Y1043">
        <f t="shared" si="84"/>
        <v>0</v>
      </c>
      <c r="Z1043" s="8" t="str">
        <f t="shared" si="81"/>
        <v>No Discount</v>
      </c>
      <c r="AA1043" s="12">
        <f>DATE(YEAR(Table1[[#This Row],[OrderDate]]),MONTH(Table1[[#This Row],[OrderDate]]),1)</f>
        <v>44986</v>
      </c>
    </row>
    <row r="1044" spans="1:27" x14ac:dyDescent="0.3">
      <c r="A1044" s="3">
        <v>45096</v>
      </c>
      <c r="B1044" t="s">
        <v>7</v>
      </c>
      <c r="C1044" t="s">
        <v>34</v>
      </c>
      <c r="D1044" t="str">
        <f>TRIM(Table1[[#This Row],[Product]])</f>
        <v>Printer</v>
      </c>
      <c r="E1044" t="str">
        <f>PROPER(Table1[[#This Row],[Column1]])</f>
        <v>Printer</v>
      </c>
      <c r="F1044" s="8" t="str">
        <f t="shared" si="80"/>
        <v>Office Supplies</v>
      </c>
      <c r="G1044" s="5">
        <v>1</v>
      </c>
      <c r="H1044">
        <v>123.4</v>
      </c>
      <c r="I1044" t="s">
        <v>64</v>
      </c>
      <c r="J1044" t="s">
        <v>65</v>
      </c>
      <c r="K1044" s="7">
        <v>0</v>
      </c>
      <c r="L1044" t="s">
        <v>25</v>
      </c>
      <c r="M1044" s="5">
        <v>123.4</v>
      </c>
      <c r="N1044" t="s">
        <v>88</v>
      </c>
      <c r="P1044" s="5">
        <v>1</v>
      </c>
      <c r="Q1044" t="s">
        <v>2097</v>
      </c>
      <c r="R1044" t="s">
        <v>2098</v>
      </c>
      <c r="S1044" s="5">
        <v>12.63</v>
      </c>
      <c r="T1044" s="3">
        <v>45096</v>
      </c>
      <c r="U1044" s="3">
        <v>45102</v>
      </c>
      <c r="V1044" t="s">
        <v>77</v>
      </c>
      <c r="W1044">
        <f t="shared" si="82"/>
        <v>123.4</v>
      </c>
      <c r="X1044">
        <f t="shared" si="83"/>
        <v>123.4</v>
      </c>
      <c r="Y1044">
        <f t="shared" si="84"/>
        <v>0</v>
      </c>
      <c r="Z1044" s="8" t="str">
        <f t="shared" si="81"/>
        <v>No Discount</v>
      </c>
      <c r="AA1044" s="12">
        <f>DATE(YEAR(Table1[[#This Row],[OrderDate]]),MONTH(Table1[[#This Row],[OrderDate]]),1)</f>
        <v>45078</v>
      </c>
    </row>
    <row r="1045" spans="1:27" x14ac:dyDescent="0.3">
      <c r="A1045" s="3">
        <v>45230</v>
      </c>
      <c r="B1045" t="s">
        <v>13</v>
      </c>
      <c r="C1045" t="s">
        <v>31</v>
      </c>
      <c r="D1045" t="str">
        <f>TRIM(Table1[[#This Row],[Product]])</f>
        <v>Laptop</v>
      </c>
      <c r="E1045" t="str">
        <f>PROPER(Table1[[#This Row],[Column1]])</f>
        <v>Laptop</v>
      </c>
      <c r="F1045" s="8" t="str">
        <f t="shared" si="80"/>
        <v>Technology</v>
      </c>
      <c r="G1045" s="5">
        <v>3</v>
      </c>
      <c r="H1045">
        <v>88.26</v>
      </c>
      <c r="I1045" t="s">
        <v>81</v>
      </c>
      <c r="J1045" t="s">
        <v>58</v>
      </c>
      <c r="K1045" s="7">
        <v>0.05</v>
      </c>
      <c r="L1045" t="s">
        <v>19</v>
      </c>
      <c r="M1045" s="5">
        <v>251.541</v>
      </c>
      <c r="N1045" t="s">
        <v>85</v>
      </c>
      <c r="O1045" t="s">
        <v>60</v>
      </c>
      <c r="P1045" s="5">
        <v>0</v>
      </c>
      <c r="Q1045" t="s">
        <v>2099</v>
      </c>
      <c r="R1045" t="s">
        <v>2100</v>
      </c>
      <c r="S1045" s="5">
        <v>46.45</v>
      </c>
      <c r="T1045" s="3">
        <v>45230</v>
      </c>
      <c r="U1045" s="3">
        <v>45237</v>
      </c>
      <c r="V1045" t="s">
        <v>70</v>
      </c>
      <c r="W1045">
        <f t="shared" si="82"/>
        <v>238.96394999999998</v>
      </c>
      <c r="X1045">
        <f t="shared" si="83"/>
        <v>264.78000000000003</v>
      </c>
      <c r="Y1045">
        <f t="shared" si="84"/>
        <v>25.816050000000047</v>
      </c>
      <c r="Z1045" s="8" t="str">
        <f t="shared" si="81"/>
        <v>Medium</v>
      </c>
      <c r="AA1045" s="12">
        <f>DATE(YEAR(Table1[[#This Row],[OrderDate]]),MONTH(Table1[[#This Row],[OrderDate]]),1)</f>
        <v>45200</v>
      </c>
    </row>
    <row r="1046" spans="1:27" x14ac:dyDescent="0.3">
      <c r="A1046" s="3">
        <v>45118</v>
      </c>
      <c r="B1046" t="s">
        <v>16</v>
      </c>
      <c r="C1046" t="s">
        <v>33</v>
      </c>
      <c r="D1046" t="str">
        <f>TRIM(Table1[[#This Row],[Product]])</f>
        <v>Phone</v>
      </c>
      <c r="E1046" t="str">
        <f>PROPER(Table1[[#This Row],[Column1]])</f>
        <v>Phone</v>
      </c>
      <c r="F1046" s="8" t="str">
        <f t="shared" si="80"/>
        <v>Technology</v>
      </c>
      <c r="G1046" s="5">
        <v>13</v>
      </c>
      <c r="H1046">
        <v>50.51</v>
      </c>
      <c r="I1046" t="s">
        <v>81</v>
      </c>
      <c r="J1046" t="s">
        <v>58</v>
      </c>
      <c r="K1046" s="7">
        <v>0.1</v>
      </c>
      <c r="L1046" t="s">
        <v>18</v>
      </c>
      <c r="M1046" s="5">
        <v>590.96699999999998</v>
      </c>
      <c r="N1046" t="s">
        <v>85</v>
      </c>
      <c r="O1046" t="s">
        <v>71</v>
      </c>
      <c r="P1046" s="5">
        <v>0</v>
      </c>
      <c r="Q1046" t="s">
        <v>2101</v>
      </c>
      <c r="R1046" t="s">
        <v>2102</v>
      </c>
      <c r="S1046" s="5">
        <v>40.57</v>
      </c>
      <c r="T1046" s="3">
        <v>45118</v>
      </c>
      <c r="U1046" s="3">
        <v>45125</v>
      </c>
      <c r="V1046" t="s">
        <v>95</v>
      </c>
      <c r="W1046">
        <f t="shared" si="82"/>
        <v>531.87030000000004</v>
      </c>
      <c r="X1046">
        <f t="shared" si="83"/>
        <v>656.63</v>
      </c>
      <c r="Y1046">
        <f t="shared" si="84"/>
        <v>124.75969999999995</v>
      </c>
      <c r="Z1046" s="8" t="str">
        <f t="shared" si="81"/>
        <v>Medium</v>
      </c>
      <c r="AA1046" s="12">
        <f>DATE(YEAR(Table1[[#This Row],[OrderDate]]),MONTH(Table1[[#This Row],[OrderDate]]),1)</f>
        <v>45108</v>
      </c>
    </row>
    <row r="1047" spans="1:27" x14ac:dyDescent="0.3">
      <c r="A1047" s="3">
        <v>45065</v>
      </c>
      <c r="B1047" t="s">
        <v>13</v>
      </c>
      <c r="C1047" t="s">
        <v>32</v>
      </c>
      <c r="D1047" t="str">
        <f>TRIM(Table1[[#This Row],[Product]])</f>
        <v>Monitor</v>
      </c>
      <c r="E1047" t="str">
        <f>PROPER(Table1[[#This Row],[Column1]])</f>
        <v>Monitor</v>
      </c>
      <c r="F1047" s="8" t="str">
        <f t="shared" si="80"/>
        <v>Technology</v>
      </c>
      <c r="G1047" s="5">
        <v>11</v>
      </c>
      <c r="H1047">
        <v>237.99</v>
      </c>
      <c r="I1047" t="s">
        <v>81</v>
      </c>
      <c r="J1047" t="s">
        <v>58</v>
      </c>
      <c r="K1047" s="7">
        <v>0.05</v>
      </c>
      <c r="L1047" t="s">
        <v>19</v>
      </c>
      <c r="M1047" s="5">
        <v>2486.9955</v>
      </c>
      <c r="N1047" t="s">
        <v>85</v>
      </c>
      <c r="O1047" t="s">
        <v>60</v>
      </c>
      <c r="P1047" s="5">
        <v>0</v>
      </c>
      <c r="Q1047" t="s">
        <v>2103</v>
      </c>
      <c r="R1047" t="s">
        <v>2104</v>
      </c>
      <c r="S1047" s="5">
        <v>44.7</v>
      </c>
      <c r="T1047" s="3">
        <v>45065</v>
      </c>
      <c r="U1047" s="3">
        <v>45074</v>
      </c>
      <c r="V1047" t="s">
        <v>70</v>
      </c>
      <c r="W1047">
        <f t="shared" si="82"/>
        <v>2362.6457249999999</v>
      </c>
      <c r="X1047">
        <f t="shared" si="83"/>
        <v>2617.8900000000003</v>
      </c>
      <c r="Y1047">
        <f t="shared" si="84"/>
        <v>255.24427500000047</v>
      </c>
      <c r="Z1047" s="8" t="str">
        <f t="shared" si="81"/>
        <v>Medium</v>
      </c>
      <c r="AA1047" s="12">
        <f>DATE(YEAR(Table1[[#This Row],[OrderDate]]),MONTH(Table1[[#This Row],[OrderDate]]),1)</f>
        <v>45047</v>
      </c>
    </row>
    <row r="1048" spans="1:27" x14ac:dyDescent="0.3">
      <c r="A1048" s="3">
        <v>45143</v>
      </c>
      <c r="B1048" t="s">
        <v>11</v>
      </c>
      <c r="C1048" t="s">
        <v>29</v>
      </c>
      <c r="D1048" t="str">
        <f>TRIM(Table1[[#This Row],[Product]])</f>
        <v>Chair</v>
      </c>
      <c r="E1048" t="str">
        <f>PROPER(Table1[[#This Row],[Column1]])</f>
        <v>Chair</v>
      </c>
      <c r="F1048" s="8" t="str">
        <f t="shared" si="80"/>
        <v>Furniture</v>
      </c>
      <c r="G1048" s="5">
        <v>7</v>
      </c>
      <c r="H1048">
        <v>294.95</v>
      </c>
      <c r="I1048" t="s">
        <v>81</v>
      </c>
      <c r="J1048" t="s">
        <v>58</v>
      </c>
      <c r="K1048" s="7">
        <v>0</v>
      </c>
      <c r="L1048" t="s">
        <v>27</v>
      </c>
      <c r="M1048" s="5">
        <v>2064.65</v>
      </c>
      <c r="N1048" t="s">
        <v>59</v>
      </c>
      <c r="O1048" t="s">
        <v>60</v>
      </c>
      <c r="P1048" s="5">
        <v>0</v>
      </c>
      <c r="Q1048" t="s">
        <v>2105</v>
      </c>
      <c r="R1048" t="s">
        <v>2106</v>
      </c>
      <c r="S1048" s="5">
        <v>15.78</v>
      </c>
      <c r="T1048" s="3">
        <v>45143</v>
      </c>
      <c r="U1048" s="3">
        <v>45148</v>
      </c>
      <c r="V1048" t="s">
        <v>74</v>
      </c>
      <c r="W1048">
        <f t="shared" si="82"/>
        <v>2064.65</v>
      </c>
      <c r="X1048">
        <f t="shared" si="83"/>
        <v>2064.65</v>
      </c>
      <c r="Y1048">
        <f t="shared" si="84"/>
        <v>0</v>
      </c>
      <c r="Z1048" s="8" t="str">
        <f t="shared" si="81"/>
        <v>No Discount</v>
      </c>
      <c r="AA1048" s="12">
        <f>DATE(YEAR(Table1[[#This Row],[OrderDate]]),MONTH(Table1[[#This Row],[OrderDate]]),1)</f>
        <v>45139</v>
      </c>
    </row>
    <row r="1049" spans="1:27" x14ac:dyDescent="0.3">
      <c r="A1049" s="3">
        <v>45009</v>
      </c>
      <c r="B1049" t="s">
        <v>16</v>
      </c>
      <c r="C1049" t="s">
        <v>30</v>
      </c>
      <c r="D1049" t="str">
        <f>TRIM(Table1[[#This Row],[Product]])</f>
        <v>Desk</v>
      </c>
      <c r="E1049" t="str">
        <f>PROPER(Table1[[#This Row],[Column1]])</f>
        <v>Desk</v>
      </c>
      <c r="F1049" s="8" t="str">
        <f t="shared" si="80"/>
        <v>Furniture</v>
      </c>
      <c r="G1049" s="5">
        <v>8</v>
      </c>
      <c r="H1049">
        <v>384.3</v>
      </c>
      <c r="I1049" t="s">
        <v>78</v>
      </c>
      <c r="J1049" t="s">
        <v>58</v>
      </c>
      <c r="K1049" s="7">
        <v>0.1</v>
      </c>
      <c r="L1049" t="s">
        <v>27</v>
      </c>
      <c r="M1049" s="5">
        <v>2766.96</v>
      </c>
      <c r="N1049" t="s">
        <v>66</v>
      </c>
      <c r="O1049" t="s">
        <v>60</v>
      </c>
      <c r="P1049" s="5">
        <v>0</v>
      </c>
      <c r="Q1049" t="s">
        <v>2107</v>
      </c>
      <c r="R1049" t="s">
        <v>321</v>
      </c>
      <c r="S1049" s="5">
        <v>48.83</v>
      </c>
      <c r="T1049" s="3">
        <v>45009</v>
      </c>
      <c r="U1049" s="3">
        <v>45019</v>
      </c>
      <c r="V1049" t="s">
        <v>95</v>
      </c>
      <c r="W1049">
        <f t="shared" si="82"/>
        <v>2490.2640000000001</v>
      </c>
      <c r="X1049">
        <f t="shared" si="83"/>
        <v>3074.4</v>
      </c>
      <c r="Y1049">
        <f t="shared" si="84"/>
        <v>584.13599999999997</v>
      </c>
      <c r="Z1049" s="8" t="str">
        <f t="shared" si="81"/>
        <v>Medium</v>
      </c>
      <c r="AA1049" s="12">
        <f>DATE(YEAR(Table1[[#This Row],[OrderDate]]),MONTH(Table1[[#This Row],[OrderDate]]),1)</f>
        <v>44986</v>
      </c>
    </row>
    <row r="1050" spans="1:27" x14ac:dyDescent="0.3">
      <c r="A1050" s="3">
        <v>45702</v>
      </c>
      <c r="B1050" t="s">
        <v>16</v>
      </c>
      <c r="C1050" t="s">
        <v>32</v>
      </c>
      <c r="D1050" t="str">
        <f>TRIM(Table1[[#This Row],[Product]])</f>
        <v>Monitor</v>
      </c>
      <c r="E1050" t="str">
        <f>PROPER(Table1[[#This Row],[Column1]])</f>
        <v>Monitor</v>
      </c>
      <c r="F1050" s="8" t="str">
        <f t="shared" si="80"/>
        <v>Technology</v>
      </c>
      <c r="G1050" s="5">
        <v>1</v>
      </c>
      <c r="H1050">
        <v>378.35</v>
      </c>
      <c r="I1050" t="s">
        <v>78</v>
      </c>
      <c r="J1050" t="s">
        <v>58</v>
      </c>
      <c r="K1050" s="7">
        <v>0.05</v>
      </c>
      <c r="L1050" t="s">
        <v>23</v>
      </c>
      <c r="M1050" s="5">
        <v>359.4325</v>
      </c>
      <c r="N1050" t="s">
        <v>88</v>
      </c>
      <c r="O1050" t="s">
        <v>60</v>
      </c>
      <c r="P1050" s="5">
        <v>0</v>
      </c>
      <c r="Q1050" t="s">
        <v>2108</v>
      </c>
      <c r="R1050" t="s">
        <v>1057</v>
      </c>
      <c r="S1050" s="5">
        <v>20.97</v>
      </c>
      <c r="T1050" s="3">
        <v>45702</v>
      </c>
      <c r="U1050" s="3">
        <v>45705</v>
      </c>
      <c r="V1050" t="s">
        <v>95</v>
      </c>
      <c r="W1050">
        <f t="shared" si="82"/>
        <v>341.46087499999999</v>
      </c>
      <c r="X1050">
        <f t="shared" si="83"/>
        <v>378.35</v>
      </c>
      <c r="Y1050">
        <f t="shared" si="84"/>
        <v>36.889125000000035</v>
      </c>
      <c r="Z1050" s="8" t="str">
        <f t="shared" si="81"/>
        <v>Medium</v>
      </c>
      <c r="AA1050" s="12">
        <f>DATE(YEAR(Table1[[#This Row],[OrderDate]]),MONTH(Table1[[#This Row],[OrderDate]]),1)</f>
        <v>45689</v>
      </c>
    </row>
    <row r="1051" spans="1:27" x14ac:dyDescent="0.3">
      <c r="A1051" s="3">
        <v>45640</v>
      </c>
      <c r="B1051" t="s">
        <v>11</v>
      </c>
      <c r="C1051" t="s">
        <v>30</v>
      </c>
      <c r="D1051" t="str">
        <f>TRIM(Table1[[#This Row],[Product]])</f>
        <v>Desk</v>
      </c>
      <c r="E1051" t="str">
        <f>PROPER(Table1[[#This Row],[Column1]])</f>
        <v>Desk</v>
      </c>
      <c r="F1051" s="8" t="str">
        <f t="shared" si="80"/>
        <v>Furniture</v>
      </c>
      <c r="G1051" s="5">
        <v>1</v>
      </c>
      <c r="H1051">
        <v>461.35</v>
      </c>
      <c r="I1051" t="s">
        <v>81</v>
      </c>
      <c r="J1051" t="s">
        <v>65</v>
      </c>
      <c r="K1051" s="7">
        <v>0</v>
      </c>
      <c r="L1051" t="s">
        <v>19</v>
      </c>
      <c r="M1051" s="5">
        <v>461.35</v>
      </c>
      <c r="N1051" t="s">
        <v>85</v>
      </c>
      <c r="O1051" t="s">
        <v>60</v>
      </c>
      <c r="P1051" s="5">
        <v>1</v>
      </c>
      <c r="Q1051" t="s">
        <v>2109</v>
      </c>
      <c r="R1051" t="s">
        <v>2110</v>
      </c>
      <c r="S1051" s="5">
        <v>43.74</v>
      </c>
      <c r="T1051" s="3">
        <v>45640</v>
      </c>
      <c r="U1051" s="3">
        <v>45642</v>
      </c>
      <c r="V1051" t="s">
        <v>74</v>
      </c>
      <c r="W1051">
        <f t="shared" si="82"/>
        <v>461.35</v>
      </c>
      <c r="X1051">
        <f t="shared" si="83"/>
        <v>461.35</v>
      </c>
      <c r="Y1051">
        <f t="shared" si="84"/>
        <v>0</v>
      </c>
      <c r="Z1051" s="8" t="str">
        <f t="shared" si="81"/>
        <v>No Discount</v>
      </c>
      <c r="AA1051" s="12">
        <f>DATE(YEAR(Table1[[#This Row],[OrderDate]]),MONTH(Table1[[#This Row],[OrderDate]]),1)</f>
        <v>45627</v>
      </c>
    </row>
    <row r="1052" spans="1:27" x14ac:dyDescent="0.3">
      <c r="A1052" s="3">
        <v>45105</v>
      </c>
      <c r="B1052" t="s">
        <v>13</v>
      </c>
      <c r="C1052" t="s">
        <v>34</v>
      </c>
      <c r="D1052" t="str">
        <f>TRIM(Table1[[#This Row],[Product]])</f>
        <v>Printer</v>
      </c>
      <c r="E1052" t="str">
        <f>PROPER(Table1[[#This Row],[Column1]])</f>
        <v>Printer</v>
      </c>
      <c r="F1052" s="8" t="str">
        <f t="shared" si="80"/>
        <v>Office Supplies</v>
      </c>
      <c r="G1052" s="5">
        <v>20</v>
      </c>
      <c r="H1052">
        <v>354.9</v>
      </c>
      <c r="I1052" t="s">
        <v>64</v>
      </c>
      <c r="J1052" t="s">
        <v>58</v>
      </c>
      <c r="K1052" s="7">
        <v>0</v>
      </c>
      <c r="L1052" t="s">
        <v>19</v>
      </c>
      <c r="M1052" s="5">
        <v>7098</v>
      </c>
      <c r="N1052" t="s">
        <v>66</v>
      </c>
      <c r="O1052" t="s">
        <v>71</v>
      </c>
      <c r="P1052" s="5">
        <v>0</v>
      </c>
      <c r="Q1052" t="s">
        <v>2111</v>
      </c>
      <c r="R1052" t="s">
        <v>2112</v>
      </c>
      <c r="S1052" s="5">
        <v>43.24</v>
      </c>
      <c r="T1052" s="3">
        <v>45105</v>
      </c>
      <c r="U1052" s="3">
        <v>45108</v>
      </c>
      <c r="V1052" t="s">
        <v>70</v>
      </c>
      <c r="W1052">
        <f t="shared" si="82"/>
        <v>7098</v>
      </c>
      <c r="X1052">
        <f t="shared" si="83"/>
        <v>7098</v>
      </c>
      <c r="Y1052">
        <f t="shared" si="84"/>
        <v>0</v>
      </c>
      <c r="Z1052" s="8" t="str">
        <f t="shared" si="81"/>
        <v>No Discount</v>
      </c>
      <c r="AA1052" s="12">
        <f>DATE(YEAR(Table1[[#This Row],[OrderDate]]),MONTH(Table1[[#This Row],[OrderDate]]),1)</f>
        <v>45078</v>
      </c>
    </row>
    <row r="1053" spans="1:27" x14ac:dyDescent="0.3">
      <c r="A1053" s="3">
        <v>44950</v>
      </c>
      <c r="B1053" t="s">
        <v>16</v>
      </c>
      <c r="C1053" t="s">
        <v>30</v>
      </c>
      <c r="D1053" t="str">
        <f>TRIM(Table1[[#This Row],[Product]])</f>
        <v>Desk</v>
      </c>
      <c r="E1053" t="str">
        <f>PROPER(Table1[[#This Row],[Column1]])</f>
        <v>Desk</v>
      </c>
      <c r="F1053" s="8" t="str">
        <f t="shared" si="80"/>
        <v>Furniture</v>
      </c>
      <c r="G1053" s="5">
        <v>7</v>
      </c>
      <c r="H1053">
        <v>438.41</v>
      </c>
      <c r="I1053" t="s">
        <v>78</v>
      </c>
      <c r="J1053" t="s">
        <v>65</v>
      </c>
      <c r="K1053" s="7">
        <v>0.1</v>
      </c>
      <c r="L1053" t="s">
        <v>23</v>
      </c>
      <c r="M1053" s="5">
        <v>2761.9830000000002</v>
      </c>
      <c r="N1053" t="s">
        <v>85</v>
      </c>
      <c r="O1053" t="s">
        <v>67</v>
      </c>
      <c r="P1053" s="5">
        <v>1</v>
      </c>
      <c r="Q1053" t="s">
        <v>2113</v>
      </c>
      <c r="R1053" t="s">
        <v>2114</v>
      </c>
      <c r="S1053" s="5">
        <v>47.77</v>
      </c>
      <c r="T1053" s="3">
        <v>44950</v>
      </c>
      <c r="U1053" s="3">
        <v>44954</v>
      </c>
      <c r="V1053" t="s">
        <v>95</v>
      </c>
      <c r="W1053">
        <f t="shared" si="82"/>
        <v>2485.7847000000002</v>
      </c>
      <c r="X1053">
        <f t="shared" si="83"/>
        <v>3068.8700000000003</v>
      </c>
      <c r="Y1053">
        <f t="shared" si="84"/>
        <v>583.08530000000019</v>
      </c>
      <c r="Z1053" s="8" t="str">
        <f t="shared" si="81"/>
        <v>Medium</v>
      </c>
      <c r="AA1053" s="12">
        <f>DATE(YEAR(Table1[[#This Row],[OrderDate]]),MONTH(Table1[[#This Row],[OrderDate]]),1)</f>
        <v>44927</v>
      </c>
    </row>
    <row r="1054" spans="1:27" x14ac:dyDescent="0.3">
      <c r="A1054" s="3">
        <v>45464</v>
      </c>
      <c r="B1054" t="s">
        <v>7</v>
      </c>
      <c r="C1054" t="s">
        <v>35</v>
      </c>
      <c r="D1054" t="str">
        <f>TRIM(Table1[[#This Row],[Product]])</f>
        <v>Tablet</v>
      </c>
      <c r="E1054" t="str">
        <f>PROPER(Table1[[#This Row],[Column1]])</f>
        <v>Tablet</v>
      </c>
      <c r="F1054" s="8" t="str">
        <f t="shared" si="80"/>
        <v>Technology</v>
      </c>
      <c r="G1054" s="5">
        <v>14</v>
      </c>
      <c r="H1054">
        <v>542.6</v>
      </c>
      <c r="I1054" t="s">
        <v>78</v>
      </c>
      <c r="J1054" t="s">
        <v>65</v>
      </c>
      <c r="K1054" s="7">
        <v>0.05</v>
      </c>
      <c r="L1054" t="s">
        <v>25</v>
      </c>
      <c r="M1054" s="5">
        <v>7216.58</v>
      </c>
      <c r="N1054" t="s">
        <v>85</v>
      </c>
      <c r="P1054" s="5">
        <v>0</v>
      </c>
      <c r="Q1054" t="s">
        <v>2115</v>
      </c>
      <c r="R1054" t="s">
        <v>954</v>
      </c>
      <c r="S1054" s="5">
        <v>44.76</v>
      </c>
      <c r="T1054" s="3">
        <v>45464</v>
      </c>
      <c r="U1054" s="3">
        <v>45473</v>
      </c>
      <c r="V1054" t="s">
        <v>77</v>
      </c>
      <c r="W1054">
        <f t="shared" si="82"/>
        <v>6855.7509999999993</v>
      </c>
      <c r="X1054">
        <f t="shared" si="83"/>
        <v>7596.4000000000005</v>
      </c>
      <c r="Y1054">
        <f t="shared" si="84"/>
        <v>740.64900000000125</v>
      </c>
      <c r="Z1054" s="8" t="str">
        <f t="shared" si="81"/>
        <v>Medium</v>
      </c>
      <c r="AA1054" s="12">
        <f>DATE(YEAR(Table1[[#This Row],[OrderDate]]),MONTH(Table1[[#This Row],[OrderDate]]),1)</f>
        <v>45444</v>
      </c>
    </row>
    <row r="1055" spans="1:27" x14ac:dyDescent="0.3">
      <c r="A1055" s="3">
        <v>45756</v>
      </c>
      <c r="B1055" t="s">
        <v>11</v>
      </c>
      <c r="C1055" t="s">
        <v>34</v>
      </c>
      <c r="D1055" t="str">
        <f>TRIM(Table1[[#This Row],[Product]])</f>
        <v>Printer</v>
      </c>
      <c r="E1055" t="str">
        <f>PROPER(Table1[[#This Row],[Column1]])</f>
        <v>Printer</v>
      </c>
      <c r="F1055" s="8" t="str">
        <f t="shared" si="80"/>
        <v>Office Supplies</v>
      </c>
      <c r="G1055" s="5">
        <v>3</v>
      </c>
      <c r="H1055">
        <v>238.82</v>
      </c>
      <c r="I1055" t="s">
        <v>78</v>
      </c>
      <c r="J1055" t="s">
        <v>65</v>
      </c>
      <c r="K1055" s="7">
        <v>0.1</v>
      </c>
      <c r="L1055" t="s">
        <v>19</v>
      </c>
      <c r="M1055" s="5">
        <v>644.81400000000008</v>
      </c>
      <c r="N1055" t="s">
        <v>66</v>
      </c>
      <c r="O1055" t="s">
        <v>71</v>
      </c>
      <c r="P1055" s="5">
        <v>0</v>
      </c>
      <c r="Q1055" t="s">
        <v>2116</v>
      </c>
      <c r="R1055" t="s">
        <v>2117</v>
      </c>
      <c r="S1055" s="5">
        <v>37.07</v>
      </c>
      <c r="T1055" s="3">
        <v>45756</v>
      </c>
      <c r="U1055" s="3">
        <v>45765</v>
      </c>
      <c r="V1055" t="s">
        <v>74</v>
      </c>
      <c r="W1055">
        <f t="shared" si="82"/>
        <v>580.33260000000007</v>
      </c>
      <c r="X1055">
        <f t="shared" si="83"/>
        <v>716.46</v>
      </c>
      <c r="Y1055">
        <f t="shared" si="84"/>
        <v>136.12739999999997</v>
      </c>
      <c r="Z1055" s="8" t="str">
        <f t="shared" si="81"/>
        <v>Medium</v>
      </c>
      <c r="AA1055" s="12">
        <f>DATE(YEAR(Table1[[#This Row],[OrderDate]]),MONTH(Table1[[#This Row],[OrderDate]]),1)</f>
        <v>45748</v>
      </c>
    </row>
    <row r="1056" spans="1:27" x14ac:dyDescent="0.3">
      <c r="A1056" s="3">
        <v>45668</v>
      </c>
      <c r="B1056" t="s">
        <v>11</v>
      </c>
      <c r="C1056" t="s">
        <v>35</v>
      </c>
      <c r="D1056" t="str">
        <f>TRIM(Table1[[#This Row],[Product]])</f>
        <v>Tablet</v>
      </c>
      <c r="E1056" t="str">
        <f>PROPER(Table1[[#This Row],[Column1]])</f>
        <v>Tablet</v>
      </c>
      <c r="F1056" s="8" t="str">
        <f t="shared" si="80"/>
        <v>Technology</v>
      </c>
      <c r="G1056" s="5">
        <v>16</v>
      </c>
      <c r="H1056">
        <v>332.19</v>
      </c>
      <c r="I1056" t="s">
        <v>78</v>
      </c>
      <c r="J1056" t="s">
        <v>65</v>
      </c>
      <c r="K1056" s="7">
        <v>0.1</v>
      </c>
      <c r="L1056" t="s">
        <v>25</v>
      </c>
      <c r="M1056" s="5">
        <v>4783.5360000000001</v>
      </c>
      <c r="N1056" t="s">
        <v>82</v>
      </c>
      <c r="O1056" t="s">
        <v>67</v>
      </c>
      <c r="P1056" s="5">
        <v>1</v>
      </c>
      <c r="Q1056" t="s">
        <v>2118</v>
      </c>
      <c r="R1056" t="s">
        <v>2119</v>
      </c>
      <c r="S1056" s="5">
        <v>34.97</v>
      </c>
      <c r="T1056" s="3">
        <v>45668</v>
      </c>
      <c r="U1056" s="3">
        <v>45676</v>
      </c>
      <c r="V1056" t="s">
        <v>74</v>
      </c>
      <c r="W1056">
        <f t="shared" si="82"/>
        <v>4305.1824000000006</v>
      </c>
      <c r="X1056">
        <f t="shared" si="83"/>
        <v>5315.04</v>
      </c>
      <c r="Y1056">
        <f t="shared" si="84"/>
        <v>1009.8575999999994</v>
      </c>
      <c r="Z1056" s="8" t="str">
        <f t="shared" si="81"/>
        <v>Medium</v>
      </c>
      <c r="AA1056" s="12">
        <f>DATE(YEAR(Table1[[#This Row],[OrderDate]]),MONTH(Table1[[#This Row],[OrderDate]]),1)</f>
        <v>45658</v>
      </c>
    </row>
    <row r="1057" spans="1:27" x14ac:dyDescent="0.3">
      <c r="A1057" s="3">
        <v>45486</v>
      </c>
      <c r="B1057" t="s">
        <v>7</v>
      </c>
      <c r="C1057" t="s">
        <v>34</v>
      </c>
      <c r="D1057" t="str">
        <f>TRIM(Table1[[#This Row],[Product]])</f>
        <v>Printer</v>
      </c>
      <c r="E1057" t="str">
        <f>PROPER(Table1[[#This Row],[Column1]])</f>
        <v>Printer</v>
      </c>
      <c r="F1057" s="8" t="str">
        <f t="shared" si="80"/>
        <v>Office Supplies</v>
      </c>
      <c r="G1057" s="5">
        <v>9</v>
      </c>
      <c r="H1057">
        <v>454.6</v>
      </c>
      <c r="I1057" t="s">
        <v>81</v>
      </c>
      <c r="J1057" t="s">
        <v>58</v>
      </c>
      <c r="K1057" s="7">
        <v>0.05</v>
      </c>
      <c r="L1057" t="s">
        <v>21</v>
      </c>
      <c r="M1057" s="5">
        <v>3886.83</v>
      </c>
      <c r="N1057" t="s">
        <v>85</v>
      </c>
      <c r="P1057" s="5">
        <v>0</v>
      </c>
      <c r="Q1057" t="s">
        <v>2120</v>
      </c>
      <c r="R1057" t="s">
        <v>2121</v>
      </c>
      <c r="S1057" s="5">
        <v>32.86</v>
      </c>
      <c r="T1057" s="3">
        <v>45486</v>
      </c>
      <c r="U1057" s="3">
        <v>45493</v>
      </c>
      <c r="V1057" t="s">
        <v>77</v>
      </c>
      <c r="W1057">
        <f t="shared" si="82"/>
        <v>3692.4884999999999</v>
      </c>
      <c r="X1057">
        <f t="shared" si="83"/>
        <v>4091.4</v>
      </c>
      <c r="Y1057">
        <f t="shared" si="84"/>
        <v>398.91150000000016</v>
      </c>
      <c r="Z1057" s="8" t="str">
        <f t="shared" si="81"/>
        <v>Medium</v>
      </c>
      <c r="AA1057" s="12">
        <f>DATE(YEAR(Table1[[#This Row],[OrderDate]]),MONTH(Table1[[#This Row],[OrderDate]]),1)</f>
        <v>45474</v>
      </c>
    </row>
    <row r="1058" spans="1:27" x14ac:dyDescent="0.3">
      <c r="A1058" s="3">
        <v>45661</v>
      </c>
      <c r="B1058" t="s">
        <v>16</v>
      </c>
      <c r="C1058" t="s">
        <v>34</v>
      </c>
      <c r="D1058" t="str">
        <f>TRIM(Table1[[#This Row],[Product]])</f>
        <v>Printer</v>
      </c>
      <c r="E1058" t="str">
        <f>PROPER(Table1[[#This Row],[Column1]])</f>
        <v>Printer</v>
      </c>
      <c r="F1058" s="8" t="str">
        <f t="shared" si="80"/>
        <v>Office Supplies</v>
      </c>
      <c r="G1058" s="5">
        <v>6</v>
      </c>
      <c r="H1058">
        <v>540.54</v>
      </c>
      <c r="I1058" t="s">
        <v>64</v>
      </c>
      <c r="J1058" t="s">
        <v>65</v>
      </c>
      <c r="K1058" s="7">
        <v>0.05</v>
      </c>
      <c r="L1058" t="s">
        <v>21</v>
      </c>
      <c r="M1058" s="5">
        <v>3081.078</v>
      </c>
      <c r="N1058" t="s">
        <v>85</v>
      </c>
      <c r="O1058" t="s">
        <v>67</v>
      </c>
      <c r="P1058" s="5">
        <v>0</v>
      </c>
      <c r="Q1058" t="s">
        <v>2122</v>
      </c>
      <c r="R1058" t="s">
        <v>2123</v>
      </c>
      <c r="S1058" s="5">
        <v>19.77</v>
      </c>
      <c r="T1058" s="3">
        <v>45661</v>
      </c>
      <c r="U1058" s="3">
        <v>45667</v>
      </c>
      <c r="V1058" t="s">
        <v>95</v>
      </c>
      <c r="W1058">
        <f t="shared" si="82"/>
        <v>2927.0240999999996</v>
      </c>
      <c r="X1058">
        <f t="shared" si="83"/>
        <v>3243.24</v>
      </c>
      <c r="Y1058">
        <f t="shared" si="84"/>
        <v>316.21590000000015</v>
      </c>
      <c r="Z1058" s="8" t="str">
        <f t="shared" si="81"/>
        <v>Medium</v>
      </c>
      <c r="AA1058" s="12">
        <f>DATE(YEAR(Table1[[#This Row],[OrderDate]]),MONTH(Table1[[#This Row],[OrderDate]]),1)</f>
        <v>45658</v>
      </c>
    </row>
    <row r="1059" spans="1:27" x14ac:dyDescent="0.3">
      <c r="A1059" s="3">
        <v>45224</v>
      </c>
      <c r="B1059" t="s">
        <v>16</v>
      </c>
      <c r="C1059" t="s">
        <v>30</v>
      </c>
      <c r="D1059" t="str">
        <f>TRIM(Table1[[#This Row],[Product]])</f>
        <v>Desk</v>
      </c>
      <c r="E1059" t="str">
        <f>PROPER(Table1[[#This Row],[Column1]])</f>
        <v>Desk</v>
      </c>
      <c r="F1059" s="8" t="str">
        <f t="shared" si="80"/>
        <v>Furniture</v>
      </c>
      <c r="G1059" s="5">
        <v>14</v>
      </c>
      <c r="H1059">
        <v>147.37</v>
      </c>
      <c r="I1059" t="s">
        <v>81</v>
      </c>
      <c r="J1059" t="s">
        <v>58</v>
      </c>
      <c r="K1059" s="7">
        <v>0.15</v>
      </c>
      <c r="L1059" t="s">
        <v>27</v>
      </c>
      <c r="M1059" s="5">
        <v>1753.703</v>
      </c>
      <c r="N1059" t="s">
        <v>85</v>
      </c>
      <c r="O1059" t="s">
        <v>71</v>
      </c>
      <c r="P1059" s="5">
        <v>1</v>
      </c>
      <c r="Q1059" t="s">
        <v>2124</v>
      </c>
      <c r="R1059" t="s">
        <v>2125</v>
      </c>
      <c r="S1059" s="5">
        <v>45.75</v>
      </c>
      <c r="T1059" s="3">
        <v>45224</v>
      </c>
      <c r="U1059" s="3">
        <v>45230</v>
      </c>
      <c r="V1059" t="s">
        <v>95</v>
      </c>
      <c r="W1059">
        <f t="shared" si="82"/>
        <v>1490.6475499999999</v>
      </c>
      <c r="X1059">
        <f t="shared" si="83"/>
        <v>2063.1800000000003</v>
      </c>
      <c r="Y1059">
        <f t="shared" si="84"/>
        <v>572.53245000000038</v>
      </c>
      <c r="Z1059" s="8" t="str">
        <f t="shared" si="81"/>
        <v>High</v>
      </c>
      <c r="AA1059" s="12">
        <f>DATE(YEAR(Table1[[#This Row],[OrderDate]]),MONTH(Table1[[#This Row],[OrderDate]]),1)</f>
        <v>45200</v>
      </c>
    </row>
    <row r="1060" spans="1:27" x14ac:dyDescent="0.3">
      <c r="A1060" s="3">
        <v>45199</v>
      </c>
      <c r="B1060" t="s">
        <v>13</v>
      </c>
      <c r="C1060" t="s">
        <v>31</v>
      </c>
      <c r="D1060" t="str">
        <f>TRIM(Table1[[#This Row],[Product]])</f>
        <v>Laptop</v>
      </c>
      <c r="E1060" t="str">
        <f>PROPER(Table1[[#This Row],[Column1]])</f>
        <v>Laptop</v>
      </c>
      <c r="F1060" s="8" t="str">
        <f t="shared" si="80"/>
        <v>Technology</v>
      </c>
      <c r="G1060" s="5">
        <v>7</v>
      </c>
      <c r="H1060">
        <v>421.12</v>
      </c>
      <c r="I1060" t="s">
        <v>81</v>
      </c>
      <c r="J1060" t="s">
        <v>58</v>
      </c>
      <c r="K1060" s="7">
        <v>0.15</v>
      </c>
      <c r="L1060" t="s">
        <v>23</v>
      </c>
      <c r="M1060" s="5">
        <v>2505.6640000000002</v>
      </c>
      <c r="N1060" t="s">
        <v>66</v>
      </c>
      <c r="P1060" s="5">
        <v>0</v>
      </c>
      <c r="Q1060" t="s">
        <v>2126</v>
      </c>
      <c r="R1060" t="s">
        <v>2127</v>
      </c>
      <c r="S1060" s="5">
        <v>44.49</v>
      </c>
      <c r="T1060" s="3">
        <v>45199</v>
      </c>
      <c r="U1060" s="3">
        <v>45201</v>
      </c>
      <c r="V1060" t="s">
        <v>70</v>
      </c>
      <c r="W1060">
        <f t="shared" si="82"/>
        <v>2129.8144000000002</v>
      </c>
      <c r="X1060">
        <f t="shared" si="83"/>
        <v>2947.84</v>
      </c>
      <c r="Y1060">
        <f t="shared" si="84"/>
        <v>818.02559999999994</v>
      </c>
      <c r="Z1060" s="8" t="str">
        <f t="shared" si="81"/>
        <v>High</v>
      </c>
      <c r="AA1060" s="12">
        <f>DATE(YEAR(Table1[[#This Row],[OrderDate]]),MONTH(Table1[[#This Row],[OrderDate]]),1)</f>
        <v>45170</v>
      </c>
    </row>
    <row r="1061" spans="1:27" x14ac:dyDescent="0.3">
      <c r="A1061" s="3">
        <v>45001</v>
      </c>
      <c r="B1061" t="s">
        <v>11</v>
      </c>
      <c r="C1061" t="s">
        <v>33</v>
      </c>
      <c r="D1061" t="str">
        <f>TRIM(Table1[[#This Row],[Product]])</f>
        <v>Phone</v>
      </c>
      <c r="E1061" t="str">
        <f>PROPER(Table1[[#This Row],[Column1]])</f>
        <v>Phone</v>
      </c>
      <c r="F1061" s="8" t="str">
        <f t="shared" si="80"/>
        <v>Technology</v>
      </c>
      <c r="G1061" s="5">
        <v>20</v>
      </c>
      <c r="H1061">
        <v>436.32</v>
      </c>
      <c r="I1061" t="s">
        <v>81</v>
      </c>
      <c r="J1061" t="s">
        <v>65</v>
      </c>
      <c r="K1061" s="7">
        <v>0</v>
      </c>
      <c r="L1061" t="s">
        <v>23</v>
      </c>
      <c r="M1061" s="5">
        <v>8726.4</v>
      </c>
      <c r="N1061" t="s">
        <v>82</v>
      </c>
      <c r="O1061" t="s">
        <v>60</v>
      </c>
      <c r="P1061" s="5">
        <v>1</v>
      </c>
      <c r="Q1061" t="s">
        <v>2128</v>
      </c>
      <c r="R1061" t="s">
        <v>2129</v>
      </c>
      <c r="S1061" s="5">
        <v>37.49</v>
      </c>
      <c r="T1061" s="3">
        <v>45001</v>
      </c>
      <c r="U1061" s="3">
        <v>45011</v>
      </c>
      <c r="V1061" t="s">
        <v>74</v>
      </c>
      <c r="W1061">
        <f t="shared" si="82"/>
        <v>8726.4</v>
      </c>
      <c r="X1061">
        <f t="shared" si="83"/>
        <v>8726.4</v>
      </c>
      <c r="Y1061">
        <f t="shared" si="84"/>
        <v>0</v>
      </c>
      <c r="Z1061" s="8" t="str">
        <f t="shared" si="81"/>
        <v>No Discount</v>
      </c>
      <c r="AA1061" s="12">
        <f>DATE(YEAR(Table1[[#This Row],[OrderDate]]),MONTH(Table1[[#This Row],[OrderDate]]),1)</f>
        <v>44986</v>
      </c>
    </row>
    <row r="1062" spans="1:27" x14ac:dyDescent="0.3">
      <c r="A1062" s="3">
        <v>45133</v>
      </c>
      <c r="B1062" t="s">
        <v>11</v>
      </c>
      <c r="C1062" t="s">
        <v>31</v>
      </c>
      <c r="D1062" t="str">
        <f>TRIM(Table1[[#This Row],[Product]])</f>
        <v>Laptop</v>
      </c>
      <c r="E1062" t="str">
        <f>PROPER(Table1[[#This Row],[Column1]])</f>
        <v>Laptop</v>
      </c>
      <c r="F1062" s="8" t="str">
        <f t="shared" si="80"/>
        <v>Technology</v>
      </c>
      <c r="G1062" s="5">
        <v>18</v>
      </c>
      <c r="H1062">
        <v>436.83</v>
      </c>
      <c r="I1062" t="s">
        <v>64</v>
      </c>
      <c r="J1062" t="s">
        <v>58</v>
      </c>
      <c r="K1062" s="7">
        <v>0.1</v>
      </c>
      <c r="L1062" t="s">
        <v>19</v>
      </c>
      <c r="M1062" s="5">
        <v>7076.6459999999997</v>
      </c>
      <c r="N1062" t="s">
        <v>82</v>
      </c>
      <c r="O1062" t="s">
        <v>67</v>
      </c>
      <c r="P1062" s="5">
        <v>0</v>
      </c>
      <c r="Q1062" t="s">
        <v>2130</v>
      </c>
      <c r="R1062" t="s">
        <v>1175</v>
      </c>
      <c r="S1062" s="5">
        <v>28.8</v>
      </c>
      <c r="T1062" s="3">
        <v>45133</v>
      </c>
      <c r="U1062" s="3">
        <v>45140</v>
      </c>
      <c r="V1062" t="s">
        <v>74</v>
      </c>
      <c r="W1062">
        <f t="shared" si="82"/>
        <v>6368.9813999999997</v>
      </c>
      <c r="X1062">
        <f t="shared" si="83"/>
        <v>7862.94</v>
      </c>
      <c r="Y1062">
        <f t="shared" si="84"/>
        <v>1493.9585999999999</v>
      </c>
      <c r="Z1062" s="8" t="str">
        <f t="shared" si="81"/>
        <v>Medium</v>
      </c>
      <c r="AA1062" s="12">
        <f>DATE(YEAR(Table1[[#This Row],[OrderDate]]),MONTH(Table1[[#This Row],[OrderDate]]),1)</f>
        <v>45108</v>
      </c>
    </row>
    <row r="1063" spans="1:27" x14ac:dyDescent="0.3">
      <c r="A1063" s="3">
        <v>45117</v>
      </c>
      <c r="B1063" t="s">
        <v>9</v>
      </c>
      <c r="C1063" t="s">
        <v>32</v>
      </c>
      <c r="D1063" t="str">
        <f>TRIM(Table1[[#This Row],[Product]])</f>
        <v>Monitor</v>
      </c>
      <c r="E1063" t="str">
        <f>PROPER(Table1[[#This Row],[Column1]])</f>
        <v>Monitor</v>
      </c>
      <c r="F1063" s="8" t="str">
        <f t="shared" si="80"/>
        <v>Technology</v>
      </c>
      <c r="G1063" s="5">
        <v>2</v>
      </c>
      <c r="H1063">
        <v>327.57</v>
      </c>
      <c r="I1063" t="s">
        <v>64</v>
      </c>
      <c r="J1063" t="s">
        <v>65</v>
      </c>
      <c r="K1063" s="7">
        <v>0.05</v>
      </c>
      <c r="L1063" t="s">
        <v>23</v>
      </c>
      <c r="M1063" s="5">
        <v>622.38299999999992</v>
      </c>
      <c r="N1063" t="s">
        <v>85</v>
      </c>
      <c r="P1063" s="5">
        <v>0</v>
      </c>
      <c r="Q1063" t="s">
        <v>2131</v>
      </c>
      <c r="R1063" t="s">
        <v>2132</v>
      </c>
      <c r="S1063" s="5">
        <v>19.489999999999998</v>
      </c>
      <c r="T1063" s="3">
        <v>45117</v>
      </c>
      <c r="U1063" s="3">
        <v>45126</v>
      </c>
      <c r="V1063" t="s">
        <v>63</v>
      </c>
      <c r="W1063">
        <f t="shared" si="82"/>
        <v>591.26384999999993</v>
      </c>
      <c r="X1063">
        <f t="shared" si="83"/>
        <v>655.14</v>
      </c>
      <c r="Y1063">
        <f t="shared" si="84"/>
        <v>63.876150000000052</v>
      </c>
      <c r="Z1063" s="8" t="str">
        <f t="shared" si="81"/>
        <v>Medium</v>
      </c>
      <c r="AA1063" s="12">
        <f>DATE(YEAR(Table1[[#This Row],[OrderDate]]),MONTH(Table1[[#This Row],[OrderDate]]),1)</f>
        <v>45108</v>
      </c>
    </row>
    <row r="1064" spans="1:27" x14ac:dyDescent="0.3">
      <c r="A1064" s="3">
        <v>45510</v>
      </c>
      <c r="B1064" t="s">
        <v>9</v>
      </c>
      <c r="C1064" t="s">
        <v>34</v>
      </c>
      <c r="D1064" t="str">
        <f>TRIM(Table1[[#This Row],[Product]])</f>
        <v>Printer</v>
      </c>
      <c r="E1064" t="str">
        <f>PROPER(Table1[[#This Row],[Column1]])</f>
        <v>Printer</v>
      </c>
      <c r="F1064" s="8" t="str">
        <f t="shared" si="80"/>
        <v>Office Supplies</v>
      </c>
      <c r="G1064" s="5">
        <v>18</v>
      </c>
      <c r="H1064">
        <v>166.92</v>
      </c>
      <c r="I1064" t="s">
        <v>78</v>
      </c>
      <c r="J1064" t="s">
        <v>58</v>
      </c>
      <c r="K1064" s="7">
        <v>0.05</v>
      </c>
      <c r="L1064" t="s">
        <v>18</v>
      </c>
      <c r="M1064" s="5">
        <v>2854.3319999999999</v>
      </c>
      <c r="N1064" t="s">
        <v>66</v>
      </c>
      <c r="O1064" t="s">
        <v>71</v>
      </c>
      <c r="P1064" s="5">
        <v>0</v>
      </c>
      <c r="Q1064" t="s">
        <v>2133</v>
      </c>
      <c r="R1064" t="s">
        <v>2134</v>
      </c>
      <c r="S1064" s="5">
        <v>9.35</v>
      </c>
      <c r="T1064" s="3">
        <v>45510</v>
      </c>
      <c r="U1064" s="3">
        <v>45520</v>
      </c>
      <c r="V1064" t="s">
        <v>63</v>
      </c>
      <c r="W1064">
        <f t="shared" si="82"/>
        <v>2711.6153999999997</v>
      </c>
      <c r="X1064">
        <f t="shared" si="83"/>
        <v>3004.56</v>
      </c>
      <c r="Y1064">
        <f t="shared" si="84"/>
        <v>292.94460000000026</v>
      </c>
      <c r="Z1064" s="8" t="str">
        <f t="shared" si="81"/>
        <v>Medium</v>
      </c>
      <c r="AA1064" s="12">
        <f>DATE(YEAR(Table1[[#This Row],[OrderDate]]),MONTH(Table1[[#This Row],[OrderDate]]),1)</f>
        <v>45505</v>
      </c>
    </row>
    <row r="1065" spans="1:27" x14ac:dyDescent="0.3">
      <c r="A1065" s="3">
        <v>45489</v>
      </c>
      <c r="B1065" t="s">
        <v>7</v>
      </c>
      <c r="C1065" t="s">
        <v>33</v>
      </c>
      <c r="D1065" t="str">
        <f>TRIM(Table1[[#This Row],[Product]])</f>
        <v>Phone</v>
      </c>
      <c r="E1065" t="str">
        <f>PROPER(Table1[[#This Row],[Column1]])</f>
        <v>Phone</v>
      </c>
      <c r="F1065" s="8" t="str">
        <f t="shared" si="80"/>
        <v>Technology</v>
      </c>
      <c r="G1065" s="5">
        <v>14</v>
      </c>
      <c r="H1065">
        <v>300.38</v>
      </c>
      <c r="I1065" t="s">
        <v>64</v>
      </c>
      <c r="J1065" t="s">
        <v>65</v>
      </c>
      <c r="K1065" s="7">
        <v>0.1</v>
      </c>
      <c r="L1065" t="s">
        <v>18</v>
      </c>
      <c r="M1065" s="5">
        <v>3784.788</v>
      </c>
      <c r="N1065" t="s">
        <v>59</v>
      </c>
      <c r="P1065" s="5">
        <v>0</v>
      </c>
      <c r="Q1065" t="s">
        <v>2135</v>
      </c>
      <c r="R1065" t="s">
        <v>2136</v>
      </c>
      <c r="S1065" s="5">
        <v>38.6</v>
      </c>
      <c r="T1065" s="3">
        <v>45489</v>
      </c>
      <c r="U1065" s="3">
        <v>45492</v>
      </c>
      <c r="V1065" t="s">
        <v>77</v>
      </c>
      <c r="W1065">
        <f t="shared" si="82"/>
        <v>3406.3092000000001</v>
      </c>
      <c r="X1065">
        <f t="shared" si="83"/>
        <v>4205.32</v>
      </c>
      <c r="Y1065">
        <f t="shared" si="84"/>
        <v>799.01079999999956</v>
      </c>
      <c r="Z1065" s="8" t="str">
        <f t="shared" si="81"/>
        <v>Medium</v>
      </c>
      <c r="AA1065" s="12">
        <f>DATE(YEAR(Table1[[#This Row],[OrderDate]]),MONTH(Table1[[#This Row],[OrderDate]]),1)</f>
        <v>45474</v>
      </c>
    </row>
    <row r="1066" spans="1:27" x14ac:dyDescent="0.3">
      <c r="A1066" s="3">
        <v>45322</v>
      </c>
      <c r="B1066" t="s">
        <v>11</v>
      </c>
      <c r="C1066" t="s">
        <v>34</v>
      </c>
      <c r="D1066" t="str">
        <f>TRIM(Table1[[#This Row],[Product]])</f>
        <v>Printer</v>
      </c>
      <c r="E1066" t="str">
        <f>PROPER(Table1[[#This Row],[Column1]])</f>
        <v>Printer</v>
      </c>
      <c r="F1066" s="8" t="str">
        <f t="shared" si="80"/>
        <v>Office Supplies</v>
      </c>
      <c r="G1066" s="5">
        <v>5</v>
      </c>
      <c r="H1066">
        <v>232.29</v>
      </c>
      <c r="I1066" t="s">
        <v>64</v>
      </c>
      <c r="J1066" t="s">
        <v>58</v>
      </c>
      <c r="K1066" s="7">
        <v>0</v>
      </c>
      <c r="L1066" t="s">
        <v>18</v>
      </c>
      <c r="M1066" s="5">
        <v>1161.45</v>
      </c>
      <c r="N1066" t="s">
        <v>59</v>
      </c>
      <c r="P1066" s="5">
        <v>1</v>
      </c>
      <c r="Q1066" t="s">
        <v>2137</v>
      </c>
      <c r="R1066" t="s">
        <v>2138</v>
      </c>
      <c r="S1066" s="5">
        <v>42.38</v>
      </c>
      <c r="T1066" s="3">
        <v>45322</v>
      </c>
      <c r="U1066" s="3">
        <v>45331</v>
      </c>
      <c r="V1066" t="s">
        <v>74</v>
      </c>
      <c r="W1066">
        <f t="shared" si="82"/>
        <v>1161.45</v>
      </c>
      <c r="X1066">
        <f t="shared" si="83"/>
        <v>1161.45</v>
      </c>
      <c r="Y1066">
        <f t="shared" si="84"/>
        <v>0</v>
      </c>
      <c r="Z1066" s="8" t="str">
        <f t="shared" si="81"/>
        <v>No Discount</v>
      </c>
      <c r="AA1066" s="12">
        <f>DATE(YEAR(Table1[[#This Row],[OrderDate]]),MONTH(Table1[[#This Row],[OrderDate]]),1)</f>
        <v>45292</v>
      </c>
    </row>
    <row r="1067" spans="1:27" x14ac:dyDescent="0.3">
      <c r="A1067" s="3">
        <v>45038</v>
      </c>
      <c r="B1067" t="s">
        <v>7</v>
      </c>
      <c r="C1067" t="s">
        <v>35</v>
      </c>
      <c r="D1067" t="str">
        <f>TRIM(Table1[[#This Row],[Product]])</f>
        <v>Tablet</v>
      </c>
      <c r="E1067" t="str">
        <f>PROPER(Table1[[#This Row],[Column1]])</f>
        <v>Tablet</v>
      </c>
      <c r="F1067" s="8" t="str">
        <f t="shared" si="80"/>
        <v>Technology</v>
      </c>
      <c r="G1067" s="5">
        <v>1</v>
      </c>
      <c r="H1067">
        <v>173.44</v>
      </c>
      <c r="I1067" t="s">
        <v>64</v>
      </c>
      <c r="J1067" t="s">
        <v>65</v>
      </c>
      <c r="K1067" s="7">
        <v>0</v>
      </c>
      <c r="L1067" t="s">
        <v>19</v>
      </c>
      <c r="M1067" s="5">
        <v>173.44</v>
      </c>
      <c r="N1067" t="s">
        <v>66</v>
      </c>
      <c r="O1067" t="s">
        <v>60</v>
      </c>
      <c r="P1067" s="5">
        <v>0</v>
      </c>
      <c r="Q1067" t="s">
        <v>2139</v>
      </c>
      <c r="R1067" t="s">
        <v>2140</v>
      </c>
      <c r="S1067" s="5">
        <v>32.83</v>
      </c>
      <c r="T1067" s="3">
        <v>45038</v>
      </c>
      <c r="U1067" s="3">
        <v>45040</v>
      </c>
      <c r="V1067" t="s">
        <v>77</v>
      </c>
      <c r="W1067">
        <f t="shared" si="82"/>
        <v>173.44</v>
      </c>
      <c r="X1067">
        <f t="shared" si="83"/>
        <v>173.44</v>
      </c>
      <c r="Y1067">
        <f t="shared" si="84"/>
        <v>0</v>
      </c>
      <c r="Z1067" s="8" t="str">
        <f t="shared" si="81"/>
        <v>No Discount</v>
      </c>
      <c r="AA1067" s="12">
        <f>DATE(YEAR(Table1[[#This Row],[OrderDate]]),MONTH(Table1[[#This Row],[OrderDate]]),1)</f>
        <v>45017</v>
      </c>
    </row>
    <row r="1068" spans="1:27" x14ac:dyDescent="0.3">
      <c r="A1068" s="3">
        <v>45692</v>
      </c>
      <c r="B1068" t="s">
        <v>9</v>
      </c>
      <c r="C1068" t="s">
        <v>33</v>
      </c>
      <c r="D1068" t="str">
        <f>TRIM(Table1[[#This Row],[Product]])</f>
        <v>Phone</v>
      </c>
      <c r="E1068" t="str">
        <f>PROPER(Table1[[#This Row],[Column1]])</f>
        <v>Phone</v>
      </c>
      <c r="F1068" s="8" t="str">
        <f t="shared" si="80"/>
        <v>Technology</v>
      </c>
      <c r="G1068" s="5">
        <v>9</v>
      </c>
      <c r="H1068">
        <v>256.14</v>
      </c>
      <c r="I1068" t="s">
        <v>64</v>
      </c>
      <c r="J1068" t="s">
        <v>65</v>
      </c>
      <c r="K1068" s="7">
        <v>0.15</v>
      </c>
      <c r="L1068" t="s">
        <v>27</v>
      </c>
      <c r="M1068" s="5">
        <v>1959.471</v>
      </c>
      <c r="N1068" t="s">
        <v>82</v>
      </c>
      <c r="O1068" t="s">
        <v>67</v>
      </c>
      <c r="P1068" s="5">
        <v>1</v>
      </c>
      <c r="Q1068" t="s">
        <v>2141</v>
      </c>
      <c r="R1068" t="s">
        <v>2142</v>
      </c>
      <c r="S1068" s="5">
        <v>5.21</v>
      </c>
      <c r="T1068" s="3">
        <v>45692</v>
      </c>
      <c r="U1068" s="3">
        <v>45695</v>
      </c>
      <c r="V1068" t="s">
        <v>63</v>
      </c>
      <c r="W1068">
        <f t="shared" si="82"/>
        <v>1665.55035</v>
      </c>
      <c r="X1068">
        <f t="shared" si="83"/>
        <v>2305.2599999999998</v>
      </c>
      <c r="Y1068">
        <f t="shared" si="84"/>
        <v>639.70964999999978</v>
      </c>
      <c r="Z1068" s="8" t="str">
        <f t="shared" si="81"/>
        <v>High</v>
      </c>
      <c r="AA1068" s="12">
        <f>DATE(YEAR(Table1[[#This Row],[OrderDate]]),MONTH(Table1[[#This Row],[OrderDate]]),1)</f>
        <v>45689</v>
      </c>
    </row>
    <row r="1069" spans="1:27" x14ac:dyDescent="0.3">
      <c r="A1069" s="3">
        <v>45529</v>
      </c>
      <c r="B1069" t="s">
        <v>7</v>
      </c>
      <c r="C1069" t="s">
        <v>31</v>
      </c>
      <c r="D1069" t="str">
        <f>TRIM(Table1[[#This Row],[Product]])</f>
        <v>Laptop</v>
      </c>
      <c r="E1069" t="str">
        <f>PROPER(Table1[[#This Row],[Column1]])</f>
        <v>Laptop</v>
      </c>
      <c r="F1069" s="8" t="str">
        <f t="shared" si="80"/>
        <v>Technology</v>
      </c>
      <c r="G1069" s="5">
        <v>12</v>
      </c>
      <c r="H1069">
        <v>461.3</v>
      </c>
      <c r="I1069" t="s">
        <v>81</v>
      </c>
      <c r="J1069" t="s">
        <v>58</v>
      </c>
      <c r="K1069" s="7">
        <v>0.15</v>
      </c>
      <c r="L1069" t="s">
        <v>23</v>
      </c>
      <c r="M1069" s="5">
        <v>4705.26</v>
      </c>
      <c r="N1069" t="s">
        <v>66</v>
      </c>
      <c r="O1069" t="s">
        <v>60</v>
      </c>
      <c r="P1069" s="5">
        <v>0</v>
      </c>
      <c r="Q1069" t="s">
        <v>2143</v>
      </c>
      <c r="R1069" t="s">
        <v>2144</v>
      </c>
      <c r="S1069" s="5">
        <v>8.6</v>
      </c>
      <c r="T1069" s="3">
        <v>45529</v>
      </c>
      <c r="U1069" s="3">
        <v>45538</v>
      </c>
      <c r="V1069" t="s">
        <v>77</v>
      </c>
      <c r="W1069">
        <f t="shared" si="82"/>
        <v>3999.471</v>
      </c>
      <c r="X1069">
        <f t="shared" si="83"/>
        <v>5535.6</v>
      </c>
      <c r="Y1069">
        <f t="shared" si="84"/>
        <v>1536.1290000000004</v>
      </c>
      <c r="Z1069" s="8" t="str">
        <f t="shared" si="81"/>
        <v>High</v>
      </c>
      <c r="AA1069" s="12">
        <f>DATE(YEAR(Table1[[#This Row],[OrderDate]]),MONTH(Table1[[#This Row],[OrderDate]]),1)</f>
        <v>45505</v>
      </c>
    </row>
    <row r="1070" spans="1:27" x14ac:dyDescent="0.3">
      <c r="A1070" s="3">
        <v>45168</v>
      </c>
      <c r="B1070" t="s">
        <v>9</v>
      </c>
      <c r="C1070" t="s">
        <v>33</v>
      </c>
      <c r="D1070" t="str">
        <f>TRIM(Table1[[#This Row],[Product]])</f>
        <v>Phone</v>
      </c>
      <c r="E1070" t="str">
        <f>PROPER(Table1[[#This Row],[Column1]])</f>
        <v>Phone</v>
      </c>
      <c r="F1070" s="8" t="str">
        <f t="shared" si="80"/>
        <v>Technology</v>
      </c>
      <c r="G1070" s="5">
        <v>1</v>
      </c>
      <c r="H1070">
        <v>193.08</v>
      </c>
      <c r="I1070" t="s">
        <v>64</v>
      </c>
      <c r="J1070" t="s">
        <v>58</v>
      </c>
      <c r="K1070" s="7">
        <v>0.05</v>
      </c>
      <c r="L1070" t="s">
        <v>27</v>
      </c>
      <c r="M1070" s="5">
        <v>183.42599999999999</v>
      </c>
      <c r="N1070" t="s">
        <v>59</v>
      </c>
      <c r="O1070" t="s">
        <v>67</v>
      </c>
      <c r="P1070" s="5">
        <v>0</v>
      </c>
      <c r="Q1070" t="s">
        <v>2145</v>
      </c>
      <c r="R1070" t="s">
        <v>1701</v>
      </c>
      <c r="S1070" s="5">
        <v>23.99</v>
      </c>
      <c r="T1070" s="3">
        <v>45168</v>
      </c>
      <c r="U1070" s="3">
        <v>45174</v>
      </c>
      <c r="V1070" t="s">
        <v>63</v>
      </c>
      <c r="W1070">
        <f t="shared" si="82"/>
        <v>174.25469999999999</v>
      </c>
      <c r="X1070">
        <f t="shared" si="83"/>
        <v>193.08</v>
      </c>
      <c r="Y1070">
        <f t="shared" si="84"/>
        <v>18.825300000000027</v>
      </c>
      <c r="Z1070" s="8" t="str">
        <f t="shared" si="81"/>
        <v>Medium</v>
      </c>
      <c r="AA1070" s="12">
        <f>DATE(YEAR(Table1[[#This Row],[OrderDate]]),MONTH(Table1[[#This Row],[OrderDate]]),1)</f>
        <v>45139</v>
      </c>
    </row>
    <row r="1071" spans="1:27" x14ac:dyDescent="0.3">
      <c r="A1071" s="3">
        <v>45175</v>
      </c>
      <c r="B1071" t="s">
        <v>16</v>
      </c>
      <c r="C1071" t="s">
        <v>29</v>
      </c>
      <c r="D1071" t="str">
        <f>TRIM(Table1[[#This Row],[Product]])</f>
        <v>Chair</v>
      </c>
      <c r="E1071" t="str">
        <f>PROPER(Table1[[#This Row],[Column1]])</f>
        <v>Chair</v>
      </c>
      <c r="F1071" s="8" t="str">
        <f t="shared" si="80"/>
        <v>Furniture</v>
      </c>
      <c r="G1071" s="5">
        <v>3</v>
      </c>
      <c r="H1071">
        <v>312.97000000000003</v>
      </c>
      <c r="I1071" t="s">
        <v>78</v>
      </c>
      <c r="J1071" t="s">
        <v>65</v>
      </c>
      <c r="K1071" s="7">
        <v>0.05</v>
      </c>
      <c r="L1071" t="s">
        <v>25</v>
      </c>
      <c r="M1071" s="5">
        <v>891.96450000000004</v>
      </c>
      <c r="N1071" t="s">
        <v>82</v>
      </c>
      <c r="P1071" s="5">
        <v>1</v>
      </c>
      <c r="Q1071" t="s">
        <v>2146</v>
      </c>
      <c r="R1071" t="s">
        <v>2147</v>
      </c>
      <c r="S1071" s="5">
        <v>20.059999999999999</v>
      </c>
      <c r="T1071" s="3">
        <v>45175</v>
      </c>
      <c r="U1071" s="3">
        <v>45181</v>
      </c>
      <c r="V1071" t="s">
        <v>95</v>
      </c>
      <c r="W1071">
        <f t="shared" si="82"/>
        <v>847.36627499999997</v>
      </c>
      <c r="X1071">
        <f t="shared" si="83"/>
        <v>938.91000000000008</v>
      </c>
      <c r="Y1071">
        <f t="shared" si="84"/>
        <v>91.543725000000109</v>
      </c>
      <c r="Z1071" s="8" t="str">
        <f t="shared" si="81"/>
        <v>Medium</v>
      </c>
      <c r="AA1071" s="12">
        <f>DATE(YEAR(Table1[[#This Row],[OrderDate]]),MONTH(Table1[[#This Row],[OrderDate]]),1)</f>
        <v>45170</v>
      </c>
    </row>
    <row r="1072" spans="1:27" x14ac:dyDescent="0.3">
      <c r="A1072" s="3">
        <v>45790</v>
      </c>
      <c r="B1072" t="s">
        <v>13</v>
      </c>
      <c r="C1072" t="s">
        <v>31</v>
      </c>
      <c r="D1072" t="str">
        <f>TRIM(Table1[[#This Row],[Product]])</f>
        <v>Laptop</v>
      </c>
      <c r="E1072" t="str">
        <f>PROPER(Table1[[#This Row],[Column1]])</f>
        <v>Laptop</v>
      </c>
      <c r="F1072" s="8" t="str">
        <f t="shared" si="80"/>
        <v>Technology</v>
      </c>
      <c r="G1072" s="5">
        <v>6</v>
      </c>
      <c r="H1072">
        <v>214.14</v>
      </c>
      <c r="I1072" t="s">
        <v>81</v>
      </c>
      <c r="J1072" t="s">
        <v>58</v>
      </c>
      <c r="K1072" s="7">
        <v>0.05</v>
      </c>
      <c r="L1072" t="s">
        <v>23</v>
      </c>
      <c r="M1072" s="5">
        <v>1220.598</v>
      </c>
      <c r="N1072" t="s">
        <v>88</v>
      </c>
      <c r="O1072" t="s">
        <v>60</v>
      </c>
      <c r="P1072" s="5">
        <v>0</v>
      </c>
      <c r="Q1072" t="s">
        <v>2148</v>
      </c>
      <c r="R1072" t="s">
        <v>2149</v>
      </c>
      <c r="S1072" s="5">
        <v>44.86</v>
      </c>
      <c r="T1072" s="3">
        <v>45790</v>
      </c>
      <c r="U1072" s="3">
        <v>45798</v>
      </c>
      <c r="V1072" t="s">
        <v>70</v>
      </c>
      <c r="W1072">
        <f t="shared" si="82"/>
        <v>1159.5681</v>
      </c>
      <c r="X1072">
        <f t="shared" si="83"/>
        <v>1284.8399999999999</v>
      </c>
      <c r="Y1072">
        <f t="shared" si="84"/>
        <v>125.27189999999996</v>
      </c>
      <c r="Z1072" s="8" t="str">
        <f t="shared" si="81"/>
        <v>Medium</v>
      </c>
      <c r="AA1072" s="12">
        <f>DATE(YEAR(Table1[[#This Row],[OrderDate]]),MONTH(Table1[[#This Row],[OrderDate]]),1)</f>
        <v>45778</v>
      </c>
    </row>
    <row r="1073" spans="1:27" x14ac:dyDescent="0.3">
      <c r="A1073" s="3">
        <v>45228</v>
      </c>
      <c r="B1073" t="s">
        <v>11</v>
      </c>
      <c r="C1073" t="s">
        <v>33</v>
      </c>
      <c r="D1073" t="str">
        <f>TRIM(Table1[[#This Row],[Product]])</f>
        <v>Phone</v>
      </c>
      <c r="E1073" t="str">
        <f>PROPER(Table1[[#This Row],[Column1]])</f>
        <v>Phone</v>
      </c>
      <c r="F1073" s="8" t="str">
        <f t="shared" si="80"/>
        <v>Technology</v>
      </c>
      <c r="G1073" s="5">
        <v>4</v>
      </c>
      <c r="H1073">
        <v>59.8</v>
      </c>
      <c r="I1073" t="s">
        <v>81</v>
      </c>
      <c r="J1073" t="s">
        <v>65</v>
      </c>
      <c r="K1073" s="7">
        <v>0.1</v>
      </c>
      <c r="L1073" t="s">
        <v>27</v>
      </c>
      <c r="M1073" s="5">
        <v>215.28</v>
      </c>
      <c r="N1073" t="s">
        <v>59</v>
      </c>
      <c r="O1073" t="s">
        <v>60</v>
      </c>
      <c r="P1073" s="5">
        <v>0</v>
      </c>
      <c r="Q1073" t="s">
        <v>2150</v>
      </c>
      <c r="R1073" t="s">
        <v>2151</v>
      </c>
      <c r="S1073" s="5">
        <v>42.59</v>
      </c>
      <c r="T1073" s="3">
        <v>45228</v>
      </c>
      <c r="U1073" s="3">
        <v>45236</v>
      </c>
      <c r="V1073" t="s">
        <v>74</v>
      </c>
      <c r="W1073">
        <f t="shared" si="82"/>
        <v>193.75200000000001</v>
      </c>
      <c r="X1073">
        <f t="shared" si="83"/>
        <v>239.2</v>
      </c>
      <c r="Y1073">
        <f t="shared" si="84"/>
        <v>45.447999999999979</v>
      </c>
      <c r="Z1073" s="8" t="str">
        <f t="shared" si="81"/>
        <v>Medium</v>
      </c>
      <c r="AA1073" s="12">
        <f>DATE(YEAR(Table1[[#This Row],[OrderDate]]),MONTH(Table1[[#This Row],[OrderDate]]),1)</f>
        <v>45200</v>
      </c>
    </row>
    <row r="1074" spans="1:27" x14ac:dyDescent="0.3">
      <c r="A1074" s="3">
        <v>45455</v>
      </c>
      <c r="B1074" t="s">
        <v>9</v>
      </c>
      <c r="C1074" t="s">
        <v>31</v>
      </c>
      <c r="D1074" t="str">
        <f>TRIM(Table1[[#This Row],[Product]])</f>
        <v>Laptop</v>
      </c>
      <c r="E1074" t="str">
        <f>PROPER(Table1[[#This Row],[Column1]])</f>
        <v>Laptop</v>
      </c>
      <c r="F1074" s="8" t="str">
        <f t="shared" si="80"/>
        <v>Technology</v>
      </c>
      <c r="G1074" s="5">
        <v>9</v>
      </c>
      <c r="H1074">
        <v>418</v>
      </c>
      <c r="I1074" t="s">
        <v>78</v>
      </c>
      <c r="J1074" t="s">
        <v>58</v>
      </c>
      <c r="K1074" s="7">
        <v>0</v>
      </c>
      <c r="L1074" t="s">
        <v>19</v>
      </c>
      <c r="M1074" s="5">
        <v>3762</v>
      </c>
      <c r="N1074" t="s">
        <v>82</v>
      </c>
      <c r="O1074" t="s">
        <v>71</v>
      </c>
      <c r="P1074" s="5">
        <v>0</v>
      </c>
      <c r="Q1074" t="s">
        <v>2152</v>
      </c>
      <c r="R1074" t="s">
        <v>2153</v>
      </c>
      <c r="S1074" s="5">
        <v>30.45</v>
      </c>
      <c r="T1074" s="3">
        <v>45455</v>
      </c>
      <c r="U1074" s="3">
        <v>45461</v>
      </c>
      <c r="V1074" t="s">
        <v>63</v>
      </c>
      <c r="W1074">
        <f t="shared" si="82"/>
        <v>3762</v>
      </c>
      <c r="X1074">
        <f t="shared" si="83"/>
        <v>3762</v>
      </c>
      <c r="Y1074">
        <f t="shared" si="84"/>
        <v>0</v>
      </c>
      <c r="Z1074" s="8" t="str">
        <f t="shared" si="81"/>
        <v>No Discount</v>
      </c>
      <c r="AA1074" s="12">
        <f>DATE(YEAR(Table1[[#This Row],[OrderDate]]),MONTH(Table1[[#This Row],[OrderDate]]),1)</f>
        <v>45444</v>
      </c>
    </row>
    <row r="1075" spans="1:27" x14ac:dyDescent="0.3">
      <c r="A1075" s="3">
        <v>44959</v>
      </c>
      <c r="B1075" t="s">
        <v>13</v>
      </c>
      <c r="C1075" t="s">
        <v>29</v>
      </c>
      <c r="D1075" t="str">
        <f>TRIM(Table1[[#This Row],[Product]])</f>
        <v>Chair</v>
      </c>
      <c r="E1075" t="str">
        <f>PROPER(Table1[[#This Row],[Column1]])</f>
        <v>Chair</v>
      </c>
      <c r="F1075" s="8" t="str">
        <f t="shared" si="80"/>
        <v>Furniture</v>
      </c>
      <c r="G1075" s="5">
        <v>1</v>
      </c>
      <c r="H1075">
        <v>80.959999999999994</v>
      </c>
      <c r="I1075" t="s">
        <v>64</v>
      </c>
      <c r="J1075" t="s">
        <v>58</v>
      </c>
      <c r="K1075" s="7">
        <v>0</v>
      </c>
      <c r="L1075" t="s">
        <v>19</v>
      </c>
      <c r="M1075" s="5">
        <v>80.959999999999994</v>
      </c>
      <c r="N1075" t="s">
        <v>82</v>
      </c>
      <c r="O1075" t="s">
        <v>60</v>
      </c>
      <c r="P1075" s="5">
        <v>0</v>
      </c>
      <c r="Q1075" t="s">
        <v>2154</v>
      </c>
      <c r="R1075" t="s">
        <v>2155</v>
      </c>
      <c r="S1075" s="5">
        <v>48.07</v>
      </c>
      <c r="T1075" s="3">
        <v>44959</v>
      </c>
      <c r="U1075" s="3">
        <v>44962</v>
      </c>
      <c r="V1075" t="s">
        <v>70</v>
      </c>
      <c r="W1075">
        <f t="shared" si="82"/>
        <v>80.959999999999994</v>
      </c>
      <c r="X1075">
        <f t="shared" si="83"/>
        <v>80.959999999999994</v>
      </c>
      <c r="Y1075">
        <f t="shared" si="84"/>
        <v>0</v>
      </c>
      <c r="Z1075" s="8" t="str">
        <f t="shared" si="81"/>
        <v>No Discount</v>
      </c>
      <c r="AA1075" s="12">
        <f>DATE(YEAR(Table1[[#This Row],[OrderDate]]),MONTH(Table1[[#This Row],[OrderDate]]),1)</f>
        <v>44958</v>
      </c>
    </row>
    <row r="1076" spans="1:27" x14ac:dyDescent="0.3">
      <c r="A1076" s="3">
        <v>45050</v>
      </c>
      <c r="B1076" t="s">
        <v>9</v>
      </c>
      <c r="C1076" t="s">
        <v>33</v>
      </c>
      <c r="D1076" t="str">
        <f>TRIM(Table1[[#This Row],[Product]])</f>
        <v>Phone</v>
      </c>
      <c r="E1076" t="str">
        <f>PROPER(Table1[[#This Row],[Column1]])</f>
        <v>Phone</v>
      </c>
      <c r="F1076" s="8" t="str">
        <f t="shared" si="80"/>
        <v>Technology</v>
      </c>
      <c r="G1076" s="5">
        <v>20</v>
      </c>
      <c r="H1076">
        <v>42.12</v>
      </c>
      <c r="I1076" t="s">
        <v>57</v>
      </c>
      <c r="J1076" t="s">
        <v>58</v>
      </c>
      <c r="K1076" s="7">
        <v>0.15</v>
      </c>
      <c r="L1076" t="s">
        <v>18</v>
      </c>
      <c r="M1076" s="5">
        <v>716.04</v>
      </c>
      <c r="N1076" t="s">
        <v>82</v>
      </c>
      <c r="P1076" s="5">
        <v>0</v>
      </c>
      <c r="Q1076" t="s">
        <v>2156</v>
      </c>
      <c r="R1076" t="s">
        <v>2157</v>
      </c>
      <c r="S1076" s="5">
        <v>43.22</v>
      </c>
      <c r="T1076" s="3">
        <v>45050</v>
      </c>
      <c r="U1076" s="3">
        <v>45058</v>
      </c>
      <c r="V1076" t="s">
        <v>63</v>
      </c>
      <c r="W1076">
        <f t="shared" si="82"/>
        <v>608.6339999999999</v>
      </c>
      <c r="X1076">
        <f t="shared" si="83"/>
        <v>842.4</v>
      </c>
      <c r="Y1076">
        <f t="shared" si="84"/>
        <v>233.76600000000008</v>
      </c>
      <c r="Z1076" s="8" t="str">
        <f t="shared" si="81"/>
        <v>High</v>
      </c>
      <c r="AA1076" s="12">
        <f>DATE(YEAR(Table1[[#This Row],[OrderDate]]),MONTH(Table1[[#This Row],[OrderDate]]),1)</f>
        <v>45047</v>
      </c>
    </row>
    <row r="1077" spans="1:27" x14ac:dyDescent="0.3">
      <c r="A1077" s="3">
        <v>45070</v>
      </c>
      <c r="B1077" t="s">
        <v>16</v>
      </c>
      <c r="C1077" t="s">
        <v>32</v>
      </c>
      <c r="D1077" t="str">
        <f>TRIM(Table1[[#This Row],[Product]])</f>
        <v>Monitor</v>
      </c>
      <c r="E1077" t="str">
        <f>PROPER(Table1[[#This Row],[Column1]])</f>
        <v>Monitor</v>
      </c>
      <c r="F1077" s="8" t="str">
        <f t="shared" si="80"/>
        <v>Technology</v>
      </c>
      <c r="G1077" s="5">
        <v>3</v>
      </c>
      <c r="H1077">
        <v>366.65</v>
      </c>
      <c r="I1077" t="s">
        <v>81</v>
      </c>
      <c r="J1077" t="s">
        <v>58</v>
      </c>
      <c r="K1077" s="7">
        <v>0</v>
      </c>
      <c r="L1077" t="s">
        <v>21</v>
      </c>
      <c r="M1077" s="5">
        <v>1099.95</v>
      </c>
      <c r="N1077" t="s">
        <v>82</v>
      </c>
      <c r="O1077" t="s">
        <v>67</v>
      </c>
      <c r="P1077" s="5">
        <v>0</v>
      </c>
      <c r="Q1077" t="s">
        <v>2158</v>
      </c>
      <c r="R1077" t="s">
        <v>2159</v>
      </c>
      <c r="S1077" s="5">
        <v>33.6</v>
      </c>
      <c r="T1077" s="3">
        <v>45070</v>
      </c>
      <c r="U1077" s="3">
        <v>45077</v>
      </c>
      <c r="V1077" t="s">
        <v>95</v>
      </c>
      <c r="W1077">
        <f t="shared" si="82"/>
        <v>1099.95</v>
      </c>
      <c r="X1077">
        <f t="shared" si="83"/>
        <v>1099.9499999999998</v>
      </c>
      <c r="Y1077">
        <f t="shared" si="84"/>
        <v>0</v>
      </c>
      <c r="Z1077" s="8" t="str">
        <f t="shared" si="81"/>
        <v>No Discount</v>
      </c>
      <c r="AA1077" s="12">
        <f>DATE(YEAR(Table1[[#This Row],[OrderDate]]),MONTH(Table1[[#This Row],[OrderDate]]),1)</f>
        <v>45047</v>
      </c>
    </row>
    <row r="1078" spans="1:27" x14ac:dyDescent="0.3">
      <c r="A1078" s="3">
        <v>44960</v>
      </c>
      <c r="B1078" t="s">
        <v>16</v>
      </c>
      <c r="C1078" t="s">
        <v>32</v>
      </c>
      <c r="D1078" t="str">
        <f>TRIM(Table1[[#This Row],[Product]])</f>
        <v>Monitor</v>
      </c>
      <c r="E1078" t="str">
        <f>PROPER(Table1[[#This Row],[Column1]])</f>
        <v>Monitor</v>
      </c>
      <c r="F1078" s="8" t="str">
        <f t="shared" si="80"/>
        <v>Technology</v>
      </c>
      <c r="G1078" s="5">
        <v>19</v>
      </c>
      <c r="H1078">
        <v>534.91999999999996</v>
      </c>
      <c r="I1078" t="s">
        <v>81</v>
      </c>
      <c r="J1078" t="s">
        <v>65</v>
      </c>
      <c r="K1078" s="7">
        <v>0</v>
      </c>
      <c r="L1078" t="s">
        <v>23</v>
      </c>
      <c r="M1078" s="5">
        <v>10163.48</v>
      </c>
      <c r="N1078" t="s">
        <v>59</v>
      </c>
      <c r="P1078" s="5">
        <v>0</v>
      </c>
      <c r="Q1078" t="s">
        <v>2160</v>
      </c>
      <c r="R1078" t="s">
        <v>2161</v>
      </c>
      <c r="S1078" s="5">
        <v>26.97</v>
      </c>
      <c r="T1078" s="3">
        <v>44960</v>
      </c>
      <c r="U1078" s="3">
        <v>44970</v>
      </c>
      <c r="V1078" t="s">
        <v>95</v>
      </c>
      <c r="W1078">
        <f t="shared" si="82"/>
        <v>10163.48</v>
      </c>
      <c r="X1078">
        <f t="shared" si="83"/>
        <v>10163.48</v>
      </c>
      <c r="Y1078">
        <f t="shared" si="84"/>
        <v>0</v>
      </c>
      <c r="Z1078" s="8" t="str">
        <f t="shared" si="81"/>
        <v>No Discount</v>
      </c>
      <c r="AA1078" s="12">
        <f>DATE(YEAR(Table1[[#This Row],[OrderDate]]),MONTH(Table1[[#This Row],[OrderDate]]),1)</f>
        <v>44958</v>
      </c>
    </row>
    <row r="1079" spans="1:27" x14ac:dyDescent="0.3">
      <c r="A1079" s="3">
        <v>45285</v>
      </c>
      <c r="B1079" t="s">
        <v>9</v>
      </c>
      <c r="C1079" t="s">
        <v>29</v>
      </c>
      <c r="D1079" t="str">
        <f>TRIM(Table1[[#This Row],[Product]])</f>
        <v>Chair</v>
      </c>
      <c r="E1079" t="str">
        <f>PROPER(Table1[[#This Row],[Column1]])</f>
        <v>Chair</v>
      </c>
      <c r="F1079" s="8" t="str">
        <f t="shared" si="80"/>
        <v>Furniture</v>
      </c>
      <c r="G1079" s="5">
        <v>1</v>
      </c>
      <c r="H1079">
        <v>494.52</v>
      </c>
      <c r="I1079" t="s">
        <v>81</v>
      </c>
      <c r="J1079" t="s">
        <v>65</v>
      </c>
      <c r="K1079" s="7">
        <v>0</v>
      </c>
      <c r="L1079" t="s">
        <v>19</v>
      </c>
      <c r="M1079" s="5">
        <v>494.52</v>
      </c>
      <c r="N1079" t="s">
        <v>82</v>
      </c>
      <c r="P1079" s="5">
        <v>0</v>
      </c>
      <c r="Q1079" t="s">
        <v>2162</v>
      </c>
      <c r="R1079" t="s">
        <v>2163</v>
      </c>
      <c r="S1079" s="5">
        <v>43.02</v>
      </c>
      <c r="T1079" s="3">
        <v>45285</v>
      </c>
      <c r="U1079" s="3">
        <v>45293</v>
      </c>
      <c r="V1079" t="s">
        <v>63</v>
      </c>
      <c r="W1079">
        <f t="shared" si="82"/>
        <v>494.52</v>
      </c>
      <c r="X1079">
        <f t="shared" si="83"/>
        <v>494.52</v>
      </c>
      <c r="Y1079">
        <f t="shared" si="84"/>
        <v>0</v>
      </c>
      <c r="Z1079" s="8" t="str">
        <f t="shared" si="81"/>
        <v>No Discount</v>
      </c>
      <c r="AA1079" s="12">
        <f>DATE(YEAR(Table1[[#This Row],[OrderDate]]),MONTH(Table1[[#This Row],[OrderDate]]),1)</f>
        <v>45261</v>
      </c>
    </row>
    <row r="1080" spans="1:27" x14ac:dyDescent="0.3">
      <c r="A1080" s="3">
        <v>45133</v>
      </c>
      <c r="B1080" t="s">
        <v>9</v>
      </c>
      <c r="C1080" t="s">
        <v>32</v>
      </c>
      <c r="D1080" t="str">
        <f>TRIM(Table1[[#This Row],[Product]])</f>
        <v>Monitor</v>
      </c>
      <c r="E1080" t="str">
        <f>PROPER(Table1[[#This Row],[Column1]])</f>
        <v>Monitor</v>
      </c>
      <c r="F1080" s="8" t="str">
        <f t="shared" si="80"/>
        <v>Technology</v>
      </c>
      <c r="G1080" s="5">
        <v>6</v>
      </c>
      <c r="H1080">
        <v>344.67</v>
      </c>
      <c r="I1080" t="s">
        <v>81</v>
      </c>
      <c r="J1080" t="s">
        <v>58</v>
      </c>
      <c r="K1080" s="7">
        <v>0.1</v>
      </c>
      <c r="L1080" t="s">
        <v>23</v>
      </c>
      <c r="M1080" s="5">
        <v>1861.2180000000001</v>
      </c>
      <c r="N1080" t="s">
        <v>59</v>
      </c>
      <c r="O1080" t="s">
        <v>67</v>
      </c>
      <c r="P1080" s="5">
        <v>1</v>
      </c>
      <c r="Q1080" t="s">
        <v>2164</v>
      </c>
      <c r="R1080" t="s">
        <v>2165</v>
      </c>
      <c r="S1080" s="5">
        <v>31.13</v>
      </c>
      <c r="T1080" s="3">
        <v>45133</v>
      </c>
      <c r="U1080" s="3">
        <v>45139</v>
      </c>
      <c r="V1080" t="s">
        <v>63</v>
      </c>
      <c r="W1080">
        <f t="shared" si="82"/>
        <v>1675.0962000000002</v>
      </c>
      <c r="X1080">
        <f t="shared" si="83"/>
        <v>2068.02</v>
      </c>
      <c r="Y1080">
        <f t="shared" si="84"/>
        <v>392.9237999999998</v>
      </c>
      <c r="Z1080" s="8" t="str">
        <f t="shared" si="81"/>
        <v>Medium</v>
      </c>
      <c r="AA1080" s="12">
        <f>DATE(YEAR(Table1[[#This Row],[OrderDate]]),MONTH(Table1[[#This Row],[OrderDate]]),1)</f>
        <v>45108</v>
      </c>
    </row>
    <row r="1081" spans="1:27" x14ac:dyDescent="0.3">
      <c r="A1081" s="3">
        <v>45449</v>
      </c>
      <c r="B1081" t="s">
        <v>7</v>
      </c>
      <c r="C1081" t="s">
        <v>32</v>
      </c>
      <c r="D1081" t="str">
        <f>TRIM(Table1[[#This Row],[Product]])</f>
        <v>Monitor</v>
      </c>
      <c r="E1081" t="str">
        <f>PROPER(Table1[[#This Row],[Column1]])</f>
        <v>Monitor</v>
      </c>
      <c r="F1081" s="8" t="str">
        <f t="shared" si="80"/>
        <v>Technology</v>
      </c>
      <c r="G1081" s="5">
        <v>12</v>
      </c>
      <c r="H1081">
        <v>489.14</v>
      </c>
      <c r="I1081" t="s">
        <v>81</v>
      </c>
      <c r="J1081" t="s">
        <v>65</v>
      </c>
      <c r="K1081" s="7">
        <v>0.15</v>
      </c>
      <c r="L1081" t="s">
        <v>19</v>
      </c>
      <c r="M1081" s="5">
        <v>4989.2280000000001</v>
      </c>
      <c r="N1081" t="s">
        <v>59</v>
      </c>
      <c r="O1081" t="s">
        <v>67</v>
      </c>
      <c r="P1081" s="5">
        <v>0</v>
      </c>
      <c r="Q1081" t="s">
        <v>2166</v>
      </c>
      <c r="R1081" t="s">
        <v>227</v>
      </c>
      <c r="S1081" s="5">
        <v>29.31</v>
      </c>
      <c r="T1081" s="3">
        <v>45449</v>
      </c>
      <c r="U1081" s="3">
        <v>45458</v>
      </c>
      <c r="V1081" t="s">
        <v>77</v>
      </c>
      <c r="W1081">
        <f t="shared" si="82"/>
        <v>4240.8437999999996</v>
      </c>
      <c r="X1081">
        <f t="shared" si="83"/>
        <v>5869.68</v>
      </c>
      <c r="Y1081">
        <f t="shared" si="84"/>
        <v>1628.8362000000006</v>
      </c>
      <c r="Z1081" s="8" t="str">
        <f t="shared" si="81"/>
        <v>High</v>
      </c>
      <c r="AA1081" s="12">
        <f>DATE(YEAR(Table1[[#This Row],[OrderDate]]),MONTH(Table1[[#This Row],[OrderDate]]),1)</f>
        <v>45444</v>
      </c>
    </row>
    <row r="1082" spans="1:27" x14ac:dyDescent="0.3">
      <c r="A1082" s="3">
        <v>45578</v>
      </c>
      <c r="B1082" t="s">
        <v>13</v>
      </c>
      <c r="C1082" t="s">
        <v>34</v>
      </c>
      <c r="D1082" t="str">
        <f>TRIM(Table1[[#This Row],[Product]])</f>
        <v>Printer</v>
      </c>
      <c r="E1082" t="str">
        <f>PROPER(Table1[[#This Row],[Column1]])</f>
        <v>Printer</v>
      </c>
      <c r="F1082" s="8" t="str">
        <f t="shared" si="80"/>
        <v>Office Supplies</v>
      </c>
      <c r="G1082" s="5">
        <v>18</v>
      </c>
      <c r="H1082">
        <v>256.23</v>
      </c>
      <c r="I1082" t="s">
        <v>57</v>
      </c>
      <c r="J1082" t="s">
        <v>58</v>
      </c>
      <c r="K1082" s="7">
        <v>0.05</v>
      </c>
      <c r="L1082" t="s">
        <v>25</v>
      </c>
      <c r="M1082" s="5">
        <v>4381.5330000000004</v>
      </c>
      <c r="N1082" t="s">
        <v>85</v>
      </c>
      <c r="P1082" s="5">
        <v>0</v>
      </c>
      <c r="Q1082" t="s">
        <v>2167</v>
      </c>
      <c r="R1082" t="s">
        <v>2168</v>
      </c>
      <c r="S1082" s="5">
        <v>11.21</v>
      </c>
      <c r="T1082" s="3">
        <v>45578</v>
      </c>
      <c r="U1082" s="3">
        <v>45583</v>
      </c>
      <c r="V1082" t="s">
        <v>70</v>
      </c>
      <c r="W1082">
        <f t="shared" si="82"/>
        <v>4162.4563500000004</v>
      </c>
      <c r="X1082">
        <f t="shared" si="83"/>
        <v>4612.1400000000003</v>
      </c>
      <c r="Y1082">
        <f t="shared" si="84"/>
        <v>449.68364999999994</v>
      </c>
      <c r="Z1082" s="8" t="str">
        <f t="shared" si="81"/>
        <v>Medium</v>
      </c>
      <c r="AA1082" s="12">
        <f>DATE(YEAR(Table1[[#This Row],[OrderDate]]),MONTH(Table1[[#This Row],[OrderDate]]),1)</f>
        <v>45566</v>
      </c>
    </row>
    <row r="1083" spans="1:27" x14ac:dyDescent="0.3">
      <c r="A1083" s="3">
        <v>45599</v>
      </c>
      <c r="B1083" t="s">
        <v>11</v>
      </c>
      <c r="C1083" t="s">
        <v>34</v>
      </c>
      <c r="D1083" t="str">
        <f>TRIM(Table1[[#This Row],[Product]])</f>
        <v>Printer</v>
      </c>
      <c r="E1083" t="str">
        <f>PROPER(Table1[[#This Row],[Column1]])</f>
        <v>Printer</v>
      </c>
      <c r="F1083" s="8" t="str">
        <f t="shared" si="80"/>
        <v>Office Supplies</v>
      </c>
      <c r="G1083" s="5">
        <v>17</v>
      </c>
      <c r="H1083">
        <v>99.76</v>
      </c>
      <c r="I1083" t="s">
        <v>78</v>
      </c>
      <c r="J1083" t="s">
        <v>58</v>
      </c>
      <c r="K1083" s="7">
        <v>0</v>
      </c>
      <c r="L1083" t="s">
        <v>23</v>
      </c>
      <c r="M1083" s="5">
        <v>1695.92</v>
      </c>
      <c r="N1083" t="s">
        <v>59</v>
      </c>
      <c r="O1083" t="s">
        <v>60</v>
      </c>
      <c r="P1083" s="5">
        <v>1</v>
      </c>
      <c r="Q1083" t="s">
        <v>2169</v>
      </c>
      <c r="R1083" t="s">
        <v>826</v>
      </c>
      <c r="S1083" s="5">
        <v>21.89</v>
      </c>
      <c r="T1083" s="3">
        <v>45599</v>
      </c>
      <c r="U1083" s="3">
        <v>45609</v>
      </c>
      <c r="V1083" t="s">
        <v>74</v>
      </c>
      <c r="W1083">
        <f t="shared" si="82"/>
        <v>1695.92</v>
      </c>
      <c r="X1083">
        <f t="shared" si="83"/>
        <v>1695.92</v>
      </c>
      <c r="Y1083">
        <f t="shared" si="84"/>
        <v>0</v>
      </c>
      <c r="Z1083" s="8" t="str">
        <f t="shared" si="81"/>
        <v>No Discount</v>
      </c>
      <c r="AA1083" s="12">
        <f>DATE(YEAR(Table1[[#This Row],[OrderDate]]),MONTH(Table1[[#This Row],[OrderDate]]),1)</f>
        <v>45597</v>
      </c>
    </row>
    <row r="1084" spans="1:27" x14ac:dyDescent="0.3">
      <c r="A1084" s="3">
        <v>45325</v>
      </c>
      <c r="B1084" t="s">
        <v>11</v>
      </c>
      <c r="C1084" t="s">
        <v>34</v>
      </c>
      <c r="D1084" t="str">
        <f>TRIM(Table1[[#This Row],[Product]])</f>
        <v>Printer</v>
      </c>
      <c r="E1084" t="str">
        <f>PROPER(Table1[[#This Row],[Column1]])</f>
        <v>Printer</v>
      </c>
      <c r="F1084" s="8" t="str">
        <f t="shared" si="80"/>
        <v>Office Supplies</v>
      </c>
      <c r="G1084" s="5">
        <v>14</v>
      </c>
      <c r="H1084">
        <v>575.66</v>
      </c>
      <c r="I1084" t="s">
        <v>78</v>
      </c>
      <c r="J1084" t="s">
        <v>58</v>
      </c>
      <c r="K1084" s="7">
        <v>0.1</v>
      </c>
      <c r="L1084" t="s">
        <v>27</v>
      </c>
      <c r="M1084" s="5">
        <v>7253.3159999999998</v>
      </c>
      <c r="N1084" t="s">
        <v>82</v>
      </c>
      <c r="P1084" s="5">
        <v>0</v>
      </c>
      <c r="Q1084" t="s">
        <v>2170</v>
      </c>
      <c r="R1084" t="s">
        <v>2171</v>
      </c>
      <c r="S1084" s="5">
        <v>32.53</v>
      </c>
      <c r="T1084" s="3">
        <v>45325</v>
      </c>
      <c r="U1084" s="3">
        <v>45333</v>
      </c>
      <c r="V1084" t="s">
        <v>74</v>
      </c>
      <c r="W1084">
        <f t="shared" si="82"/>
        <v>6527.9844000000003</v>
      </c>
      <c r="X1084">
        <f t="shared" si="83"/>
        <v>8059.24</v>
      </c>
      <c r="Y1084">
        <f t="shared" si="84"/>
        <v>1531.2555999999995</v>
      </c>
      <c r="Z1084" s="8" t="str">
        <f t="shared" si="81"/>
        <v>Medium</v>
      </c>
      <c r="AA1084" s="12">
        <f>DATE(YEAR(Table1[[#This Row],[OrderDate]]),MONTH(Table1[[#This Row],[OrderDate]]),1)</f>
        <v>45323</v>
      </c>
    </row>
    <row r="1085" spans="1:27" x14ac:dyDescent="0.3">
      <c r="A1085" s="3">
        <v>44936</v>
      </c>
      <c r="B1085" t="s">
        <v>9</v>
      </c>
      <c r="C1085" t="s">
        <v>29</v>
      </c>
      <c r="D1085" t="str">
        <f>TRIM(Table1[[#This Row],[Product]])</f>
        <v>Chair</v>
      </c>
      <c r="E1085" t="str">
        <f>PROPER(Table1[[#This Row],[Column1]])</f>
        <v>Chair</v>
      </c>
      <c r="F1085" s="8" t="str">
        <f t="shared" si="80"/>
        <v>Furniture</v>
      </c>
      <c r="G1085" s="5">
        <v>6</v>
      </c>
      <c r="H1085">
        <v>176.52</v>
      </c>
      <c r="I1085" t="s">
        <v>81</v>
      </c>
      <c r="J1085" t="s">
        <v>58</v>
      </c>
      <c r="K1085" s="7">
        <v>0.15</v>
      </c>
      <c r="L1085" t="s">
        <v>18</v>
      </c>
      <c r="M1085" s="5">
        <v>900.25200000000007</v>
      </c>
      <c r="N1085" t="s">
        <v>59</v>
      </c>
      <c r="O1085" t="s">
        <v>60</v>
      </c>
      <c r="P1085" s="5">
        <v>0</v>
      </c>
      <c r="Q1085" t="s">
        <v>2172</v>
      </c>
      <c r="R1085" t="s">
        <v>2173</v>
      </c>
      <c r="S1085" s="5">
        <v>16.98</v>
      </c>
      <c r="T1085" s="3">
        <v>44936</v>
      </c>
      <c r="U1085" s="3">
        <v>44939</v>
      </c>
      <c r="V1085" t="s">
        <v>63</v>
      </c>
      <c r="W1085">
        <f t="shared" si="82"/>
        <v>765.21420000000001</v>
      </c>
      <c r="X1085">
        <f t="shared" si="83"/>
        <v>1059.1200000000001</v>
      </c>
      <c r="Y1085">
        <f t="shared" si="84"/>
        <v>293.90580000000011</v>
      </c>
      <c r="Z1085" s="8" t="str">
        <f t="shared" si="81"/>
        <v>High</v>
      </c>
      <c r="AA1085" s="12">
        <f>DATE(YEAR(Table1[[#This Row],[OrderDate]]),MONTH(Table1[[#This Row],[OrderDate]]),1)</f>
        <v>44927</v>
      </c>
    </row>
    <row r="1086" spans="1:27" x14ac:dyDescent="0.3">
      <c r="A1086" s="3">
        <v>45215</v>
      </c>
      <c r="B1086" t="s">
        <v>9</v>
      </c>
      <c r="C1086" t="s">
        <v>35</v>
      </c>
      <c r="D1086" t="str">
        <f>TRIM(Table1[[#This Row],[Product]])</f>
        <v>Tablet</v>
      </c>
      <c r="E1086" t="str">
        <f>PROPER(Table1[[#This Row],[Column1]])</f>
        <v>Tablet</v>
      </c>
      <c r="F1086" s="8" t="str">
        <f t="shared" si="80"/>
        <v>Technology</v>
      </c>
      <c r="G1086" s="5">
        <v>6</v>
      </c>
      <c r="H1086">
        <v>485.66</v>
      </c>
      <c r="I1086" t="s">
        <v>81</v>
      </c>
      <c r="J1086" t="s">
        <v>58</v>
      </c>
      <c r="K1086" s="7">
        <v>0.05</v>
      </c>
      <c r="L1086" t="s">
        <v>25</v>
      </c>
      <c r="M1086" s="5">
        <v>2768.2620000000002</v>
      </c>
      <c r="N1086" t="s">
        <v>66</v>
      </c>
      <c r="O1086" t="s">
        <v>60</v>
      </c>
      <c r="P1086" s="5">
        <v>0</v>
      </c>
      <c r="Q1086" t="s">
        <v>2174</v>
      </c>
      <c r="R1086" t="s">
        <v>2175</v>
      </c>
      <c r="S1086" s="5">
        <v>30.62</v>
      </c>
      <c r="T1086" s="3">
        <v>45215</v>
      </c>
      <c r="U1086" s="3">
        <v>45221</v>
      </c>
      <c r="V1086" t="s">
        <v>63</v>
      </c>
      <c r="W1086">
        <f t="shared" si="82"/>
        <v>2629.8489</v>
      </c>
      <c r="X1086">
        <f t="shared" si="83"/>
        <v>2913.96</v>
      </c>
      <c r="Y1086">
        <f t="shared" si="84"/>
        <v>284.11110000000008</v>
      </c>
      <c r="Z1086" s="8" t="str">
        <f t="shared" si="81"/>
        <v>Medium</v>
      </c>
      <c r="AA1086" s="12">
        <f>DATE(YEAR(Table1[[#This Row],[OrderDate]]),MONTH(Table1[[#This Row],[OrderDate]]),1)</f>
        <v>45200</v>
      </c>
    </row>
    <row r="1087" spans="1:27" x14ac:dyDescent="0.3">
      <c r="A1087" s="3">
        <v>45735</v>
      </c>
      <c r="B1087" t="s">
        <v>7</v>
      </c>
      <c r="C1087" t="s">
        <v>31</v>
      </c>
      <c r="D1087" t="str">
        <f>TRIM(Table1[[#This Row],[Product]])</f>
        <v>Laptop</v>
      </c>
      <c r="E1087" t="str">
        <f>PROPER(Table1[[#This Row],[Column1]])</f>
        <v>Laptop</v>
      </c>
      <c r="F1087" s="8" t="str">
        <f t="shared" si="80"/>
        <v>Technology</v>
      </c>
      <c r="G1087" s="5">
        <v>8</v>
      </c>
      <c r="H1087">
        <v>141.61000000000001</v>
      </c>
      <c r="I1087" t="s">
        <v>57</v>
      </c>
      <c r="J1087" t="s">
        <v>65</v>
      </c>
      <c r="K1087" s="7">
        <v>0.1</v>
      </c>
      <c r="L1087" t="s">
        <v>19</v>
      </c>
      <c r="M1087" s="5">
        <v>1019.592</v>
      </c>
      <c r="N1087" t="s">
        <v>66</v>
      </c>
      <c r="O1087" t="s">
        <v>71</v>
      </c>
      <c r="P1087" s="5">
        <v>0</v>
      </c>
      <c r="Q1087" t="s">
        <v>2176</v>
      </c>
      <c r="R1087" t="s">
        <v>2177</v>
      </c>
      <c r="S1087" s="5">
        <v>14.02</v>
      </c>
      <c r="T1087" s="3">
        <v>45735</v>
      </c>
      <c r="U1087" s="3">
        <v>45740</v>
      </c>
      <c r="V1087" t="s">
        <v>77</v>
      </c>
      <c r="W1087">
        <f t="shared" si="82"/>
        <v>917.63279999999997</v>
      </c>
      <c r="X1087">
        <f t="shared" si="83"/>
        <v>1132.8800000000001</v>
      </c>
      <c r="Y1087">
        <f t="shared" si="84"/>
        <v>215.24720000000013</v>
      </c>
      <c r="Z1087" s="8" t="str">
        <f t="shared" si="81"/>
        <v>Medium</v>
      </c>
      <c r="AA1087" s="12">
        <f>DATE(YEAR(Table1[[#This Row],[OrderDate]]),MONTH(Table1[[#This Row],[OrderDate]]),1)</f>
        <v>45717</v>
      </c>
    </row>
    <row r="1088" spans="1:27" x14ac:dyDescent="0.3">
      <c r="A1088" s="3">
        <v>45642</v>
      </c>
      <c r="B1088" t="s">
        <v>16</v>
      </c>
      <c r="C1088" t="s">
        <v>30</v>
      </c>
      <c r="D1088" t="str">
        <f>TRIM(Table1[[#This Row],[Product]])</f>
        <v>Desk</v>
      </c>
      <c r="E1088" t="str">
        <f>PROPER(Table1[[#This Row],[Column1]])</f>
        <v>Desk</v>
      </c>
      <c r="F1088" s="8" t="str">
        <f t="shared" si="80"/>
        <v>Furniture</v>
      </c>
      <c r="G1088" s="5">
        <v>9</v>
      </c>
      <c r="H1088">
        <v>215.29</v>
      </c>
      <c r="I1088" t="s">
        <v>78</v>
      </c>
      <c r="J1088" t="s">
        <v>58</v>
      </c>
      <c r="K1088" s="7">
        <v>0.1</v>
      </c>
      <c r="L1088" t="s">
        <v>18</v>
      </c>
      <c r="M1088" s="5">
        <v>1743.8489999999999</v>
      </c>
      <c r="N1088" t="s">
        <v>82</v>
      </c>
      <c r="O1088" t="s">
        <v>71</v>
      </c>
      <c r="P1088" s="5">
        <v>0</v>
      </c>
      <c r="Q1088" t="s">
        <v>2178</v>
      </c>
      <c r="R1088" t="s">
        <v>2179</v>
      </c>
      <c r="S1088" s="5">
        <v>5.84</v>
      </c>
      <c r="T1088" s="3">
        <v>45642</v>
      </c>
      <c r="U1088" s="3">
        <v>45645</v>
      </c>
      <c r="V1088" t="s">
        <v>95</v>
      </c>
      <c r="W1088">
        <f t="shared" si="82"/>
        <v>1569.4640999999999</v>
      </c>
      <c r="X1088">
        <f t="shared" si="83"/>
        <v>1937.61</v>
      </c>
      <c r="Y1088">
        <f t="shared" si="84"/>
        <v>368.14589999999998</v>
      </c>
      <c r="Z1088" s="8" t="str">
        <f t="shared" si="81"/>
        <v>Medium</v>
      </c>
      <c r="AA1088" s="12">
        <f>DATE(YEAR(Table1[[#This Row],[OrderDate]]),MONTH(Table1[[#This Row],[OrderDate]]),1)</f>
        <v>45627</v>
      </c>
    </row>
    <row r="1089" spans="1:27" x14ac:dyDescent="0.3">
      <c r="A1089" s="3">
        <v>45154</v>
      </c>
      <c r="B1089" t="s">
        <v>16</v>
      </c>
      <c r="C1089" t="s">
        <v>31</v>
      </c>
      <c r="D1089" t="str">
        <f>TRIM(Table1[[#This Row],[Product]])</f>
        <v>Laptop</v>
      </c>
      <c r="E1089" t="str">
        <f>PROPER(Table1[[#This Row],[Column1]])</f>
        <v>Laptop</v>
      </c>
      <c r="F1089" s="8" t="str">
        <f t="shared" si="80"/>
        <v>Technology</v>
      </c>
      <c r="G1089" s="5">
        <v>18</v>
      </c>
      <c r="H1089">
        <v>497.22</v>
      </c>
      <c r="I1089" t="s">
        <v>57</v>
      </c>
      <c r="J1089" t="s">
        <v>58</v>
      </c>
      <c r="K1089" s="7">
        <v>0.05</v>
      </c>
      <c r="L1089" t="s">
        <v>23</v>
      </c>
      <c r="M1089" s="5">
        <v>8502.4620000000014</v>
      </c>
      <c r="N1089" t="s">
        <v>82</v>
      </c>
      <c r="O1089" t="s">
        <v>71</v>
      </c>
      <c r="P1089" s="5">
        <v>0</v>
      </c>
      <c r="Q1089" t="s">
        <v>2180</v>
      </c>
      <c r="R1089" t="s">
        <v>2181</v>
      </c>
      <c r="S1089" s="5">
        <v>17.39</v>
      </c>
      <c r="T1089" s="3">
        <v>45154</v>
      </c>
      <c r="U1089" s="3">
        <v>45158</v>
      </c>
      <c r="V1089" t="s">
        <v>95</v>
      </c>
      <c r="W1089">
        <f t="shared" si="82"/>
        <v>8077.3389000000006</v>
      </c>
      <c r="X1089">
        <f t="shared" si="83"/>
        <v>8949.9600000000009</v>
      </c>
      <c r="Y1089">
        <f t="shared" si="84"/>
        <v>872.6211000000003</v>
      </c>
      <c r="Z1089" s="8" t="str">
        <f t="shared" si="81"/>
        <v>Medium</v>
      </c>
      <c r="AA1089" s="12">
        <f>DATE(YEAR(Table1[[#This Row],[OrderDate]]),MONTH(Table1[[#This Row],[OrderDate]]),1)</f>
        <v>45139</v>
      </c>
    </row>
    <row r="1090" spans="1:27" x14ac:dyDescent="0.3">
      <c r="A1090" s="3">
        <v>44936</v>
      </c>
      <c r="B1090" t="s">
        <v>9</v>
      </c>
      <c r="C1090" t="s">
        <v>30</v>
      </c>
      <c r="D1090" t="str">
        <f>TRIM(Table1[[#This Row],[Product]])</f>
        <v>Desk</v>
      </c>
      <c r="E1090" t="str">
        <f>PROPER(Table1[[#This Row],[Column1]])</f>
        <v>Desk</v>
      </c>
      <c r="F1090" s="8" t="str">
        <f t="shared" ref="F1090:F1153" si="85">IF(OR(E1090="Chair",E1090="Desk"),"Furniture",IF(OR(E1090="Laptop",E1090="Monitor",E1090="Phone",E1090="Tablet"),"Technology",IF(E1090="Printer","Office Supplies","Other")))</f>
        <v>Furniture</v>
      </c>
      <c r="G1090" s="5">
        <v>13</v>
      </c>
      <c r="H1090">
        <v>347.73</v>
      </c>
      <c r="I1090" t="s">
        <v>57</v>
      </c>
      <c r="J1090" t="s">
        <v>58</v>
      </c>
      <c r="K1090" s="7">
        <v>0.05</v>
      </c>
      <c r="L1090" t="s">
        <v>23</v>
      </c>
      <c r="M1090" s="5">
        <v>4294.4654999999993</v>
      </c>
      <c r="N1090" t="s">
        <v>66</v>
      </c>
      <c r="O1090" t="s">
        <v>60</v>
      </c>
      <c r="P1090" s="5">
        <v>1</v>
      </c>
      <c r="Q1090" t="s">
        <v>2182</v>
      </c>
      <c r="R1090" t="s">
        <v>2183</v>
      </c>
      <c r="S1090" s="5">
        <v>31.81</v>
      </c>
      <c r="T1090" s="3">
        <v>44936</v>
      </c>
      <c r="U1090" s="3">
        <v>44946</v>
      </c>
      <c r="V1090" t="s">
        <v>63</v>
      </c>
      <c r="W1090">
        <f t="shared" si="82"/>
        <v>4079.7422249999991</v>
      </c>
      <c r="X1090">
        <f t="shared" si="83"/>
        <v>4520.49</v>
      </c>
      <c r="Y1090">
        <f t="shared" si="84"/>
        <v>440.74777500000073</v>
      </c>
      <c r="Z1090" s="8" t="str">
        <f t="shared" ref="Z1090:Z1153" si="86">IF(K1090=0,"No Discount",IF(K1090&lt;5%,"Low",IF(K1090&lt;15%,"Medium","High")))</f>
        <v>Medium</v>
      </c>
      <c r="AA1090" s="12">
        <f>DATE(YEAR(Table1[[#This Row],[OrderDate]]),MONTH(Table1[[#This Row],[OrderDate]]),1)</f>
        <v>44927</v>
      </c>
    </row>
    <row r="1091" spans="1:27" x14ac:dyDescent="0.3">
      <c r="A1091" s="3">
        <v>45786</v>
      </c>
      <c r="B1091" t="s">
        <v>7</v>
      </c>
      <c r="C1091" t="s">
        <v>29</v>
      </c>
      <c r="D1091" t="str">
        <f>TRIM(Table1[[#This Row],[Product]])</f>
        <v>Chair</v>
      </c>
      <c r="E1091" t="str">
        <f>PROPER(Table1[[#This Row],[Column1]])</f>
        <v>Chair</v>
      </c>
      <c r="F1091" s="8" t="str">
        <f t="shared" si="85"/>
        <v>Furniture</v>
      </c>
      <c r="G1091" s="5">
        <v>3</v>
      </c>
      <c r="H1091">
        <v>371.21</v>
      </c>
      <c r="I1091" t="s">
        <v>78</v>
      </c>
      <c r="J1091" t="s">
        <v>58</v>
      </c>
      <c r="K1091" s="7">
        <v>0.1</v>
      </c>
      <c r="L1091" t="s">
        <v>25</v>
      </c>
      <c r="M1091" s="5">
        <v>1002.2670000000001</v>
      </c>
      <c r="N1091" t="s">
        <v>66</v>
      </c>
      <c r="O1091" t="s">
        <v>67</v>
      </c>
      <c r="P1091" s="5">
        <v>0</v>
      </c>
      <c r="Q1091" t="s">
        <v>2184</v>
      </c>
      <c r="R1091" t="s">
        <v>2185</v>
      </c>
      <c r="S1091" s="5">
        <v>20.02</v>
      </c>
      <c r="T1091" s="3">
        <v>45786</v>
      </c>
      <c r="U1091" s="3">
        <v>45795</v>
      </c>
      <c r="V1091" t="s">
        <v>77</v>
      </c>
      <c r="W1091">
        <f t="shared" ref="W1091:W1154" si="87">M1091*(1-K1091)</f>
        <v>902.04030000000012</v>
      </c>
      <c r="X1091">
        <f t="shared" ref="X1091:X1154" si="88">G1091*H1091</f>
        <v>1113.6299999999999</v>
      </c>
      <c r="Y1091">
        <f t="shared" ref="Y1091:Y1154" si="89">X1091-W1091</f>
        <v>211.58969999999977</v>
      </c>
      <c r="Z1091" s="8" t="str">
        <f t="shared" si="86"/>
        <v>Medium</v>
      </c>
      <c r="AA1091" s="12">
        <f>DATE(YEAR(Table1[[#This Row],[OrderDate]]),MONTH(Table1[[#This Row],[OrderDate]]),1)</f>
        <v>45778</v>
      </c>
    </row>
    <row r="1092" spans="1:27" x14ac:dyDescent="0.3">
      <c r="A1092" s="3">
        <v>45390</v>
      </c>
      <c r="B1092" t="s">
        <v>9</v>
      </c>
      <c r="C1092" t="s">
        <v>34</v>
      </c>
      <c r="D1092" t="str">
        <f>TRIM(Table1[[#This Row],[Product]])</f>
        <v>Printer</v>
      </c>
      <c r="E1092" t="str">
        <f>PROPER(Table1[[#This Row],[Column1]])</f>
        <v>Printer</v>
      </c>
      <c r="F1092" s="8" t="str">
        <f t="shared" si="85"/>
        <v>Office Supplies</v>
      </c>
      <c r="G1092" s="5">
        <v>12</v>
      </c>
      <c r="H1092">
        <v>434.33</v>
      </c>
      <c r="I1092" t="s">
        <v>64</v>
      </c>
      <c r="J1092" t="s">
        <v>58</v>
      </c>
      <c r="K1092" s="7">
        <v>0.15</v>
      </c>
      <c r="L1092" t="s">
        <v>19</v>
      </c>
      <c r="M1092" s="5">
        <v>4430.1660000000002</v>
      </c>
      <c r="N1092" t="s">
        <v>88</v>
      </c>
      <c r="O1092" t="s">
        <v>60</v>
      </c>
      <c r="P1092" s="5">
        <v>0</v>
      </c>
      <c r="Q1092" t="s">
        <v>2186</v>
      </c>
      <c r="R1092" t="s">
        <v>603</v>
      </c>
      <c r="S1092" s="5">
        <v>15.33</v>
      </c>
      <c r="T1092" s="3">
        <v>45390</v>
      </c>
      <c r="U1092" s="3">
        <v>45398</v>
      </c>
      <c r="V1092" t="s">
        <v>63</v>
      </c>
      <c r="W1092">
        <f t="shared" si="87"/>
        <v>3765.6410999999998</v>
      </c>
      <c r="X1092">
        <f t="shared" si="88"/>
        <v>5211.96</v>
      </c>
      <c r="Y1092">
        <f t="shared" si="89"/>
        <v>1446.3189000000002</v>
      </c>
      <c r="Z1092" s="8" t="str">
        <f t="shared" si="86"/>
        <v>High</v>
      </c>
      <c r="AA1092" s="12">
        <f>DATE(YEAR(Table1[[#This Row],[OrderDate]]),MONTH(Table1[[#This Row],[OrderDate]]),1)</f>
        <v>45383</v>
      </c>
    </row>
    <row r="1093" spans="1:27" x14ac:dyDescent="0.3">
      <c r="A1093" s="3">
        <v>45783</v>
      </c>
      <c r="B1093" t="s">
        <v>9</v>
      </c>
      <c r="C1093" t="s">
        <v>32</v>
      </c>
      <c r="D1093" t="str">
        <f>TRIM(Table1[[#This Row],[Product]])</f>
        <v>Monitor</v>
      </c>
      <c r="E1093" t="str">
        <f>PROPER(Table1[[#This Row],[Column1]])</f>
        <v>Monitor</v>
      </c>
      <c r="F1093" s="8" t="str">
        <f t="shared" si="85"/>
        <v>Technology</v>
      </c>
      <c r="G1093" s="5">
        <v>16</v>
      </c>
      <c r="H1093">
        <v>426.65</v>
      </c>
      <c r="I1093" t="s">
        <v>64</v>
      </c>
      <c r="J1093" t="s">
        <v>65</v>
      </c>
      <c r="K1093" s="7">
        <v>0.1</v>
      </c>
      <c r="L1093" t="s">
        <v>23</v>
      </c>
      <c r="M1093" s="5">
        <v>6143.76</v>
      </c>
      <c r="N1093" t="s">
        <v>66</v>
      </c>
      <c r="P1093" s="5">
        <v>0</v>
      </c>
      <c r="Q1093" t="s">
        <v>2187</v>
      </c>
      <c r="R1093" t="s">
        <v>2188</v>
      </c>
      <c r="S1093" s="5">
        <v>10.199999999999999</v>
      </c>
      <c r="T1093" s="3">
        <v>45783</v>
      </c>
      <c r="U1093" s="3">
        <v>45792</v>
      </c>
      <c r="V1093" t="s">
        <v>63</v>
      </c>
      <c r="W1093">
        <f t="shared" si="87"/>
        <v>5529.384</v>
      </c>
      <c r="X1093">
        <f t="shared" si="88"/>
        <v>6826.4</v>
      </c>
      <c r="Y1093">
        <f t="shared" si="89"/>
        <v>1297.0159999999996</v>
      </c>
      <c r="Z1093" s="8" t="str">
        <f t="shared" si="86"/>
        <v>Medium</v>
      </c>
      <c r="AA1093" s="12">
        <f>DATE(YEAR(Table1[[#This Row],[OrderDate]]),MONTH(Table1[[#This Row],[OrderDate]]),1)</f>
        <v>45778</v>
      </c>
    </row>
    <row r="1094" spans="1:27" x14ac:dyDescent="0.3">
      <c r="A1094" s="3">
        <v>45067</v>
      </c>
      <c r="B1094" t="s">
        <v>16</v>
      </c>
      <c r="C1094" t="s">
        <v>30</v>
      </c>
      <c r="D1094" t="str">
        <f>TRIM(Table1[[#This Row],[Product]])</f>
        <v>Desk</v>
      </c>
      <c r="E1094" t="str">
        <f>PROPER(Table1[[#This Row],[Column1]])</f>
        <v>Desk</v>
      </c>
      <c r="F1094" s="8" t="str">
        <f t="shared" si="85"/>
        <v>Furniture</v>
      </c>
      <c r="G1094" s="5">
        <v>6</v>
      </c>
      <c r="H1094">
        <v>294.97000000000003</v>
      </c>
      <c r="I1094" t="s">
        <v>64</v>
      </c>
      <c r="J1094" t="s">
        <v>58</v>
      </c>
      <c r="K1094" s="7">
        <v>0.05</v>
      </c>
      <c r="L1094" t="s">
        <v>19</v>
      </c>
      <c r="M1094" s="5">
        <v>1681.329</v>
      </c>
      <c r="N1094" t="s">
        <v>82</v>
      </c>
      <c r="O1094" t="s">
        <v>71</v>
      </c>
      <c r="P1094" s="5">
        <v>0</v>
      </c>
      <c r="Q1094" t="s">
        <v>2189</v>
      </c>
      <c r="R1094" t="s">
        <v>2190</v>
      </c>
      <c r="S1094" s="5">
        <v>48.08</v>
      </c>
      <c r="T1094" s="3">
        <v>45067</v>
      </c>
      <c r="U1094" s="3">
        <v>45075</v>
      </c>
      <c r="V1094" t="s">
        <v>95</v>
      </c>
      <c r="W1094">
        <f t="shared" si="87"/>
        <v>1597.2625499999999</v>
      </c>
      <c r="X1094">
        <f t="shared" si="88"/>
        <v>1769.8200000000002</v>
      </c>
      <c r="Y1094">
        <f t="shared" si="89"/>
        <v>172.55745000000024</v>
      </c>
      <c r="Z1094" s="8" t="str">
        <f t="shared" si="86"/>
        <v>Medium</v>
      </c>
      <c r="AA1094" s="12">
        <f>DATE(YEAR(Table1[[#This Row],[OrderDate]]),MONTH(Table1[[#This Row],[OrderDate]]),1)</f>
        <v>45047</v>
      </c>
    </row>
    <row r="1095" spans="1:27" x14ac:dyDescent="0.3">
      <c r="A1095" s="3">
        <v>45253</v>
      </c>
      <c r="B1095" t="s">
        <v>7</v>
      </c>
      <c r="C1095" t="s">
        <v>33</v>
      </c>
      <c r="D1095" t="str">
        <f>TRIM(Table1[[#This Row],[Product]])</f>
        <v>Phone</v>
      </c>
      <c r="E1095" t="str">
        <f>PROPER(Table1[[#This Row],[Column1]])</f>
        <v>Phone</v>
      </c>
      <c r="F1095" s="8" t="str">
        <f t="shared" si="85"/>
        <v>Technology</v>
      </c>
      <c r="G1095" s="5">
        <v>12</v>
      </c>
      <c r="H1095">
        <v>130.9</v>
      </c>
      <c r="I1095" t="s">
        <v>81</v>
      </c>
      <c r="J1095" t="s">
        <v>65</v>
      </c>
      <c r="K1095" s="7">
        <v>0.15</v>
      </c>
      <c r="L1095" t="s">
        <v>18</v>
      </c>
      <c r="M1095" s="5">
        <v>1335.18</v>
      </c>
      <c r="N1095" t="s">
        <v>85</v>
      </c>
      <c r="O1095" t="s">
        <v>67</v>
      </c>
      <c r="P1095" s="5">
        <v>0</v>
      </c>
      <c r="Q1095" t="s">
        <v>2191</v>
      </c>
      <c r="R1095" t="s">
        <v>2192</v>
      </c>
      <c r="S1095" s="5">
        <v>34.69</v>
      </c>
      <c r="T1095" s="3">
        <v>45253</v>
      </c>
      <c r="U1095" s="3">
        <v>45260</v>
      </c>
      <c r="V1095" t="s">
        <v>77</v>
      </c>
      <c r="W1095">
        <f t="shared" si="87"/>
        <v>1134.903</v>
      </c>
      <c r="X1095">
        <f t="shared" si="88"/>
        <v>1570.8000000000002</v>
      </c>
      <c r="Y1095">
        <f t="shared" si="89"/>
        <v>435.89700000000016</v>
      </c>
      <c r="Z1095" s="8" t="str">
        <f t="shared" si="86"/>
        <v>High</v>
      </c>
      <c r="AA1095" s="12">
        <f>DATE(YEAR(Table1[[#This Row],[OrderDate]]),MONTH(Table1[[#This Row],[OrderDate]]),1)</f>
        <v>45231</v>
      </c>
    </row>
    <row r="1096" spans="1:27" x14ac:dyDescent="0.3">
      <c r="A1096" s="3">
        <v>45377</v>
      </c>
      <c r="B1096" t="s">
        <v>11</v>
      </c>
      <c r="C1096" t="s">
        <v>32</v>
      </c>
      <c r="D1096" t="str">
        <f>TRIM(Table1[[#This Row],[Product]])</f>
        <v>Monitor</v>
      </c>
      <c r="E1096" t="str">
        <f>PROPER(Table1[[#This Row],[Column1]])</f>
        <v>Monitor</v>
      </c>
      <c r="F1096" s="8" t="str">
        <f t="shared" si="85"/>
        <v>Technology</v>
      </c>
      <c r="G1096" s="5">
        <v>18</v>
      </c>
      <c r="H1096">
        <v>539.98</v>
      </c>
      <c r="I1096" t="s">
        <v>78</v>
      </c>
      <c r="J1096" t="s">
        <v>65</v>
      </c>
      <c r="K1096" s="7">
        <v>0.15</v>
      </c>
      <c r="L1096" t="s">
        <v>25</v>
      </c>
      <c r="M1096" s="5">
        <v>8261.6939999999995</v>
      </c>
      <c r="N1096" t="s">
        <v>88</v>
      </c>
      <c r="O1096" t="s">
        <v>60</v>
      </c>
      <c r="P1096" s="5">
        <v>1</v>
      </c>
      <c r="Q1096" t="s">
        <v>2193</v>
      </c>
      <c r="R1096" t="s">
        <v>2194</v>
      </c>
      <c r="S1096" s="5">
        <v>34.44</v>
      </c>
      <c r="T1096" s="3">
        <v>45377</v>
      </c>
      <c r="U1096" s="3">
        <v>45387</v>
      </c>
      <c r="V1096" t="s">
        <v>74</v>
      </c>
      <c r="W1096">
        <f t="shared" si="87"/>
        <v>7022.4398999999994</v>
      </c>
      <c r="X1096">
        <f t="shared" si="88"/>
        <v>9719.64</v>
      </c>
      <c r="Y1096">
        <f t="shared" si="89"/>
        <v>2697.2001</v>
      </c>
      <c r="Z1096" s="8" t="str">
        <f t="shared" si="86"/>
        <v>High</v>
      </c>
      <c r="AA1096" s="12">
        <f>DATE(YEAR(Table1[[#This Row],[OrderDate]]),MONTH(Table1[[#This Row],[OrderDate]]),1)</f>
        <v>45352</v>
      </c>
    </row>
    <row r="1097" spans="1:27" x14ac:dyDescent="0.3">
      <c r="A1097" s="3">
        <v>45560</v>
      </c>
      <c r="B1097" t="s">
        <v>13</v>
      </c>
      <c r="C1097" t="s">
        <v>30</v>
      </c>
      <c r="D1097" t="str">
        <f>TRIM(Table1[[#This Row],[Product]])</f>
        <v>Desk</v>
      </c>
      <c r="E1097" t="str">
        <f>PROPER(Table1[[#This Row],[Column1]])</f>
        <v>Desk</v>
      </c>
      <c r="F1097" s="8" t="str">
        <f t="shared" si="85"/>
        <v>Furniture</v>
      </c>
      <c r="G1097" s="5">
        <v>12</v>
      </c>
      <c r="H1097">
        <v>149.37</v>
      </c>
      <c r="I1097" t="s">
        <v>81</v>
      </c>
      <c r="J1097" t="s">
        <v>65</v>
      </c>
      <c r="K1097" s="7">
        <v>0.1</v>
      </c>
      <c r="L1097" t="s">
        <v>19</v>
      </c>
      <c r="M1097" s="5">
        <v>1613.1959999999999</v>
      </c>
      <c r="N1097" t="s">
        <v>82</v>
      </c>
      <c r="P1097" s="5">
        <v>0</v>
      </c>
      <c r="Q1097" t="s">
        <v>2195</v>
      </c>
      <c r="R1097" t="s">
        <v>2196</v>
      </c>
      <c r="S1097" s="5">
        <v>20.21</v>
      </c>
      <c r="T1097" s="3">
        <v>45560</v>
      </c>
      <c r="U1097" s="3">
        <v>45567</v>
      </c>
      <c r="V1097" t="s">
        <v>70</v>
      </c>
      <c r="W1097">
        <f t="shared" si="87"/>
        <v>1451.8763999999999</v>
      </c>
      <c r="X1097">
        <f t="shared" si="88"/>
        <v>1792.44</v>
      </c>
      <c r="Y1097">
        <f t="shared" si="89"/>
        <v>340.56360000000018</v>
      </c>
      <c r="Z1097" s="8" t="str">
        <f t="shared" si="86"/>
        <v>Medium</v>
      </c>
      <c r="AA1097" s="12">
        <f>DATE(YEAR(Table1[[#This Row],[OrderDate]]),MONTH(Table1[[#This Row],[OrderDate]]),1)</f>
        <v>45536</v>
      </c>
    </row>
    <row r="1098" spans="1:27" x14ac:dyDescent="0.3">
      <c r="A1098" s="3">
        <v>45022</v>
      </c>
      <c r="B1098" t="s">
        <v>9</v>
      </c>
      <c r="C1098" t="s">
        <v>29</v>
      </c>
      <c r="D1098" t="str">
        <f>TRIM(Table1[[#This Row],[Product]])</f>
        <v>Chair</v>
      </c>
      <c r="E1098" t="str">
        <f>PROPER(Table1[[#This Row],[Column1]])</f>
        <v>Chair</v>
      </c>
      <c r="F1098" s="8" t="str">
        <f t="shared" si="85"/>
        <v>Furniture</v>
      </c>
      <c r="G1098" s="5">
        <v>5</v>
      </c>
      <c r="H1098">
        <v>411.24</v>
      </c>
      <c r="I1098" t="s">
        <v>64</v>
      </c>
      <c r="J1098" t="s">
        <v>58</v>
      </c>
      <c r="K1098" s="7">
        <v>0.15</v>
      </c>
      <c r="L1098" t="s">
        <v>19</v>
      </c>
      <c r="M1098" s="5">
        <v>1747.77</v>
      </c>
      <c r="N1098" t="s">
        <v>88</v>
      </c>
      <c r="O1098" t="s">
        <v>71</v>
      </c>
      <c r="P1098" s="5">
        <v>1</v>
      </c>
      <c r="Q1098" t="s">
        <v>2197</v>
      </c>
      <c r="R1098" t="s">
        <v>2198</v>
      </c>
      <c r="S1098" s="5">
        <v>5.35</v>
      </c>
      <c r="T1098" s="3">
        <v>45022</v>
      </c>
      <c r="U1098" s="3">
        <v>45026</v>
      </c>
      <c r="V1098" t="s">
        <v>63</v>
      </c>
      <c r="W1098">
        <f t="shared" si="87"/>
        <v>1485.6044999999999</v>
      </c>
      <c r="X1098">
        <f t="shared" si="88"/>
        <v>2056.1999999999998</v>
      </c>
      <c r="Y1098">
        <f t="shared" si="89"/>
        <v>570.5954999999999</v>
      </c>
      <c r="Z1098" s="8" t="str">
        <f t="shared" si="86"/>
        <v>High</v>
      </c>
      <c r="AA1098" s="12">
        <f>DATE(YEAR(Table1[[#This Row],[OrderDate]]),MONTH(Table1[[#This Row],[OrderDate]]),1)</f>
        <v>45017</v>
      </c>
    </row>
    <row r="1099" spans="1:27" x14ac:dyDescent="0.3">
      <c r="A1099" s="3">
        <v>45467</v>
      </c>
      <c r="B1099" t="s">
        <v>11</v>
      </c>
      <c r="C1099" t="s">
        <v>29</v>
      </c>
      <c r="D1099" t="str">
        <f>TRIM(Table1[[#This Row],[Product]])</f>
        <v>Chair</v>
      </c>
      <c r="E1099" t="str">
        <f>PROPER(Table1[[#This Row],[Column1]])</f>
        <v>Chair</v>
      </c>
      <c r="F1099" s="8" t="str">
        <f t="shared" si="85"/>
        <v>Furniture</v>
      </c>
      <c r="G1099" s="5">
        <v>16</v>
      </c>
      <c r="H1099">
        <v>462.86</v>
      </c>
      <c r="I1099" t="s">
        <v>81</v>
      </c>
      <c r="J1099" t="s">
        <v>65</v>
      </c>
      <c r="K1099" s="7">
        <v>0.05</v>
      </c>
      <c r="L1099" t="s">
        <v>19</v>
      </c>
      <c r="M1099" s="5">
        <v>7035.4719999999998</v>
      </c>
      <c r="N1099" t="s">
        <v>88</v>
      </c>
      <c r="P1099" s="5">
        <v>1</v>
      </c>
      <c r="Q1099" t="s">
        <v>2199</v>
      </c>
      <c r="R1099" t="s">
        <v>2200</v>
      </c>
      <c r="S1099" s="5">
        <v>17.43</v>
      </c>
      <c r="T1099" s="3">
        <v>45467</v>
      </c>
      <c r="U1099" s="3">
        <v>45469</v>
      </c>
      <c r="V1099" t="s">
        <v>74</v>
      </c>
      <c r="W1099">
        <f t="shared" si="87"/>
        <v>6683.6983999999993</v>
      </c>
      <c r="X1099">
        <f t="shared" si="88"/>
        <v>7405.76</v>
      </c>
      <c r="Y1099">
        <f t="shared" si="89"/>
        <v>722.06160000000091</v>
      </c>
      <c r="Z1099" s="8" t="str">
        <f t="shared" si="86"/>
        <v>Medium</v>
      </c>
      <c r="AA1099" s="12">
        <f>DATE(YEAR(Table1[[#This Row],[OrderDate]]),MONTH(Table1[[#This Row],[OrderDate]]),1)</f>
        <v>45444</v>
      </c>
    </row>
    <row r="1100" spans="1:27" x14ac:dyDescent="0.3">
      <c r="A1100" s="3">
        <v>45641</v>
      </c>
      <c r="B1100" t="s">
        <v>13</v>
      </c>
      <c r="C1100" t="s">
        <v>31</v>
      </c>
      <c r="D1100" t="str">
        <f>TRIM(Table1[[#This Row],[Product]])</f>
        <v>Laptop</v>
      </c>
      <c r="E1100" t="str">
        <f>PROPER(Table1[[#This Row],[Column1]])</f>
        <v>Laptop</v>
      </c>
      <c r="F1100" s="8" t="str">
        <f t="shared" si="85"/>
        <v>Technology</v>
      </c>
      <c r="G1100" s="5">
        <v>17</v>
      </c>
      <c r="H1100">
        <v>506.38</v>
      </c>
      <c r="I1100" t="s">
        <v>57</v>
      </c>
      <c r="J1100" t="s">
        <v>58</v>
      </c>
      <c r="K1100" s="7">
        <v>0</v>
      </c>
      <c r="L1100" t="s">
        <v>21</v>
      </c>
      <c r="M1100" s="5">
        <v>8608.4599999999991</v>
      </c>
      <c r="N1100" t="s">
        <v>88</v>
      </c>
      <c r="O1100" t="s">
        <v>71</v>
      </c>
      <c r="P1100" s="5">
        <v>1</v>
      </c>
      <c r="Q1100" t="s">
        <v>2201</v>
      </c>
      <c r="R1100" t="s">
        <v>2202</v>
      </c>
      <c r="S1100" s="5">
        <v>33.36</v>
      </c>
      <c r="T1100" s="3">
        <v>45641</v>
      </c>
      <c r="U1100" s="3">
        <v>45649</v>
      </c>
      <c r="V1100" t="s">
        <v>70</v>
      </c>
      <c r="W1100">
        <f t="shared" si="87"/>
        <v>8608.4599999999991</v>
      </c>
      <c r="X1100">
        <f t="shared" si="88"/>
        <v>8608.4599999999991</v>
      </c>
      <c r="Y1100">
        <f t="shared" si="89"/>
        <v>0</v>
      </c>
      <c r="Z1100" s="8" t="str">
        <f t="shared" si="86"/>
        <v>No Discount</v>
      </c>
      <c r="AA1100" s="12">
        <f>DATE(YEAR(Table1[[#This Row],[OrderDate]]),MONTH(Table1[[#This Row],[OrderDate]]),1)</f>
        <v>45627</v>
      </c>
    </row>
    <row r="1101" spans="1:27" x14ac:dyDescent="0.3">
      <c r="A1101" s="3">
        <v>45568</v>
      </c>
      <c r="B1101" t="s">
        <v>11</v>
      </c>
      <c r="C1101" t="s">
        <v>30</v>
      </c>
      <c r="D1101" t="str">
        <f>TRIM(Table1[[#This Row],[Product]])</f>
        <v>Desk</v>
      </c>
      <c r="E1101" t="str">
        <f>PROPER(Table1[[#This Row],[Column1]])</f>
        <v>Desk</v>
      </c>
      <c r="F1101" s="8" t="str">
        <f t="shared" si="85"/>
        <v>Furniture</v>
      </c>
      <c r="G1101" s="5">
        <v>19</v>
      </c>
      <c r="H1101">
        <v>25.61</v>
      </c>
      <c r="I1101" t="s">
        <v>57</v>
      </c>
      <c r="J1101" t="s">
        <v>65</v>
      </c>
      <c r="K1101" s="7">
        <v>0</v>
      </c>
      <c r="L1101" t="s">
        <v>19</v>
      </c>
      <c r="M1101" s="5">
        <v>486.59</v>
      </c>
      <c r="N1101" t="s">
        <v>66</v>
      </c>
      <c r="P1101" s="5">
        <v>0</v>
      </c>
      <c r="Q1101" t="s">
        <v>2203</v>
      </c>
      <c r="R1101" t="s">
        <v>1090</v>
      </c>
      <c r="S1101" s="5">
        <v>30.32</v>
      </c>
      <c r="T1101" s="3">
        <v>45568</v>
      </c>
      <c r="U1101" s="3">
        <v>45576</v>
      </c>
      <c r="V1101" t="s">
        <v>74</v>
      </c>
      <c r="W1101">
        <f t="shared" si="87"/>
        <v>486.59</v>
      </c>
      <c r="X1101">
        <f t="shared" si="88"/>
        <v>486.59</v>
      </c>
      <c r="Y1101">
        <f t="shared" si="89"/>
        <v>0</v>
      </c>
      <c r="Z1101" s="8" t="str">
        <f t="shared" si="86"/>
        <v>No Discount</v>
      </c>
      <c r="AA1101" s="12">
        <f>DATE(YEAR(Table1[[#This Row],[OrderDate]]),MONTH(Table1[[#This Row],[OrderDate]]),1)</f>
        <v>45566</v>
      </c>
    </row>
    <row r="1102" spans="1:27" x14ac:dyDescent="0.3">
      <c r="A1102" s="3">
        <v>45172</v>
      </c>
      <c r="B1102" t="s">
        <v>13</v>
      </c>
      <c r="C1102" t="s">
        <v>30</v>
      </c>
      <c r="D1102" t="str">
        <f>TRIM(Table1[[#This Row],[Product]])</f>
        <v>Desk</v>
      </c>
      <c r="E1102" t="str">
        <f>PROPER(Table1[[#This Row],[Column1]])</f>
        <v>Desk</v>
      </c>
      <c r="F1102" s="8" t="str">
        <f t="shared" si="85"/>
        <v>Furniture</v>
      </c>
      <c r="G1102" s="5">
        <v>4</v>
      </c>
      <c r="H1102">
        <v>467.45</v>
      </c>
      <c r="I1102" t="s">
        <v>78</v>
      </c>
      <c r="J1102" t="s">
        <v>58</v>
      </c>
      <c r="K1102" s="7">
        <v>0.05</v>
      </c>
      <c r="L1102" t="s">
        <v>27</v>
      </c>
      <c r="M1102" s="5">
        <v>1776.31</v>
      </c>
      <c r="N1102" t="s">
        <v>66</v>
      </c>
      <c r="O1102" t="s">
        <v>71</v>
      </c>
      <c r="P1102" s="5">
        <v>0</v>
      </c>
      <c r="Q1102" t="s">
        <v>2204</v>
      </c>
      <c r="R1102" t="s">
        <v>2205</v>
      </c>
      <c r="S1102" s="5">
        <v>25.05</v>
      </c>
      <c r="T1102" s="3">
        <v>45172</v>
      </c>
      <c r="U1102" s="3">
        <v>45182</v>
      </c>
      <c r="V1102" t="s">
        <v>70</v>
      </c>
      <c r="W1102">
        <f t="shared" si="87"/>
        <v>1687.4944999999998</v>
      </c>
      <c r="X1102">
        <f t="shared" si="88"/>
        <v>1869.8</v>
      </c>
      <c r="Y1102">
        <f t="shared" si="89"/>
        <v>182.30550000000017</v>
      </c>
      <c r="Z1102" s="8" t="str">
        <f t="shared" si="86"/>
        <v>Medium</v>
      </c>
      <c r="AA1102" s="12">
        <f>DATE(YEAR(Table1[[#This Row],[OrderDate]]),MONTH(Table1[[#This Row],[OrderDate]]),1)</f>
        <v>45170</v>
      </c>
    </row>
    <row r="1103" spans="1:27" x14ac:dyDescent="0.3">
      <c r="A1103" s="3">
        <v>44955</v>
      </c>
      <c r="B1103" t="s">
        <v>11</v>
      </c>
      <c r="C1103" t="s">
        <v>34</v>
      </c>
      <c r="D1103" t="str">
        <f>TRIM(Table1[[#This Row],[Product]])</f>
        <v>Printer</v>
      </c>
      <c r="E1103" t="str">
        <f>PROPER(Table1[[#This Row],[Column1]])</f>
        <v>Printer</v>
      </c>
      <c r="F1103" s="8" t="str">
        <f t="shared" si="85"/>
        <v>Office Supplies</v>
      </c>
      <c r="G1103" s="5">
        <v>10</v>
      </c>
      <c r="H1103">
        <v>140.5</v>
      </c>
      <c r="I1103" t="s">
        <v>57</v>
      </c>
      <c r="J1103" t="s">
        <v>65</v>
      </c>
      <c r="K1103" s="7">
        <v>0.15</v>
      </c>
      <c r="L1103" t="s">
        <v>21</v>
      </c>
      <c r="M1103" s="5">
        <v>1194.25</v>
      </c>
      <c r="N1103" t="s">
        <v>59</v>
      </c>
      <c r="O1103" t="s">
        <v>60</v>
      </c>
      <c r="P1103" s="5">
        <v>0</v>
      </c>
      <c r="Q1103" t="s">
        <v>2206</v>
      </c>
      <c r="R1103" t="s">
        <v>1510</v>
      </c>
      <c r="S1103" s="5">
        <v>43.81</v>
      </c>
      <c r="T1103" s="3">
        <v>44955</v>
      </c>
      <c r="U1103" s="3">
        <v>44962</v>
      </c>
      <c r="V1103" t="s">
        <v>74</v>
      </c>
      <c r="W1103">
        <f t="shared" si="87"/>
        <v>1015.1125</v>
      </c>
      <c r="X1103">
        <f t="shared" si="88"/>
        <v>1405</v>
      </c>
      <c r="Y1103">
        <f t="shared" si="89"/>
        <v>389.88750000000005</v>
      </c>
      <c r="Z1103" s="8" t="str">
        <f t="shared" si="86"/>
        <v>High</v>
      </c>
      <c r="AA1103" s="12">
        <f>DATE(YEAR(Table1[[#This Row],[OrderDate]]),MONTH(Table1[[#This Row],[OrderDate]]),1)</f>
        <v>44927</v>
      </c>
    </row>
    <row r="1104" spans="1:27" x14ac:dyDescent="0.3">
      <c r="A1104" s="3">
        <v>45455</v>
      </c>
      <c r="B1104" t="s">
        <v>11</v>
      </c>
      <c r="C1104" t="s">
        <v>33</v>
      </c>
      <c r="D1104" t="str">
        <f>TRIM(Table1[[#This Row],[Product]])</f>
        <v>Phone</v>
      </c>
      <c r="E1104" t="str">
        <f>PROPER(Table1[[#This Row],[Column1]])</f>
        <v>Phone</v>
      </c>
      <c r="F1104" s="8" t="str">
        <f t="shared" si="85"/>
        <v>Technology</v>
      </c>
      <c r="G1104" s="5">
        <v>8</v>
      </c>
      <c r="H1104">
        <v>57.85</v>
      </c>
      <c r="I1104" t="s">
        <v>81</v>
      </c>
      <c r="J1104" t="s">
        <v>58</v>
      </c>
      <c r="K1104" s="7">
        <v>0</v>
      </c>
      <c r="L1104" t="s">
        <v>27</v>
      </c>
      <c r="M1104" s="5">
        <v>462.8</v>
      </c>
      <c r="N1104" t="s">
        <v>59</v>
      </c>
      <c r="O1104" t="s">
        <v>71</v>
      </c>
      <c r="P1104" s="5">
        <v>1</v>
      </c>
      <c r="Q1104" t="s">
        <v>2207</v>
      </c>
      <c r="R1104" t="s">
        <v>2208</v>
      </c>
      <c r="S1104" s="5">
        <v>49.82</v>
      </c>
      <c r="T1104" s="3">
        <v>45455</v>
      </c>
      <c r="U1104" s="3">
        <v>45463</v>
      </c>
      <c r="V1104" t="s">
        <v>74</v>
      </c>
      <c r="W1104">
        <f t="shared" si="87"/>
        <v>462.8</v>
      </c>
      <c r="X1104">
        <f t="shared" si="88"/>
        <v>462.8</v>
      </c>
      <c r="Y1104">
        <f t="shared" si="89"/>
        <v>0</v>
      </c>
      <c r="Z1104" s="8" t="str">
        <f t="shared" si="86"/>
        <v>No Discount</v>
      </c>
      <c r="AA1104" s="12">
        <f>DATE(YEAR(Table1[[#This Row],[OrderDate]]),MONTH(Table1[[#This Row],[OrderDate]]),1)</f>
        <v>45444</v>
      </c>
    </row>
    <row r="1105" spans="1:27" x14ac:dyDescent="0.3">
      <c r="A1105" s="3">
        <v>45620</v>
      </c>
      <c r="B1105" t="s">
        <v>11</v>
      </c>
      <c r="C1105" t="s">
        <v>32</v>
      </c>
      <c r="D1105" t="str">
        <f>TRIM(Table1[[#This Row],[Product]])</f>
        <v>Monitor</v>
      </c>
      <c r="E1105" t="str">
        <f>PROPER(Table1[[#This Row],[Column1]])</f>
        <v>Monitor</v>
      </c>
      <c r="F1105" s="8" t="str">
        <f t="shared" si="85"/>
        <v>Technology</v>
      </c>
      <c r="G1105" s="5">
        <v>9</v>
      </c>
      <c r="H1105">
        <v>539.64</v>
      </c>
      <c r="I1105" t="s">
        <v>64</v>
      </c>
      <c r="J1105" t="s">
        <v>65</v>
      </c>
      <c r="K1105" s="7">
        <v>0.15</v>
      </c>
      <c r="L1105" t="s">
        <v>18</v>
      </c>
      <c r="M1105" s="5">
        <v>4128.2460000000001</v>
      </c>
      <c r="N1105" t="s">
        <v>66</v>
      </c>
      <c r="P1105" s="5">
        <v>0</v>
      </c>
      <c r="Q1105" t="s">
        <v>2209</v>
      </c>
      <c r="R1105" t="s">
        <v>2210</v>
      </c>
      <c r="S1105" s="5">
        <v>16.079999999999998</v>
      </c>
      <c r="T1105" s="3">
        <v>45620</v>
      </c>
      <c r="U1105" s="3">
        <v>45629</v>
      </c>
      <c r="V1105" t="s">
        <v>74</v>
      </c>
      <c r="W1105">
        <f t="shared" si="87"/>
        <v>3509.0090999999998</v>
      </c>
      <c r="X1105">
        <f t="shared" si="88"/>
        <v>4856.76</v>
      </c>
      <c r="Y1105">
        <f t="shared" si="89"/>
        <v>1347.7509000000005</v>
      </c>
      <c r="Z1105" s="8" t="str">
        <f t="shared" si="86"/>
        <v>High</v>
      </c>
      <c r="AA1105" s="12">
        <f>DATE(YEAR(Table1[[#This Row],[OrderDate]]),MONTH(Table1[[#This Row],[OrderDate]]),1)</f>
        <v>45597</v>
      </c>
    </row>
    <row r="1106" spans="1:27" x14ac:dyDescent="0.3">
      <c r="A1106" s="3">
        <v>45153</v>
      </c>
      <c r="B1106" t="s">
        <v>16</v>
      </c>
      <c r="C1106" t="s">
        <v>32</v>
      </c>
      <c r="D1106" t="str">
        <f>TRIM(Table1[[#This Row],[Product]])</f>
        <v>Monitor</v>
      </c>
      <c r="E1106" t="str">
        <f>PROPER(Table1[[#This Row],[Column1]])</f>
        <v>Monitor</v>
      </c>
      <c r="F1106" s="8" t="str">
        <f t="shared" si="85"/>
        <v>Technology</v>
      </c>
      <c r="G1106" s="5">
        <v>18</v>
      </c>
      <c r="H1106">
        <v>476.32</v>
      </c>
      <c r="I1106" t="s">
        <v>64</v>
      </c>
      <c r="J1106" t="s">
        <v>58</v>
      </c>
      <c r="K1106" s="7">
        <v>0</v>
      </c>
      <c r="L1106" t="s">
        <v>23</v>
      </c>
      <c r="M1106" s="5">
        <v>8573.76</v>
      </c>
      <c r="N1106" t="s">
        <v>82</v>
      </c>
      <c r="O1106" t="s">
        <v>67</v>
      </c>
      <c r="P1106" s="5">
        <v>1</v>
      </c>
      <c r="Q1106" t="s">
        <v>2211</v>
      </c>
      <c r="R1106" t="s">
        <v>2212</v>
      </c>
      <c r="S1106" s="5">
        <v>47.43</v>
      </c>
      <c r="T1106" s="3">
        <v>45153</v>
      </c>
      <c r="U1106" s="3">
        <v>45158</v>
      </c>
      <c r="V1106" t="s">
        <v>95</v>
      </c>
      <c r="W1106">
        <f t="shared" si="87"/>
        <v>8573.76</v>
      </c>
      <c r="X1106">
        <f t="shared" si="88"/>
        <v>8573.76</v>
      </c>
      <c r="Y1106">
        <f t="shared" si="89"/>
        <v>0</v>
      </c>
      <c r="Z1106" s="8" t="str">
        <f t="shared" si="86"/>
        <v>No Discount</v>
      </c>
      <c r="AA1106" s="12">
        <f>DATE(YEAR(Table1[[#This Row],[OrderDate]]),MONTH(Table1[[#This Row],[OrderDate]]),1)</f>
        <v>45139</v>
      </c>
    </row>
    <row r="1107" spans="1:27" x14ac:dyDescent="0.3">
      <c r="A1107" s="3">
        <v>45525</v>
      </c>
      <c r="B1107" t="s">
        <v>7</v>
      </c>
      <c r="C1107" t="s">
        <v>35</v>
      </c>
      <c r="D1107" t="str">
        <f>TRIM(Table1[[#This Row],[Product]])</f>
        <v>Tablet</v>
      </c>
      <c r="E1107" t="str">
        <f>PROPER(Table1[[#This Row],[Column1]])</f>
        <v>Tablet</v>
      </c>
      <c r="F1107" s="8" t="str">
        <f t="shared" si="85"/>
        <v>Technology</v>
      </c>
      <c r="G1107" s="5">
        <v>11</v>
      </c>
      <c r="H1107">
        <v>143.85</v>
      </c>
      <c r="I1107" t="s">
        <v>64</v>
      </c>
      <c r="J1107" t="s">
        <v>58</v>
      </c>
      <c r="K1107" s="7">
        <v>0.1</v>
      </c>
      <c r="L1107" t="s">
        <v>25</v>
      </c>
      <c r="M1107" s="5">
        <v>1424.115</v>
      </c>
      <c r="N1107" t="s">
        <v>85</v>
      </c>
      <c r="O1107" t="s">
        <v>60</v>
      </c>
      <c r="P1107" s="5">
        <v>0</v>
      </c>
      <c r="Q1107" t="s">
        <v>2213</v>
      </c>
      <c r="R1107" t="s">
        <v>2214</v>
      </c>
      <c r="S1107" s="5">
        <v>6.85</v>
      </c>
      <c r="T1107" s="3">
        <v>45525</v>
      </c>
      <c r="U1107" s="3">
        <v>45534</v>
      </c>
      <c r="V1107" t="s">
        <v>77</v>
      </c>
      <c r="W1107">
        <f t="shared" si="87"/>
        <v>1281.7035000000001</v>
      </c>
      <c r="X1107">
        <f t="shared" si="88"/>
        <v>1582.35</v>
      </c>
      <c r="Y1107">
        <f t="shared" si="89"/>
        <v>300.64649999999983</v>
      </c>
      <c r="Z1107" s="8" t="str">
        <f t="shared" si="86"/>
        <v>Medium</v>
      </c>
      <c r="AA1107" s="12">
        <f>DATE(YEAR(Table1[[#This Row],[OrderDate]]),MONTH(Table1[[#This Row],[OrderDate]]),1)</f>
        <v>45505</v>
      </c>
    </row>
    <row r="1108" spans="1:27" x14ac:dyDescent="0.3">
      <c r="A1108" s="3">
        <v>45070</v>
      </c>
      <c r="B1108" t="s">
        <v>16</v>
      </c>
      <c r="C1108" t="s">
        <v>32</v>
      </c>
      <c r="D1108" t="str">
        <f>TRIM(Table1[[#This Row],[Product]])</f>
        <v>Monitor</v>
      </c>
      <c r="E1108" t="str">
        <f>PROPER(Table1[[#This Row],[Column1]])</f>
        <v>Monitor</v>
      </c>
      <c r="F1108" s="8" t="str">
        <f t="shared" si="85"/>
        <v>Technology</v>
      </c>
      <c r="G1108" s="5">
        <v>4</v>
      </c>
      <c r="H1108">
        <v>323.63</v>
      </c>
      <c r="I1108" t="s">
        <v>78</v>
      </c>
      <c r="J1108" t="s">
        <v>65</v>
      </c>
      <c r="K1108" s="7">
        <v>0.1</v>
      </c>
      <c r="L1108" t="s">
        <v>21</v>
      </c>
      <c r="M1108" s="5">
        <v>1165.068</v>
      </c>
      <c r="N1108" t="s">
        <v>82</v>
      </c>
      <c r="O1108" t="s">
        <v>60</v>
      </c>
      <c r="P1108" s="5">
        <v>0</v>
      </c>
      <c r="Q1108" t="s">
        <v>2215</v>
      </c>
      <c r="R1108" t="s">
        <v>2216</v>
      </c>
      <c r="S1108" s="5">
        <v>32.92</v>
      </c>
      <c r="T1108" s="3">
        <v>45070</v>
      </c>
      <c r="U1108" s="3">
        <v>45078</v>
      </c>
      <c r="V1108" t="s">
        <v>95</v>
      </c>
      <c r="W1108">
        <f t="shared" si="87"/>
        <v>1048.5612000000001</v>
      </c>
      <c r="X1108">
        <f t="shared" si="88"/>
        <v>1294.52</v>
      </c>
      <c r="Y1108">
        <f t="shared" si="89"/>
        <v>245.95879999999988</v>
      </c>
      <c r="Z1108" s="8" t="str">
        <f t="shared" si="86"/>
        <v>Medium</v>
      </c>
      <c r="AA1108" s="12">
        <f>DATE(YEAR(Table1[[#This Row],[OrderDate]]),MONTH(Table1[[#This Row],[OrderDate]]),1)</f>
        <v>45047</v>
      </c>
    </row>
    <row r="1109" spans="1:27" x14ac:dyDescent="0.3">
      <c r="A1109" s="3">
        <v>45043</v>
      </c>
      <c r="B1109" t="s">
        <v>16</v>
      </c>
      <c r="C1109" t="s">
        <v>32</v>
      </c>
      <c r="D1109" t="str">
        <f>TRIM(Table1[[#This Row],[Product]])</f>
        <v>Monitor</v>
      </c>
      <c r="E1109" t="str">
        <f>PROPER(Table1[[#This Row],[Column1]])</f>
        <v>Monitor</v>
      </c>
      <c r="F1109" s="8" t="str">
        <f t="shared" si="85"/>
        <v>Technology</v>
      </c>
      <c r="G1109" s="5">
        <v>16</v>
      </c>
      <c r="H1109">
        <v>37.4</v>
      </c>
      <c r="I1109" t="s">
        <v>64</v>
      </c>
      <c r="J1109" t="s">
        <v>58</v>
      </c>
      <c r="K1109" s="7">
        <v>0.05</v>
      </c>
      <c r="L1109" t="s">
        <v>19</v>
      </c>
      <c r="M1109" s="5">
        <v>568.4799999999999</v>
      </c>
      <c r="N1109" t="s">
        <v>82</v>
      </c>
      <c r="O1109" t="s">
        <v>60</v>
      </c>
      <c r="P1109" s="5">
        <v>0</v>
      </c>
      <c r="Q1109" t="s">
        <v>2217</v>
      </c>
      <c r="R1109" t="s">
        <v>2218</v>
      </c>
      <c r="S1109" s="5">
        <v>49.55</v>
      </c>
      <c r="T1109" s="3">
        <v>45043</v>
      </c>
      <c r="U1109" s="3">
        <v>45047</v>
      </c>
      <c r="V1109" t="s">
        <v>95</v>
      </c>
      <c r="W1109">
        <f t="shared" si="87"/>
        <v>540.05599999999993</v>
      </c>
      <c r="X1109">
        <f t="shared" si="88"/>
        <v>598.4</v>
      </c>
      <c r="Y1109">
        <f t="shared" si="89"/>
        <v>58.344000000000051</v>
      </c>
      <c r="Z1109" s="8" t="str">
        <f t="shared" si="86"/>
        <v>Medium</v>
      </c>
      <c r="AA1109" s="12">
        <f>DATE(YEAR(Table1[[#This Row],[OrderDate]]),MONTH(Table1[[#This Row],[OrderDate]]),1)</f>
        <v>45017</v>
      </c>
    </row>
    <row r="1110" spans="1:27" x14ac:dyDescent="0.3">
      <c r="A1110" s="3">
        <v>45067</v>
      </c>
      <c r="B1110" t="s">
        <v>9</v>
      </c>
      <c r="C1110" t="s">
        <v>35</v>
      </c>
      <c r="D1110" t="str">
        <f>TRIM(Table1[[#This Row],[Product]])</f>
        <v>Tablet</v>
      </c>
      <c r="E1110" t="str">
        <f>PROPER(Table1[[#This Row],[Column1]])</f>
        <v>Tablet</v>
      </c>
      <c r="F1110" s="8" t="str">
        <f t="shared" si="85"/>
        <v>Technology</v>
      </c>
      <c r="G1110" s="5">
        <v>1</v>
      </c>
      <c r="H1110">
        <v>418.98</v>
      </c>
      <c r="I1110" t="s">
        <v>57</v>
      </c>
      <c r="J1110" t="s">
        <v>65</v>
      </c>
      <c r="K1110" s="7">
        <v>0.1</v>
      </c>
      <c r="L1110" t="s">
        <v>21</v>
      </c>
      <c r="M1110" s="5">
        <v>377.08200000000011</v>
      </c>
      <c r="N1110" t="s">
        <v>66</v>
      </c>
      <c r="O1110" t="s">
        <v>60</v>
      </c>
      <c r="P1110" s="5">
        <v>0</v>
      </c>
      <c r="Q1110" t="s">
        <v>2219</v>
      </c>
      <c r="R1110" t="s">
        <v>2220</v>
      </c>
      <c r="S1110" s="5">
        <v>43.72</v>
      </c>
      <c r="T1110" s="3">
        <v>45067</v>
      </c>
      <c r="U1110" s="3">
        <v>45072</v>
      </c>
      <c r="V1110" t="s">
        <v>63</v>
      </c>
      <c r="W1110">
        <f t="shared" si="87"/>
        <v>339.37380000000013</v>
      </c>
      <c r="X1110">
        <f t="shared" si="88"/>
        <v>418.98</v>
      </c>
      <c r="Y1110">
        <f t="shared" si="89"/>
        <v>79.606199999999887</v>
      </c>
      <c r="Z1110" s="8" t="str">
        <f t="shared" si="86"/>
        <v>Medium</v>
      </c>
      <c r="AA1110" s="12">
        <f>DATE(YEAR(Table1[[#This Row],[OrderDate]]),MONTH(Table1[[#This Row],[OrderDate]]),1)</f>
        <v>45047</v>
      </c>
    </row>
    <row r="1111" spans="1:27" x14ac:dyDescent="0.3">
      <c r="A1111" s="3">
        <v>45704</v>
      </c>
      <c r="B1111" t="s">
        <v>9</v>
      </c>
      <c r="C1111" t="s">
        <v>32</v>
      </c>
      <c r="D1111" t="str">
        <f>TRIM(Table1[[#This Row],[Product]])</f>
        <v>Monitor</v>
      </c>
      <c r="E1111" t="str">
        <f>PROPER(Table1[[#This Row],[Column1]])</f>
        <v>Monitor</v>
      </c>
      <c r="F1111" s="8" t="str">
        <f t="shared" si="85"/>
        <v>Technology</v>
      </c>
      <c r="G1111" s="5">
        <v>12</v>
      </c>
      <c r="H1111">
        <v>108.35</v>
      </c>
      <c r="I1111" t="s">
        <v>64</v>
      </c>
      <c r="J1111" t="s">
        <v>58</v>
      </c>
      <c r="K1111" s="7">
        <v>0</v>
      </c>
      <c r="L1111" t="s">
        <v>23</v>
      </c>
      <c r="M1111" s="5">
        <v>1300.2</v>
      </c>
      <c r="N1111" t="s">
        <v>59</v>
      </c>
      <c r="O1111" t="s">
        <v>60</v>
      </c>
      <c r="P1111" s="5">
        <v>0</v>
      </c>
      <c r="Q1111" t="s">
        <v>2221</v>
      </c>
      <c r="R1111" t="s">
        <v>2222</v>
      </c>
      <c r="S1111" s="5">
        <v>42.06</v>
      </c>
      <c r="T1111" s="3">
        <v>45704</v>
      </c>
      <c r="U1111" s="3">
        <v>45713</v>
      </c>
      <c r="V1111" t="s">
        <v>63</v>
      </c>
      <c r="W1111">
        <f t="shared" si="87"/>
        <v>1300.2</v>
      </c>
      <c r="X1111">
        <f t="shared" si="88"/>
        <v>1300.1999999999998</v>
      </c>
      <c r="Y1111">
        <f t="shared" si="89"/>
        <v>0</v>
      </c>
      <c r="Z1111" s="8" t="str">
        <f t="shared" si="86"/>
        <v>No Discount</v>
      </c>
      <c r="AA1111" s="12">
        <f>DATE(YEAR(Table1[[#This Row],[OrderDate]]),MONTH(Table1[[#This Row],[OrderDate]]),1)</f>
        <v>45689</v>
      </c>
    </row>
    <row r="1112" spans="1:27" x14ac:dyDescent="0.3">
      <c r="A1112" s="3">
        <v>45162</v>
      </c>
      <c r="B1112" t="s">
        <v>9</v>
      </c>
      <c r="C1112" t="s">
        <v>35</v>
      </c>
      <c r="D1112" t="str">
        <f>TRIM(Table1[[#This Row],[Product]])</f>
        <v>Tablet</v>
      </c>
      <c r="E1112" t="str">
        <f>PROPER(Table1[[#This Row],[Column1]])</f>
        <v>Tablet</v>
      </c>
      <c r="F1112" s="8" t="str">
        <f t="shared" si="85"/>
        <v>Technology</v>
      </c>
      <c r="G1112" s="5">
        <v>5</v>
      </c>
      <c r="H1112">
        <v>256.42</v>
      </c>
      <c r="I1112" t="s">
        <v>57</v>
      </c>
      <c r="J1112" t="s">
        <v>65</v>
      </c>
      <c r="K1112" s="7">
        <v>0</v>
      </c>
      <c r="L1112" t="s">
        <v>18</v>
      </c>
      <c r="M1112" s="5">
        <v>1282.0999999999999</v>
      </c>
      <c r="N1112" t="s">
        <v>66</v>
      </c>
      <c r="O1112" t="s">
        <v>60</v>
      </c>
      <c r="P1112" s="5">
        <v>0</v>
      </c>
      <c r="Q1112" t="s">
        <v>2223</v>
      </c>
      <c r="R1112" t="s">
        <v>2224</v>
      </c>
      <c r="S1112" s="5">
        <v>28.74</v>
      </c>
      <c r="T1112" s="3">
        <v>45162</v>
      </c>
      <c r="U1112" s="3">
        <v>45167</v>
      </c>
      <c r="V1112" t="s">
        <v>63</v>
      </c>
      <c r="W1112">
        <f t="shared" si="87"/>
        <v>1282.0999999999999</v>
      </c>
      <c r="X1112">
        <f t="shared" si="88"/>
        <v>1282.1000000000001</v>
      </c>
      <c r="Y1112">
        <f t="shared" si="89"/>
        <v>0</v>
      </c>
      <c r="Z1112" s="8" t="str">
        <f t="shared" si="86"/>
        <v>No Discount</v>
      </c>
      <c r="AA1112" s="12">
        <f>DATE(YEAR(Table1[[#This Row],[OrderDate]]),MONTH(Table1[[#This Row],[OrderDate]]),1)</f>
        <v>45139</v>
      </c>
    </row>
    <row r="1113" spans="1:27" x14ac:dyDescent="0.3">
      <c r="A1113" s="3">
        <v>45365</v>
      </c>
      <c r="B1113" t="s">
        <v>9</v>
      </c>
      <c r="C1113" t="s">
        <v>30</v>
      </c>
      <c r="D1113" t="str">
        <f>TRIM(Table1[[#This Row],[Product]])</f>
        <v>Desk</v>
      </c>
      <c r="E1113" t="str">
        <f>PROPER(Table1[[#This Row],[Column1]])</f>
        <v>Desk</v>
      </c>
      <c r="F1113" s="8" t="str">
        <f t="shared" si="85"/>
        <v>Furniture</v>
      </c>
      <c r="G1113" s="5">
        <v>16</v>
      </c>
      <c r="H1113">
        <v>544.91</v>
      </c>
      <c r="I1113" t="s">
        <v>57</v>
      </c>
      <c r="J1113" t="s">
        <v>65</v>
      </c>
      <c r="K1113" s="7">
        <v>0.1</v>
      </c>
      <c r="L1113" t="s">
        <v>27</v>
      </c>
      <c r="M1113" s="5">
        <v>7846.7039999999997</v>
      </c>
      <c r="N1113" t="s">
        <v>82</v>
      </c>
      <c r="O1113" t="s">
        <v>60</v>
      </c>
      <c r="P1113" s="5">
        <v>0</v>
      </c>
      <c r="Q1113" t="s">
        <v>2225</v>
      </c>
      <c r="R1113" t="s">
        <v>2226</v>
      </c>
      <c r="S1113" s="5">
        <v>39.26</v>
      </c>
      <c r="T1113" s="3">
        <v>45365</v>
      </c>
      <c r="U1113" s="3">
        <v>45372</v>
      </c>
      <c r="V1113" t="s">
        <v>63</v>
      </c>
      <c r="W1113">
        <f t="shared" si="87"/>
        <v>7062.0335999999998</v>
      </c>
      <c r="X1113">
        <f t="shared" si="88"/>
        <v>8718.56</v>
      </c>
      <c r="Y1113">
        <f t="shared" si="89"/>
        <v>1656.5263999999997</v>
      </c>
      <c r="Z1113" s="8" t="str">
        <f t="shared" si="86"/>
        <v>Medium</v>
      </c>
      <c r="AA1113" s="12">
        <f>DATE(YEAR(Table1[[#This Row],[OrderDate]]),MONTH(Table1[[#This Row],[OrderDate]]),1)</f>
        <v>45352</v>
      </c>
    </row>
    <row r="1114" spans="1:27" x14ac:dyDescent="0.3">
      <c r="A1114" s="3">
        <v>45320</v>
      </c>
      <c r="B1114" t="s">
        <v>11</v>
      </c>
      <c r="C1114" t="s">
        <v>30</v>
      </c>
      <c r="D1114" t="str">
        <f>TRIM(Table1[[#This Row],[Product]])</f>
        <v>Desk</v>
      </c>
      <c r="E1114" t="str">
        <f>PROPER(Table1[[#This Row],[Column1]])</f>
        <v>Desk</v>
      </c>
      <c r="F1114" s="8" t="str">
        <f t="shared" si="85"/>
        <v>Furniture</v>
      </c>
      <c r="G1114" s="5">
        <v>19</v>
      </c>
      <c r="H1114">
        <v>113.42</v>
      </c>
      <c r="I1114" t="s">
        <v>64</v>
      </c>
      <c r="J1114" t="s">
        <v>65</v>
      </c>
      <c r="K1114" s="7">
        <v>0</v>
      </c>
      <c r="L1114" t="s">
        <v>25</v>
      </c>
      <c r="M1114" s="5">
        <v>2154.98</v>
      </c>
      <c r="N1114" t="s">
        <v>85</v>
      </c>
      <c r="O1114" t="s">
        <v>71</v>
      </c>
      <c r="P1114" s="5">
        <v>0</v>
      </c>
      <c r="Q1114" t="s">
        <v>2227</v>
      </c>
      <c r="R1114" t="s">
        <v>2228</v>
      </c>
      <c r="S1114" s="5">
        <v>44.96</v>
      </c>
      <c r="T1114" s="3">
        <v>45320</v>
      </c>
      <c r="U1114" s="3">
        <v>45329</v>
      </c>
      <c r="V1114" t="s">
        <v>74</v>
      </c>
      <c r="W1114">
        <f t="shared" si="87"/>
        <v>2154.98</v>
      </c>
      <c r="X1114">
        <f t="shared" si="88"/>
        <v>2154.98</v>
      </c>
      <c r="Y1114">
        <f t="shared" si="89"/>
        <v>0</v>
      </c>
      <c r="Z1114" s="8" t="str">
        <f t="shared" si="86"/>
        <v>No Discount</v>
      </c>
      <c r="AA1114" s="12">
        <f>DATE(YEAR(Table1[[#This Row],[OrderDate]]),MONTH(Table1[[#This Row],[OrderDate]]),1)</f>
        <v>45292</v>
      </c>
    </row>
    <row r="1115" spans="1:27" x14ac:dyDescent="0.3">
      <c r="A1115" s="3">
        <v>45513</v>
      </c>
      <c r="B1115" t="s">
        <v>13</v>
      </c>
      <c r="C1115" t="s">
        <v>33</v>
      </c>
      <c r="D1115" t="str">
        <f>TRIM(Table1[[#This Row],[Product]])</f>
        <v>Phone</v>
      </c>
      <c r="E1115" t="str">
        <f>PROPER(Table1[[#This Row],[Column1]])</f>
        <v>Phone</v>
      </c>
      <c r="F1115" s="8" t="str">
        <f t="shared" si="85"/>
        <v>Technology</v>
      </c>
      <c r="G1115" s="5">
        <v>10</v>
      </c>
      <c r="H1115">
        <v>522.73</v>
      </c>
      <c r="I1115" t="s">
        <v>78</v>
      </c>
      <c r="J1115" t="s">
        <v>65</v>
      </c>
      <c r="K1115" s="7">
        <v>0.1</v>
      </c>
      <c r="L1115" t="s">
        <v>19</v>
      </c>
      <c r="M1115" s="5">
        <v>4704.5700000000006</v>
      </c>
      <c r="N1115" t="s">
        <v>82</v>
      </c>
      <c r="P1115" s="5">
        <v>0</v>
      </c>
      <c r="Q1115" t="s">
        <v>2229</v>
      </c>
      <c r="R1115" t="s">
        <v>2230</v>
      </c>
      <c r="S1115" s="5">
        <v>20.059999999999999</v>
      </c>
      <c r="T1115" s="3">
        <v>45513</v>
      </c>
      <c r="U1115" s="3">
        <v>45519</v>
      </c>
      <c r="V1115" t="s">
        <v>70</v>
      </c>
      <c r="W1115">
        <f t="shared" si="87"/>
        <v>4234.1130000000003</v>
      </c>
      <c r="X1115">
        <f t="shared" si="88"/>
        <v>5227.3</v>
      </c>
      <c r="Y1115">
        <f t="shared" si="89"/>
        <v>993.1869999999999</v>
      </c>
      <c r="Z1115" s="8" t="str">
        <f t="shared" si="86"/>
        <v>Medium</v>
      </c>
      <c r="AA1115" s="12">
        <f>DATE(YEAR(Table1[[#This Row],[OrderDate]]),MONTH(Table1[[#This Row],[OrderDate]]),1)</f>
        <v>45505</v>
      </c>
    </row>
    <row r="1116" spans="1:27" x14ac:dyDescent="0.3">
      <c r="A1116" s="3">
        <v>45481</v>
      </c>
      <c r="B1116" t="s">
        <v>11</v>
      </c>
      <c r="C1116" t="s">
        <v>35</v>
      </c>
      <c r="D1116" t="str">
        <f>TRIM(Table1[[#This Row],[Product]])</f>
        <v>Tablet</v>
      </c>
      <c r="E1116" t="str">
        <f>PROPER(Table1[[#This Row],[Column1]])</f>
        <v>Tablet</v>
      </c>
      <c r="F1116" s="8" t="str">
        <f t="shared" si="85"/>
        <v>Technology</v>
      </c>
      <c r="G1116" s="5">
        <v>18</v>
      </c>
      <c r="H1116">
        <v>448.03</v>
      </c>
      <c r="I1116" t="s">
        <v>57</v>
      </c>
      <c r="J1116" t="s">
        <v>65</v>
      </c>
      <c r="K1116" s="7">
        <v>0.15</v>
      </c>
      <c r="L1116" t="s">
        <v>27</v>
      </c>
      <c r="M1116" s="5">
        <v>6854.8589999999986</v>
      </c>
      <c r="N1116" t="s">
        <v>88</v>
      </c>
      <c r="O1116" t="s">
        <v>71</v>
      </c>
      <c r="P1116" s="5">
        <v>1</v>
      </c>
      <c r="Q1116" t="s">
        <v>2231</v>
      </c>
      <c r="R1116" t="s">
        <v>2232</v>
      </c>
      <c r="S1116" s="5">
        <v>13.23</v>
      </c>
      <c r="T1116" s="3">
        <v>45481</v>
      </c>
      <c r="U1116" s="3">
        <v>45490</v>
      </c>
      <c r="V1116" t="s">
        <v>74</v>
      </c>
      <c r="W1116">
        <f t="shared" si="87"/>
        <v>5826.630149999999</v>
      </c>
      <c r="X1116">
        <f t="shared" si="88"/>
        <v>8064.5399999999991</v>
      </c>
      <c r="Y1116">
        <f t="shared" si="89"/>
        <v>2237.90985</v>
      </c>
      <c r="Z1116" s="8" t="str">
        <f t="shared" si="86"/>
        <v>High</v>
      </c>
      <c r="AA1116" s="12">
        <f>DATE(YEAR(Table1[[#This Row],[OrderDate]]),MONTH(Table1[[#This Row],[OrderDate]]),1)</f>
        <v>45474</v>
      </c>
    </row>
    <row r="1117" spans="1:27" x14ac:dyDescent="0.3">
      <c r="A1117" s="3">
        <v>45524</v>
      </c>
      <c r="B1117" t="s">
        <v>11</v>
      </c>
      <c r="C1117" t="s">
        <v>32</v>
      </c>
      <c r="D1117" t="str">
        <f>TRIM(Table1[[#This Row],[Product]])</f>
        <v>Monitor</v>
      </c>
      <c r="E1117" t="str">
        <f>PROPER(Table1[[#This Row],[Column1]])</f>
        <v>Monitor</v>
      </c>
      <c r="F1117" s="8" t="str">
        <f t="shared" si="85"/>
        <v>Technology</v>
      </c>
      <c r="G1117" s="5">
        <v>15</v>
      </c>
      <c r="H1117">
        <v>208.51</v>
      </c>
      <c r="I1117" t="s">
        <v>64</v>
      </c>
      <c r="J1117" t="s">
        <v>65</v>
      </c>
      <c r="K1117" s="7">
        <v>0.05</v>
      </c>
      <c r="L1117" t="s">
        <v>21</v>
      </c>
      <c r="M1117" s="5">
        <v>2971.267499999999</v>
      </c>
      <c r="N1117" t="s">
        <v>66</v>
      </c>
      <c r="P1117" s="5">
        <v>0</v>
      </c>
      <c r="Q1117" t="s">
        <v>2233</v>
      </c>
      <c r="R1117" t="s">
        <v>2234</v>
      </c>
      <c r="S1117" s="5">
        <v>37.81</v>
      </c>
      <c r="T1117" s="3">
        <v>45524</v>
      </c>
      <c r="U1117" s="3">
        <v>45533</v>
      </c>
      <c r="V1117" t="s">
        <v>74</v>
      </c>
      <c r="W1117">
        <f t="shared" si="87"/>
        <v>2822.7041249999988</v>
      </c>
      <c r="X1117">
        <f t="shared" si="88"/>
        <v>3127.6499999999996</v>
      </c>
      <c r="Y1117">
        <f t="shared" si="89"/>
        <v>304.9458750000008</v>
      </c>
      <c r="Z1117" s="8" t="str">
        <f t="shared" si="86"/>
        <v>Medium</v>
      </c>
      <c r="AA1117" s="12">
        <f>DATE(YEAR(Table1[[#This Row],[OrderDate]]),MONTH(Table1[[#This Row],[OrderDate]]),1)</f>
        <v>45505</v>
      </c>
    </row>
    <row r="1118" spans="1:27" x14ac:dyDescent="0.3">
      <c r="A1118" s="3">
        <v>45103</v>
      </c>
      <c r="B1118" t="s">
        <v>7</v>
      </c>
      <c r="C1118" t="s">
        <v>31</v>
      </c>
      <c r="D1118" t="str">
        <f>TRIM(Table1[[#This Row],[Product]])</f>
        <v>Laptop</v>
      </c>
      <c r="E1118" t="str">
        <f>PROPER(Table1[[#This Row],[Column1]])</f>
        <v>Laptop</v>
      </c>
      <c r="F1118" s="8" t="str">
        <f t="shared" si="85"/>
        <v>Technology</v>
      </c>
      <c r="G1118" s="5">
        <v>13</v>
      </c>
      <c r="H1118">
        <v>423.64</v>
      </c>
      <c r="I1118" t="s">
        <v>78</v>
      </c>
      <c r="J1118" t="s">
        <v>65</v>
      </c>
      <c r="K1118" s="7">
        <v>0.1</v>
      </c>
      <c r="L1118" t="s">
        <v>18</v>
      </c>
      <c r="M1118" s="5">
        <v>4956.5879999999997</v>
      </c>
      <c r="N1118" t="s">
        <v>85</v>
      </c>
      <c r="P1118" s="5">
        <v>1</v>
      </c>
      <c r="Q1118" t="s">
        <v>2235</v>
      </c>
      <c r="R1118" t="s">
        <v>2236</v>
      </c>
      <c r="S1118" s="5">
        <v>23.31</v>
      </c>
      <c r="T1118" s="3">
        <v>45103</v>
      </c>
      <c r="U1118" s="3">
        <v>45105</v>
      </c>
      <c r="V1118" t="s">
        <v>77</v>
      </c>
      <c r="W1118">
        <f t="shared" si="87"/>
        <v>4460.9291999999996</v>
      </c>
      <c r="X1118">
        <f t="shared" si="88"/>
        <v>5507.32</v>
      </c>
      <c r="Y1118">
        <f t="shared" si="89"/>
        <v>1046.3908000000001</v>
      </c>
      <c r="Z1118" s="8" t="str">
        <f t="shared" si="86"/>
        <v>Medium</v>
      </c>
      <c r="AA1118" s="12">
        <f>DATE(YEAR(Table1[[#This Row],[OrderDate]]),MONTH(Table1[[#This Row],[OrderDate]]),1)</f>
        <v>45078</v>
      </c>
    </row>
    <row r="1119" spans="1:27" x14ac:dyDescent="0.3">
      <c r="A1119" s="3">
        <v>45283</v>
      </c>
      <c r="B1119" t="s">
        <v>9</v>
      </c>
      <c r="C1119" t="s">
        <v>29</v>
      </c>
      <c r="D1119" t="str">
        <f>TRIM(Table1[[#This Row],[Product]])</f>
        <v>Chair</v>
      </c>
      <c r="E1119" t="str">
        <f>PROPER(Table1[[#This Row],[Column1]])</f>
        <v>Chair</v>
      </c>
      <c r="F1119" s="8" t="str">
        <f t="shared" si="85"/>
        <v>Furniture</v>
      </c>
      <c r="G1119" s="5">
        <v>5</v>
      </c>
      <c r="H1119">
        <v>552.26</v>
      </c>
      <c r="I1119" t="s">
        <v>81</v>
      </c>
      <c r="J1119" t="s">
        <v>58</v>
      </c>
      <c r="K1119" s="7">
        <v>0.15</v>
      </c>
      <c r="L1119" t="s">
        <v>18</v>
      </c>
      <c r="M1119" s="5">
        <v>2347.105</v>
      </c>
      <c r="N1119" t="s">
        <v>85</v>
      </c>
      <c r="O1119" t="s">
        <v>71</v>
      </c>
      <c r="P1119" s="5">
        <v>0</v>
      </c>
      <c r="Q1119" t="s">
        <v>2237</v>
      </c>
      <c r="R1119" t="s">
        <v>2238</v>
      </c>
      <c r="S1119" s="5">
        <v>26.5</v>
      </c>
      <c r="T1119" s="3">
        <v>45283</v>
      </c>
      <c r="U1119" s="3">
        <v>45285</v>
      </c>
      <c r="V1119" t="s">
        <v>63</v>
      </c>
      <c r="W1119">
        <f t="shared" si="87"/>
        <v>1995.03925</v>
      </c>
      <c r="X1119">
        <f t="shared" si="88"/>
        <v>2761.3</v>
      </c>
      <c r="Y1119">
        <f t="shared" si="89"/>
        <v>766.26075000000014</v>
      </c>
      <c r="Z1119" s="8" t="str">
        <f t="shared" si="86"/>
        <v>High</v>
      </c>
      <c r="AA1119" s="12">
        <f>DATE(YEAR(Table1[[#This Row],[OrderDate]]),MONTH(Table1[[#This Row],[OrderDate]]),1)</f>
        <v>45261</v>
      </c>
    </row>
    <row r="1120" spans="1:27" x14ac:dyDescent="0.3">
      <c r="A1120" s="3">
        <v>45158</v>
      </c>
      <c r="B1120" t="s">
        <v>7</v>
      </c>
      <c r="C1120" t="s">
        <v>30</v>
      </c>
      <c r="D1120" t="str">
        <f>TRIM(Table1[[#This Row],[Product]])</f>
        <v>Desk</v>
      </c>
      <c r="E1120" t="str">
        <f>PROPER(Table1[[#This Row],[Column1]])</f>
        <v>Desk</v>
      </c>
      <c r="F1120" s="8" t="str">
        <f t="shared" si="85"/>
        <v>Furniture</v>
      </c>
      <c r="G1120" s="5">
        <v>1</v>
      </c>
      <c r="H1120">
        <v>182.11</v>
      </c>
      <c r="I1120" t="s">
        <v>64</v>
      </c>
      <c r="J1120" t="s">
        <v>65</v>
      </c>
      <c r="K1120" s="7">
        <v>0.1</v>
      </c>
      <c r="L1120" t="s">
        <v>21</v>
      </c>
      <c r="M1120" s="5">
        <v>163.899</v>
      </c>
      <c r="N1120" t="s">
        <v>82</v>
      </c>
      <c r="O1120" t="s">
        <v>71</v>
      </c>
      <c r="P1120" s="5">
        <v>0</v>
      </c>
      <c r="Q1120" t="s">
        <v>2239</v>
      </c>
      <c r="R1120" t="s">
        <v>2240</v>
      </c>
      <c r="S1120" s="5">
        <v>7.31</v>
      </c>
      <c r="T1120" s="3">
        <v>45158</v>
      </c>
      <c r="U1120" s="3">
        <v>45165</v>
      </c>
      <c r="V1120" t="s">
        <v>77</v>
      </c>
      <c r="W1120">
        <f t="shared" si="87"/>
        <v>147.50910000000002</v>
      </c>
      <c r="X1120">
        <f t="shared" si="88"/>
        <v>182.11</v>
      </c>
      <c r="Y1120">
        <f t="shared" si="89"/>
        <v>34.600899999999996</v>
      </c>
      <c r="Z1120" s="8" t="str">
        <f t="shared" si="86"/>
        <v>Medium</v>
      </c>
      <c r="AA1120" s="12">
        <f>DATE(YEAR(Table1[[#This Row],[OrderDate]]),MONTH(Table1[[#This Row],[OrderDate]]),1)</f>
        <v>45139</v>
      </c>
    </row>
    <row r="1121" spans="1:27" x14ac:dyDescent="0.3">
      <c r="A1121" s="3">
        <v>45593</v>
      </c>
      <c r="B1121" t="s">
        <v>16</v>
      </c>
      <c r="C1121" t="s">
        <v>30</v>
      </c>
      <c r="D1121" t="str">
        <f>TRIM(Table1[[#This Row],[Product]])</f>
        <v>Desk</v>
      </c>
      <c r="E1121" t="str">
        <f>PROPER(Table1[[#This Row],[Column1]])</f>
        <v>Desk</v>
      </c>
      <c r="F1121" s="8" t="str">
        <f t="shared" si="85"/>
        <v>Furniture</v>
      </c>
      <c r="G1121" s="5">
        <v>7</v>
      </c>
      <c r="H1121">
        <v>466.36</v>
      </c>
      <c r="I1121" t="s">
        <v>81</v>
      </c>
      <c r="J1121" t="s">
        <v>58</v>
      </c>
      <c r="K1121" s="7">
        <v>0.05</v>
      </c>
      <c r="L1121" t="s">
        <v>19</v>
      </c>
      <c r="M1121" s="5">
        <v>3101.2939999999999</v>
      </c>
      <c r="N1121" t="s">
        <v>59</v>
      </c>
      <c r="O1121" t="s">
        <v>67</v>
      </c>
      <c r="P1121" s="5">
        <v>1</v>
      </c>
      <c r="Q1121" t="s">
        <v>2241</v>
      </c>
      <c r="R1121" t="s">
        <v>2242</v>
      </c>
      <c r="S1121" s="5">
        <v>11.45</v>
      </c>
      <c r="T1121" s="3">
        <v>45593</v>
      </c>
      <c r="U1121" s="3">
        <v>45602</v>
      </c>
      <c r="V1121" t="s">
        <v>95</v>
      </c>
      <c r="W1121">
        <f t="shared" si="87"/>
        <v>2946.2292999999995</v>
      </c>
      <c r="X1121">
        <f t="shared" si="88"/>
        <v>3264.52</v>
      </c>
      <c r="Y1121">
        <f t="shared" si="89"/>
        <v>318.29070000000047</v>
      </c>
      <c r="Z1121" s="8" t="str">
        <f t="shared" si="86"/>
        <v>Medium</v>
      </c>
      <c r="AA1121" s="12">
        <f>DATE(YEAR(Table1[[#This Row],[OrderDate]]),MONTH(Table1[[#This Row],[OrderDate]]),1)</f>
        <v>45566</v>
      </c>
    </row>
    <row r="1122" spans="1:27" x14ac:dyDescent="0.3">
      <c r="A1122" s="3">
        <v>45607</v>
      </c>
      <c r="B1122" t="s">
        <v>9</v>
      </c>
      <c r="C1122" t="s">
        <v>34</v>
      </c>
      <c r="D1122" t="str">
        <f>TRIM(Table1[[#This Row],[Product]])</f>
        <v>Printer</v>
      </c>
      <c r="E1122" t="str">
        <f>PROPER(Table1[[#This Row],[Column1]])</f>
        <v>Printer</v>
      </c>
      <c r="F1122" s="8" t="str">
        <f t="shared" si="85"/>
        <v>Office Supplies</v>
      </c>
      <c r="G1122" s="5">
        <v>15</v>
      </c>
      <c r="H1122">
        <v>140.54</v>
      </c>
      <c r="I1122" t="s">
        <v>64</v>
      </c>
      <c r="J1122" t="s">
        <v>58</v>
      </c>
      <c r="K1122" s="7">
        <v>0.1</v>
      </c>
      <c r="L1122" t="s">
        <v>25</v>
      </c>
      <c r="M1122" s="5">
        <v>1897.29</v>
      </c>
      <c r="N1122" t="s">
        <v>82</v>
      </c>
      <c r="O1122" t="s">
        <v>67</v>
      </c>
      <c r="P1122" s="5">
        <v>0</v>
      </c>
      <c r="Q1122" t="s">
        <v>2243</v>
      </c>
      <c r="R1122" t="s">
        <v>2244</v>
      </c>
      <c r="S1122" s="5">
        <v>49.91</v>
      </c>
      <c r="T1122" s="3">
        <v>45607</v>
      </c>
      <c r="U1122" s="3">
        <v>45617</v>
      </c>
      <c r="V1122" t="s">
        <v>63</v>
      </c>
      <c r="W1122">
        <f t="shared" si="87"/>
        <v>1707.5609999999999</v>
      </c>
      <c r="X1122">
        <f t="shared" si="88"/>
        <v>2108.1</v>
      </c>
      <c r="Y1122">
        <f t="shared" si="89"/>
        <v>400.53899999999999</v>
      </c>
      <c r="Z1122" s="8" t="str">
        <f t="shared" si="86"/>
        <v>Medium</v>
      </c>
      <c r="AA1122" s="12">
        <f>DATE(YEAR(Table1[[#This Row],[OrderDate]]),MONTH(Table1[[#This Row],[OrderDate]]),1)</f>
        <v>45597</v>
      </c>
    </row>
    <row r="1123" spans="1:27" x14ac:dyDescent="0.3">
      <c r="A1123" s="3">
        <v>45267</v>
      </c>
      <c r="B1123" t="s">
        <v>16</v>
      </c>
      <c r="C1123" t="s">
        <v>30</v>
      </c>
      <c r="D1123" t="str">
        <f>TRIM(Table1[[#This Row],[Product]])</f>
        <v>Desk</v>
      </c>
      <c r="E1123" t="str">
        <f>PROPER(Table1[[#This Row],[Column1]])</f>
        <v>Desk</v>
      </c>
      <c r="F1123" s="8" t="str">
        <f t="shared" si="85"/>
        <v>Furniture</v>
      </c>
      <c r="G1123" s="5">
        <v>17</v>
      </c>
      <c r="H1123">
        <v>460.31</v>
      </c>
      <c r="I1123" t="s">
        <v>64</v>
      </c>
      <c r="J1123" t="s">
        <v>65</v>
      </c>
      <c r="K1123" s="7">
        <v>0.15</v>
      </c>
      <c r="L1123" t="s">
        <v>23</v>
      </c>
      <c r="M1123" s="5">
        <v>6651.4795000000004</v>
      </c>
      <c r="N1123" t="s">
        <v>59</v>
      </c>
      <c r="O1123" t="s">
        <v>71</v>
      </c>
      <c r="P1123" s="5">
        <v>0</v>
      </c>
      <c r="Q1123" t="s">
        <v>2245</v>
      </c>
      <c r="R1123" t="s">
        <v>2246</v>
      </c>
      <c r="S1123" s="5">
        <v>40.18</v>
      </c>
      <c r="T1123" s="3">
        <v>45267</v>
      </c>
      <c r="U1123" s="3">
        <v>45275</v>
      </c>
      <c r="V1123" t="s">
        <v>95</v>
      </c>
      <c r="W1123">
        <f t="shared" si="87"/>
        <v>5653.7575750000005</v>
      </c>
      <c r="X1123">
        <f t="shared" si="88"/>
        <v>7825.27</v>
      </c>
      <c r="Y1123">
        <f t="shared" si="89"/>
        <v>2171.5124249999999</v>
      </c>
      <c r="Z1123" s="8" t="str">
        <f t="shared" si="86"/>
        <v>High</v>
      </c>
      <c r="AA1123" s="12">
        <f>DATE(YEAR(Table1[[#This Row],[OrderDate]]),MONTH(Table1[[#This Row],[OrderDate]]),1)</f>
        <v>45261</v>
      </c>
    </row>
    <row r="1124" spans="1:27" x14ac:dyDescent="0.3">
      <c r="A1124" s="3">
        <v>45374</v>
      </c>
      <c r="B1124" t="s">
        <v>16</v>
      </c>
      <c r="C1124" t="s">
        <v>31</v>
      </c>
      <c r="D1124" t="str">
        <f>TRIM(Table1[[#This Row],[Product]])</f>
        <v>Laptop</v>
      </c>
      <c r="E1124" t="str">
        <f>PROPER(Table1[[#This Row],[Column1]])</f>
        <v>Laptop</v>
      </c>
      <c r="F1124" s="8" t="str">
        <f t="shared" si="85"/>
        <v>Technology</v>
      </c>
      <c r="G1124" s="5">
        <v>5</v>
      </c>
      <c r="H1124">
        <v>132.87</v>
      </c>
      <c r="I1124" t="s">
        <v>57</v>
      </c>
      <c r="J1124" t="s">
        <v>65</v>
      </c>
      <c r="K1124" s="7">
        <v>0</v>
      </c>
      <c r="L1124" t="s">
        <v>19</v>
      </c>
      <c r="M1124" s="5">
        <v>664.35</v>
      </c>
      <c r="N1124" t="s">
        <v>85</v>
      </c>
      <c r="O1124" t="s">
        <v>71</v>
      </c>
      <c r="P1124" s="5">
        <v>0</v>
      </c>
      <c r="Q1124" t="s">
        <v>2247</v>
      </c>
      <c r="R1124" t="s">
        <v>2248</v>
      </c>
      <c r="S1124" s="5">
        <v>37.909999999999997</v>
      </c>
      <c r="T1124" s="3">
        <v>45374</v>
      </c>
      <c r="U1124" s="3">
        <v>45384</v>
      </c>
      <c r="V1124" t="s">
        <v>95</v>
      </c>
      <c r="W1124">
        <f t="shared" si="87"/>
        <v>664.35</v>
      </c>
      <c r="X1124">
        <f t="shared" si="88"/>
        <v>664.35</v>
      </c>
      <c r="Y1124">
        <f t="shared" si="89"/>
        <v>0</v>
      </c>
      <c r="Z1124" s="8" t="str">
        <f t="shared" si="86"/>
        <v>No Discount</v>
      </c>
      <c r="AA1124" s="12">
        <f>DATE(YEAR(Table1[[#This Row],[OrderDate]]),MONTH(Table1[[#This Row],[OrderDate]]),1)</f>
        <v>45352</v>
      </c>
    </row>
    <row r="1125" spans="1:27" x14ac:dyDescent="0.3">
      <c r="A1125" s="3">
        <v>45594</v>
      </c>
      <c r="B1125" t="s">
        <v>16</v>
      </c>
      <c r="C1125" t="s">
        <v>35</v>
      </c>
      <c r="D1125" t="str">
        <f>TRIM(Table1[[#This Row],[Product]])</f>
        <v>Tablet</v>
      </c>
      <c r="E1125" t="str">
        <f>PROPER(Table1[[#This Row],[Column1]])</f>
        <v>Tablet</v>
      </c>
      <c r="F1125" s="8" t="str">
        <f t="shared" si="85"/>
        <v>Technology</v>
      </c>
      <c r="G1125" s="5">
        <v>12</v>
      </c>
      <c r="H1125">
        <v>209.86</v>
      </c>
      <c r="I1125" t="s">
        <v>81</v>
      </c>
      <c r="J1125" t="s">
        <v>65</v>
      </c>
      <c r="K1125" s="7">
        <v>0.05</v>
      </c>
      <c r="L1125" t="s">
        <v>19</v>
      </c>
      <c r="M1125" s="5">
        <v>2392.404</v>
      </c>
      <c r="N1125" t="s">
        <v>59</v>
      </c>
      <c r="O1125" t="s">
        <v>71</v>
      </c>
      <c r="P1125" s="5">
        <v>0</v>
      </c>
      <c r="Q1125" t="s">
        <v>2249</v>
      </c>
      <c r="R1125" t="s">
        <v>2250</v>
      </c>
      <c r="S1125" s="5">
        <v>8.7799999999999994</v>
      </c>
      <c r="T1125" s="3">
        <v>45594</v>
      </c>
      <c r="U1125" s="3">
        <v>45598</v>
      </c>
      <c r="V1125" t="s">
        <v>95</v>
      </c>
      <c r="W1125">
        <f t="shared" si="87"/>
        <v>2272.7837999999997</v>
      </c>
      <c r="X1125">
        <f t="shared" si="88"/>
        <v>2518.3200000000002</v>
      </c>
      <c r="Y1125">
        <f t="shared" si="89"/>
        <v>245.53620000000046</v>
      </c>
      <c r="Z1125" s="8" t="str">
        <f t="shared" si="86"/>
        <v>Medium</v>
      </c>
      <c r="AA1125" s="12">
        <f>DATE(YEAR(Table1[[#This Row],[OrderDate]]),MONTH(Table1[[#This Row],[OrderDate]]),1)</f>
        <v>45566</v>
      </c>
    </row>
    <row r="1126" spans="1:27" x14ac:dyDescent="0.3">
      <c r="A1126" s="3">
        <v>45825</v>
      </c>
      <c r="B1126" t="s">
        <v>9</v>
      </c>
      <c r="C1126" t="s">
        <v>31</v>
      </c>
      <c r="D1126" t="str">
        <f>TRIM(Table1[[#This Row],[Product]])</f>
        <v>Laptop</v>
      </c>
      <c r="E1126" t="str">
        <f>PROPER(Table1[[#This Row],[Column1]])</f>
        <v>Laptop</v>
      </c>
      <c r="F1126" s="8" t="str">
        <f t="shared" si="85"/>
        <v>Technology</v>
      </c>
      <c r="G1126" s="5">
        <v>9</v>
      </c>
      <c r="H1126">
        <v>31.35</v>
      </c>
      <c r="I1126" t="s">
        <v>57</v>
      </c>
      <c r="J1126" t="s">
        <v>65</v>
      </c>
      <c r="K1126" s="7">
        <v>0.1</v>
      </c>
      <c r="L1126" t="s">
        <v>23</v>
      </c>
      <c r="M1126" s="5">
        <v>253.935</v>
      </c>
      <c r="N1126" t="s">
        <v>88</v>
      </c>
      <c r="O1126" t="s">
        <v>67</v>
      </c>
      <c r="P1126" s="5">
        <v>0</v>
      </c>
      <c r="Q1126" t="s">
        <v>2251</v>
      </c>
      <c r="R1126" t="s">
        <v>2252</v>
      </c>
      <c r="S1126" s="5">
        <v>39.32</v>
      </c>
      <c r="T1126" s="3">
        <v>45825</v>
      </c>
      <c r="U1126" s="3">
        <v>45830</v>
      </c>
      <c r="V1126" t="s">
        <v>63</v>
      </c>
      <c r="W1126">
        <f t="shared" si="87"/>
        <v>228.54150000000001</v>
      </c>
      <c r="X1126">
        <f t="shared" si="88"/>
        <v>282.15000000000003</v>
      </c>
      <c r="Y1126">
        <f t="shared" si="89"/>
        <v>53.608500000000021</v>
      </c>
      <c r="Z1126" s="8" t="str">
        <f t="shared" si="86"/>
        <v>Medium</v>
      </c>
      <c r="AA1126" s="12">
        <f>DATE(YEAR(Table1[[#This Row],[OrderDate]]),MONTH(Table1[[#This Row],[OrderDate]]),1)</f>
        <v>45809</v>
      </c>
    </row>
    <row r="1127" spans="1:27" x14ac:dyDescent="0.3">
      <c r="A1127" s="3">
        <v>45003</v>
      </c>
      <c r="B1127" t="s">
        <v>11</v>
      </c>
      <c r="C1127" t="s">
        <v>29</v>
      </c>
      <c r="D1127" t="str">
        <f>TRIM(Table1[[#This Row],[Product]])</f>
        <v>Chair</v>
      </c>
      <c r="E1127" t="str">
        <f>PROPER(Table1[[#This Row],[Column1]])</f>
        <v>Chair</v>
      </c>
      <c r="F1127" s="8" t="str">
        <f t="shared" si="85"/>
        <v>Furniture</v>
      </c>
      <c r="G1127" s="5">
        <v>11</v>
      </c>
      <c r="H1127">
        <v>335.11</v>
      </c>
      <c r="I1127" t="s">
        <v>78</v>
      </c>
      <c r="J1127" t="s">
        <v>65</v>
      </c>
      <c r="K1127" s="7">
        <v>0</v>
      </c>
      <c r="L1127" t="s">
        <v>27</v>
      </c>
      <c r="M1127" s="5">
        <v>3686.21</v>
      </c>
      <c r="N1127" t="s">
        <v>66</v>
      </c>
      <c r="O1127" t="s">
        <v>60</v>
      </c>
      <c r="P1127" s="5">
        <v>0</v>
      </c>
      <c r="Q1127" t="s">
        <v>2253</v>
      </c>
      <c r="R1127" t="s">
        <v>2254</v>
      </c>
      <c r="S1127" s="5">
        <v>29.95</v>
      </c>
      <c r="T1127" s="3">
        <v>45003</v>
      </c>
      <c r="U1127" s="3">
        <v>45011</v>
      </c>
      <c r="V1127" t="s">
        <v>74</v>
      </c>
      <c r="W1127">
        <f t="shared" si="87"/>
        <v>3686.21</v>
      </c>
      <c r="X1127">
        <f t="shared" si="88"/>
        <v>3686.21</v>
      </c>
      <c r="Y1127">
        <f t="shared" si="89"/>
        <v>0</v>
      </c>
      <c r="Z1127" s="8" t="str">
        <f t="shared" si="86"/>
        <v>No Discount</v>
      </c>
      <c r="AA1127" s="12">
        <f>DATE(YEAR(Table1[[#This Row],[OrderDate]]),MONTH(Table1[[#This Row],[OrderDate]]),1)</f>
        <v>44986</v>
      </c>
    </row>
    <row r="1128" spans="1:27" x14ac:dyDescent="0.3">
      <c r="A1128" s="3">
        <v>44945</v>
      </c>
      <c r="B1128" t="s">
        <v>9</v>
      </c>
      <c r="C1128" t="s">
        <v>33</v>
      </c>
      <c r="D1128" t="str">
        <f>TRIM(Table1[[#This Row],[Product]])</f>
        <v>Phone</v>
      </c>
      <c r="E1128" t="str">
        <f>PROPER(Table1[[#This Row],[Column1]])</f>
        <v>Phone</v>
      </c>
      <c r="F1128" s="8" t="str">
        <f t="shared" si="85"/>
        <v>Technology</v>
      </c>
      <c r="G1128" s="5">
        <v>8</v>
      </c>
      <c r="H1128">
        <v>277.43</v>
      </c>
      <c r="I1128" t="s">
        <v>81</v>
      </c>
      <c r="J1128" t="s">
        <v>58</v>
      </c>
      <c r="K1128" s="7">
        <v>0</v>
      </c>
      <c r="L1128" t="s">
        <v>21</v>
      </c>
      <c r="M1128" s="5">
        <v>2219.44</v>
      </c>
      <c r="N1128" t="s">
        <v>59</v>
      </c>
      <c r="O1128" t="s">
        <v>67</v>
      </c>
      <c r="P1128" s="5">
        <v>0</v>
      </c>
      <c r="Q1128" t="s">
        <v>2255</v>
      </c>
      <c r="R1128" t="s">
        <v>2256</v>
      </c>
      <c r="S1128" s="5">
        <v>36.380000000000003</v>
      </c>
      <c r="T1128" s="3">
        <v>44945</v>
      </c>
      <c r="U1128" s="3">
        <v>44949</v>
      </c>
      <c r="V1128" t="s">
        <v>63</v>
      </c>
      <c r="W1128">
        <f t="shared" si="87"/>
        <v>2219.44</v>
      </c>
      <c r="X1128">
        <f t="shared" si="88"/>
        <v>2219.44</v>
      </c>
      <c r="Y1128">
        <f t="shared" si="89"/>
        <v>0</v>
      </c>
      <c r="Z1128" s="8" t="str">
        <f t="shared" si="86"/>
        <v>No Discount</v>
      </c>
      <c r="AA1128" s="12">
        <f>DATE(YEAR(Table1[[#This Row],[OrderDate]]),MONTH(Table1[[#This Row],[OrderDate]]),1)</f>
        <v>44927</v>
      </c>
    </row>
    <row r="1129" spans="1:27" x14ac:dyDescent="0.3">
      <c r="A1129" s="3">
        <v>45116</v>
      </c>
      <c r="B1129" t="s">
        <v>16</v>
      </c>
      <c r="C1129" t="s">
        <v>30</v>
      </c>
      <c r="D1129" t="str">
        <f>TRIM(Table1[[#This Row],[Product]])</f>
        <v>Desk</v>
      </c>
      <c r="E1129" t="str">
        <f>PROPER(Table1[[#This Row],[Column1]])</f>
        <v>Desk</v>
      </c>
      <c r="F1129" s="8" t="str">
        <f t="shared" si="85"/>
        <v>Furniture</v>
      </c>
      <c r="G1129" s="5">
        <v>6</v>
      </c>
      <c r="H1129">
        <v>287.72000000000003</v>
      </c>
      <c r="I1129" t="s">
        <v>64</v>
      </c>
      <c r="J1129" t="s">
        <v>65</v>
      </c>
      <c r="K1129" s="7">
        <v>0.05</v>
      </c>
      <c r="L1129" t="s">
        <v>19</v>
      </c>
      <c r="M1129" s="5">
        <v>1640.0039999999999</v>
      </c>
      <c r="N1129" t="s">
        <v>85</v>
      </c>
      <c r="O1129" t="s">
        <v>71</v>
      </c>
      <c r="P1129" s="5">
        <v>0</v>
      </c>
      <c r="Q1129" t="s">
        <v>2257</v>
      </c>
      <c r="R1129" t="s">
        <v>2258</v>
      </c>
      <c r="S1129" s="5">
        <v>17.14</v>
      </c>
      <c r="T1129" s="3">
        <v>45116</v>
      </c>
      <c r="U1129" s="3">
        <v>45121</v>
      </c>
      <c r="V1129" t="s">
        <v>95</v>
      </c>
      <c r="W1129">
        <f t="shared" si="87"/>
        <v>1558.0037999999997</v>
      </c>
      <c r="X1129">
        <f t="shared" si="88"/>
        <v>1726.3200000000002</v>
      </c>
      <c r="Y1129">
        <f t="shared" si="89"/>
        <v>168.31620000000044</v>
      </c>
      <c r="Z1129" s="8" t="str">
        <f t="shared" si="86"/>
        <v>Medium</v>
      </c>
      <c r="AA1129" s="12">
        <f>DATE(YEAR(Table1[[#This Row],[OrderDate]]),MONTH(Table1[[#This Row],[OrderDate]]),1)</f>
        <v>45108</v>
      </c>
    </row>
    <row r="1130" spans="1:27" x14ac:dyDescent="0.3">
      <c r="A1130" s="3">
        <v>45732</v>
      </c>
      <c r="B1130" t="s">
        <v>9</v>
      </c>
      <c r="C1130" t="s">
        <v>31</v>
      </c>
      <c r="D1130" t="str">
        <f>TRIM(Table1[[#This Row],[Product]])</f>
        <v>Laptop</v>
      </c>
      <c r="E1130" t="str">
        <f>PROPER(Table1[[#This Row],[Column1]])</f>
        <v>Laptop</v>
      </c>
      <c r="F1130" s="8" t="str">
        <f t="shared" si="85"/>
        <v>Technology</v>
      </c>
      <c r="G1130" s="5">
        <v>14</v>
      </c>
      <c r="H1130">
        <v>459.61</v>
      </c>
      <c r="I1130" t="s">
        <v>57</v>
      </c>
      <c r="J1130" t="s">
        <v>65</v>
      </c>
      <c r="K1130" s="7">
        <v>0.05</v>
      </c>
      <c r="L1130" t="s">
        <v>27</v>
      </c>
      <c r="M1130" s="5">
        <v>6112.8130000000001</v>
      </c>
      <c r="N1130" t="s">
        <v>59</v>
      </c>
      <c r="P1130" s="5">
        <v>1</v>
      </c>
      <c r="Q1130" t="s">
        <v>2259</v>
      </c>
      <c r="R1130" t="s">
        <v>2260</v>
      </c>
      <c r="S1130" s="5">
        <v>43.41</v>
      </c>
      <c r="T1130" s="3">
        <v>45732</v>
      </c>
      <c r="U1130" s="3">
        <v>45742</v>
      </c>
      <c r="V1130" t="s">
        <v>63</v>
      </c>
      <c r="W1130">
        <f t="shared" si="87"/>
        <v>5807.1723499999998</v>
      </c>
      <c r="X1130">
        <f t="shared" si="88"/>
        <v>6434.54</v>
      </c>
      <c r="Y1130">
        <f t="shared" si="89"/>
        <v>627.36765000000014</v>
      </c>
      <c r="Z1130" s="8" t="str">
        <f t="shared" si="86"/>
        <v>Medium</v>
      </c>
      <c r="AA1130" s="12">
        <f>DATE(YEAR(Table1[[#This Row],[OrderDate]]),MONTH(Table1[[#This Row],[OrderDate]]),1)</f>
        <v>45717</v>
      </c>
    </row>
    <row r="1131" spans="1:27" x14ac:dyDescent="0.3">
      <c r="A1131" s="3">
        <v>45696</v>
      </c>
      <c r="B1131" t="s">
        <v>11</v>
      </c>
      <c r="C1131" t="s">
        <v>35</v>
      </c>
      <c r="D1131" t="str">
        <f>TRIM(Table1[[#This Row],[Product]])</f>
        <v>Tablet</v>
      </c>
      <c r="E1131" t="str">
        <f>PROPER(Table1[[#This Row],[Column1]])</f>
        <v>Tablet</v>
      </c>
      <c r="F1131" s="8" t="str">
        <f t="shared" si="85"/>
        <v>Technology</v>
      </c>
      <c r="G1131" s="5">
        <v>10</v>
      </c>
      <c r="H1131">
        <v>396.73</v>
      </c>
      <c r="I1131" t="s">
        <v>57</v>
      </c>
      <c r="J1131" t="s">
        <v>65</v>
      </c>
      <c r="K1131" s="7">
        <v>0.1</v>
      </c>
      <c r="L1131" t="s">
        <v>25</v>
      </c>
      <c r="M1131" s="5">
        <v>3570.57</v>
      </c>
      <c r="N1131" t="s">
        <v>59</v>
      </c>
      <c r="O1131" t="s">
        <v>60</v>
      </c>
      <c r="P1131" s="5">
        <v>0</v>
      </c>
      <c r="Q1131" t="s">
        <v>2261</v>
      </c>
      <c r="R1131" t="s">
        <v>2262</v>
      </c>
      <c r="S1131" s="5">
        <v>18.13</v>
      </c>
      <c r="T1131" s="3">
        <v>45696</v>
      </c>
      <c r="U1131" s="3">
        <v>45701</v>
      </c>
      <c r="V1131" t="s">
        <v>74</v>
      </c>
      <c r="W1131">
        <f t="shared" si="87"/>
        <v>3213.5130000000004</v>
      </c>
      <c r="X1131">
        <f t="shared" si="88"/>
        <v>3967.3</v>
      </c>
      <c r="Y1131">
        <f t="shared" si="89"/>
        <v>753.78699999999981</v>
      </c>
      <c r="Z1131" s="8" t="str">
        <f t="shared" si="86"/>
        <v>Medium</v>
      </c>
      <c r="AA1131" s="12">
        <f>DATE(YEAR(Table1[[#This Row],[OrderDate]]),MONTH(Table1[[#This Row],[OrderDate]]),1)</f>
        <v>45689</v>
      </c>
    </row>
    <row r="1132" spans="1:27" x14ac:dyDescent="0.3">
      <c r="A1132" s="3">
        <v>45402</v>
      </c>
      <c r="B1132" t="s">
        <v>13</v>
      </c>
      <c r="C1132" t="s">
        <v>34</v>
      </c>
      <c r="D1132" t="str">
        <f>TRIM(Table1[[#This Row],[Product]])</f>
        <v>Printer</v>
      </c>
      <c r="E1132" t="str">
        <f>PROPER(Table1[[#This Row],[Column1]])</f>
        <v>Printer</v>
      </c>
      <c r="F1132" s="8" t="str">
        <f t="shared" si="85"/>
        <v>Office Supplies</v>
      </c>
      <c r="G1132" s="5">
        <v>20</v>
      </c>
      <c r="H1132">
        <v>516.42999999999995</v>
      </c>
      <c r="I1132" t="s">
        <v>57</v>
      </c>
      <c r="J1132" t="s">
        <v>65</v>
      </c>
      <c r="K1132" s="7">
        <v>0</v>
      </c>
      <c r="L1132" t="s">
        <v>19</v>
      </c>
      <c r="M1132" s="5">
        <v>10328.6</v>
      </c>
      <c r="N1132" t="s">
        <v>59</v>
      </c>
      <c r="O1132" t="s">
        <v>60</v>
      </c>
      <c r="P1132" s="5">
        <v>0</v>
      </c>
      <c r="Q1132" t="s">
        <v>2263</v>
      </c>
      <c r="R1132" t="s">
        <v>313</v>
      </c>
      <c r="S1132" s="5">
        <v>36.229999999999997</v>
      </c>
      <c r="T1132" s="3">
        <v>45402</v>
      </c>
      <c r="U1132" s="3">
        <v>45404</v>
      </c>
      <c r="V1132" t="s">
        <v>70</v>
      </c>
      <c r="W1132">
        <f t="shared" si="87"/>
        <v>10328.6</v>
      </c>
      <c r="X1132">
        <f t="shared" si="88"/>
        <v>10328.599999999999</v>
      </c>
      <c r="Y1132">
        <f t="shared" si="89"/>
        <v>0</v>
      </c>
      <c r="Z1132" s="8" t="str">
        <f t="shared" si="86"/>
        <v>No Discount</v>
      </c>
      <c r="AA1132" s="12">
        <f>DATE(YEAR(Table1[[#This Row],[OrderDate]]),MONTH(Table1[[#This Row],[OrderDate]]),1)</f>
        <v>45383</v>
      </c>
    </row>
    <row r="1133" spans="1:27" x14ac:dyDescent="0.3">
      <c r="A1133" s="3">
        <v>45813</v>
      </c>
      <c r="B1133" t="s">
        <v>9</v>
      </c>
      <c r="C1133" t="s">
        <v>31</v>
      </c>
      <c r="D1133" t="str">
        <f>TRIM(Table1[[#This Row],[Product]])</f>
        <v>Laptop</v>
      </c>
      <c r="E1133" t="str">
        <f>PROPER(Table1[[#This Row],[Column1]])</f>
        <v>Laptop</v>
      </c>
      <c r="F1133" s="8" t="str">
        <f t="shared" si="85"/>
        <v>Technology</v>
      </c>
      <c r="G1133" s="5">
        <v>1</v>
      </c>
      <c r="H1133">
        <v>299.66000000000003</v>
      </c>
      <c r="I1133" t="s">
        <v>64</v>
      </c>
      <c r="J1133" t="s">
        <v>65</v>
      </c>
      <c r="K1133" s="7">
        <v>0.1</v>
      </c>
      <c r="L1133" t="s">
        <v>23</v>
      </c>
      <c r="M1133" s="5">
        <v>269.69400000000002</v>
      </c>
      <c r="N1133" t="s">
        <v>88</v>
      </c>
      <c r="O1133" t="s">
        <v>67</v>
      </c>
      <c r="P1133" s="5">
        <v>0</v>
      </c>
      <c r="Q1133" t="s">
        <v>2264</v>
      </c>
      <c r="R1133" t="s">
        <v>2265</v>
      </c>
      <c r="S1133" s="5">
        <v>38.94</v>
      </c>
      <c r="T1133" s="3">
        <v>45813</v>
      </c>
      <c r="U1133" s="3">
        <v>45815</v>
      </c>
      <c r="V1133" t="s">
        <v>63</v>
      </c>
      <c r="W1133">
        <f t="shared" si="87"/>
        <v>242.72460000000001</v>
      </c>
      <c r="X1133">
        <f t="shared" si="88"/>
        <v>299.66000000000003</v>
      </c>
      <c r="Y1133">
        <f t="shared" si="89"/>
        <v>56.935400000000016</v>
      </c>
      <c r="Z1133" s="8" t="str">
        <f t="shared" si="86"/>
        <v>Medium</v>
      </c>
      <c r="AA1133" s="12">
        <f>DATE(YEAR(Table1[[#This Row],[OrderDate]]),MONTH(Table1[[#This Row],[OrderDate]]),1)</f>
        <v>45809</v>
      </c>
    </row>
    <row r="1134" spans="1:27" x14ac:dyDescent="0.3">
      <c r="A1134" s="3">
        <v>45772</v>
      </c>
      <c r="B1134" t="s">
        <v>13</v>
      </c>
      <c r="C1134" t="s">
        <v>29</v>
      </c>
      <c r="D1134" t="str">
        <f>TRIM(Table1[[#This Row],[Product]])</f>
        <v>Chair</v>
      </c>
      <c r="E1134" t="str">
        <f>PROPER(Table1[[#This Row],[Column1]])</f>
        <v>Chair</v>
      </c>
      <c r="F1134" s="8" t="str">
        <f t="shared" si="85"/>
        <v>Furniture</v>
      </c>
      <c r="G1134" s="5">
        <v>12</v>
      </c>
      <c r="H1134">
        <v>31.72</v>
      </c>
      <c r="I1134" t="s">
        <v>57</v>
      </c>
      <c r="J1134" t="s">
        <v>65</v>
      </c>
      <c r="K1134" s="7">
        <v>0</v>
      </c>
      <c r="L1134" t="s">
        <v>18</v>
      </c>
      <c r="M1134" s="5">
        <v>380.64</v>
      </c>
      <c r="N1134" t="s">
        <v>85</v>
      </c>
      <c r="O1134" t="s">
        <v>67</v>
      </c>
      <c r="P1134" s="5">
        <v>0</v>
      </c>
      <c r="Q1134" t="s">
        <v>2266</v>
      </c>
      <c r="R1134" t="s">
        <v>2267</v>
      </c>
      <c r="S1134" s="5">
        <v>30.78</v>
      </c>
      <c r="T1134" s="3">
        <v>45772</v>
      </c>
      <c r="U1134" s="3">
        <v>45780</v>
      </c>
      <c r="V1134" t="s">
        <v>70</v>
      </c>
      <c r="W1134">
        <f t="shared" si="87"/>
        <v>380.64</v>
      </c>
      <c r="X1134">
        <f t="shared" si="88"/>
        <v>380.64</v>
      </c>
      <c r="Y1134">
        <f t="shared" si="89"/>
        <v>0</v>
      </c>
      <c r="Z1134" s="8" t="str">
        <f t="shared" si="86"/>
        <v>No Discount</v>
      </c>
      <c r="AA1134" s="12">
        <f>DATE(YEAR(Table1[[#This Row],[OrderDate]]),MONTH(Table1[[#This Row],[OrderDate]]),1)</f>
        <v>45748</v>
      </c>
    </row>
    <row r="1135" spans="1:27" x14ac:dyDescent="0.3">
      <c r="A1135" s="3">
        <v>45175</v>
      </c>
      <c r="B1135" t="s">
        <v>7</v>
      </c>
      <c r="C1135" t="s">
        <v>33</v>
      </c>
      <c r="D1135" t="str">
        <f>TRIM(Table1[[#This Row],[Product]])</f>
        <v>Phone</v>
      </c>
      <c r="E1135" t="str">
        <f>PROPER(Table1[[#This Row],[Column1]])</f>
        <v>Phone</v>
      </c>
      <c r="F1135" s="8" t="str">
        <f t="shared" si="85"/>
        <v>Technology</v>
      </c>
      <c r="G1135" s="5">
        <v>17</v>
      </c>
      <c r="H1135">
        <v>588.58000000000004</v>
      </c>
      <c r="I1135" t="s">
        <v>81</v>
      </c>
      <c r="J1135" t="s">
        <v>58</v>
      </c>
      <c r="K1135" s="7">
        <v>0.05</v>
      </c>
      <c r="L1135" t="s">
        <v>23</v>
      </c>
      <c r="M1135" s="5">
        <v>9505.5670000000009</v>
      </c>
      <c r="N1135" t="s">
        <v>85</v>
      </c>
      <c r="O1135" t="s">
        <v>67</v>
      </c>
      <c r="P1135" s="5">
        <v>1</v>
      </c>
      <c r="Q1135" t="s">
        <v>2268</v>
      </c>
      <c r="R1135" t="s">
        <v>2269</v>
      </c>
      <c r="S1135" s="5">
        <v>25.31</v>
      </c>
      <c r="T1135" s="3">
        <v>45175</v>
      </c>
      <c r="U1135" s="3">
        <v>45182</v>
      </c>
      <c r="V1135" t="s">
        <v>77</v>
      </c>
      <c r="W1135">
        <f t="shared" si="87"/>
        <v>9030.2886500000004</v>
      </c>
      <c r="X1135">
        <f t="shared" si="88"/>
        <v>10005.86</v>
      </c>
      <c r="Y1135">
        <f t="shared" si="89"/>
        <v>975.57135000000017</v>
      </c>
      <c r="Z1135" s="8" t="str">
        <f t="shared" si="86"/>
        <v>Medium</v>
      </c>
      <c r="AA1135" s="12">
        <f>DATE(YEAR(Table1[[#This Row],[OrderDate]]),MONTH(Table1[[#This Row],[OrderDate]]),1)</f>
        <v>45170</v>
      </c>
    </row>
    <row r="1136" spans="1:27" x14ac:dyDescent="0.3">
      <c r="A1136" s="3">
        <v>45198</v>
      </c>
      <c r="B1136" t="s">
        <v>9</v>
      </c>
      <c r="C1136" t="s">
        <v>31</v>
      </c>
      <c r="D1136" t="str">
        <f>TRIM(Table1[[#This Row],[Product]])</f>
        <v>Laptop</v>
      </c>
      <c r="E1136" t="str">
        <f>PROPER(Table1[[#This Row],[Column1]])</f>
        <v>Laptop</v>
      </c>
      <c r="F1136" s="8" t="str">
        <f t="shared" si="85"/>
        <v>Technology</v>
      </c>
      <c r="G1136" s="5">
        <v>11</v>
      </c>
      <c r="H1136">
        <v>203.15</v>
      </c>
      <c r="I1136" t="s">
        <v>78</v>
      </c>
      <c r="J1136" t="s">
        <v>65</v>
      </c>
      <c r="K1136" s="7">
        <v>0.1</v>
      </c>
      <c r="L1136" t="s">
        <v>25</v>
      </c>
      <c r="M1136" s="5">
        <v>2011.1849999999999</v>
      </c>
      <c r="N1136" t="s">
        <v>59</v>
      </c>
      <c r="O1136" t="s">
        <v>60</v>
      </c>
      <c r="P1136" s="5">
        <v>0</v>
      </c>
      <c r="Q1136" t="s">
        <v>2270</v>
      </c>
      <c r="R1136" t="s">
        <v>2271</v>
      </c>
      <c r="S1136" s="5">
        <v>30.97</v>
      </c>
      <c r="T1136" s="3">
        <v>45198</v>
      </c>
      <c r="U1136" s="3">
        <v>45201</v>
      </c>
      <c r="V1136" t="s">
        <v>63</v>
      </c>
      <c r="W1136">
        <f t="shared" si="87"/>
        <v>1810.0664999999999</v>
      </c>
      <c r="X1136">
        <f t="shared" si="88"/>
        <v>2234.65</v>
      </c>
      <c r="Y1136">
        <f t="shared" si="89"/>
        <v>424.58350000000019</v>
      </c>
      <c r="Z1136" s="8" t="str">
        <f t="shared" si="86"/>
        <v>Medium</v>
      </c>
      <c r="AA1136" s="12">
        <f>DATE(YEAR(Table1[[#This Row],[OrderDate]]),MONTH(Table1[[#This Row],[OrderDate]]),1)</f>
        <v>45170</v>
      </c>
    </row>
    <row r="1137" spans="1:27" x14ac:dyDescent="0.3">
      <c r="A1137" s="3">
        <v>45433</v>
      </c>
      <c r="B1137" t="s">
        <v>7</v>
      </c>
      <c r="C1137" t="s">
        <v>32</v>
      </c>
      <c r="D1137" t="str">
        <f>TRIM(Table1[[#This Row],[Product]])</f>
        <v>Monitor</v>
      </c>
      <c r="E1137" t="str">
        <f>PROPER(Table1[[#This Row],[Column1]])</f>
        <v>Monitor</v>
      </c>
      <c r="F1137" s="8" t="str">
        <f t="shared" si="85"/>
        <v>Technology</v>
      </c>
      <c r="G1137" s="5">
        <v>18</v>
      </c>
      <c r="H1137">
        <v>139.13999999999999</v>
      </c>
      <c r="I1137" t="s">
        <v>64</v>
      </c>
      <c r="J1137" t="s">
        <v>58</v>
      </c>
      <c r="K1137" s="7">
        <v>0</v>
      </c>
      <c r="L1137" t="s">
        <v>21</v>
      </c>
      <c r="M1137" s="5">
        <v>2504.52</v>
      </c>
      <c r="N1137" t="s">
        <v>59</v>
      </c>
      <c r="O1137" t="s">
        <v>60</v>
      </c>
      <c r="P1137" s="5">
        <v>1</v>
      </c>
      <c r="Q1137" t="s">
        <v>2272</v>
      </c>
      <c r="R1137" t="s">
        <v>2273</v>
      </c>
      <c r="S1137" s="5">
        <v>10.56</v>
      </c>
      <c r="T1137" s="3">
        <v>45433</v>
      </c>
      <c r="U1137" s="3">
        <v>45435</v>
      </c>
      <c r="V1137" t="s">
        <v>77</v>
      </c>
      <c r="W1137">
        <f t="shared" si="87"/>
        <v>2504.52</v>
      </c>
      <c r="X1137">
        <f t="shared" si="88"/>
        <v>2504.5199999999995</v>
      </c>
      <c r="Y1137">
        <f t="shared" si="89"/>
        <v>0</v>
      </c>
      <c r="Z1137" s="8" t="str">
        <f t="shared" si="86"/>
        <v>No Discount</v>
      </c>
      <c r="AA1137" s="12">
        <f>DATE(YEAR(Table1[[#This Row],[OrderDate]]),MONTH(Table1[[#This Row],[OrderDate]]),1)</f>
        <v>45413</v>
      </c>
    </row>
    <row r="1138" spans="1:27" x14ac:dyDescent="0.3">
      <c r="A1138" s="3">
        <v>45760</v>
      </c>
      <c r="B1138" t="s">
        <v>16</v>
      </c>
      <c r="C1138" t="s">
        <v>32</v>
      </c>
      <c r="D1138" t="str">
        <f>TRIM(Table1[[#This Row],[Product]])</f>
        <v>Monitor</v>
      </c>
      <c r="E1138" t="str">
        <f>PROPER(Table1[[#This Row],[Column1]])</f>
        <v>Monitor</v>
      </c>
      <c r="F1138" s="8" t="str">
        <f t="shared" si="85"/>
        <v>Technology</v>
      </c>
      <c r="G1138" s="5">
        <v>2</v>
      </c>
      <c r="H1138">
        <v>158.99</v>
      </c>
      <c r="I1138" t="s">
        <v>64</v>
      </c>
      <c r="J1138" t="s">
        <v>58</v>
      </c>
      <c r="K1138" s="7">
        <v>0</v>
      </c>
      <c r="L1138" t="s">
        <v>19</v>
      </c>
      <c r="M1138" s="5">
        <v>317.98</v>
      </c>
      <c r="N1138" t="s">
        <v>59</v>
      </c>
      <c r="P1138" s="5">
        <v>0</v>
      </c>
      <c r="Q1138" t="s">
        <v>2274</v>
      </c>
      <c r="R1138" t="s">
        <v>2275</v>
      </c>
      <c r="S1138" s="5">
        <v>48.32</v>
      </c>
      <c r="T1138" s="3">
        <v>45760</v>
      </c>
      <c r="U1138" s="3">
        <v>45766</v>
      </c>
      <c r="V1138" t="s">
        <v>95</v>
      </c>
      <c r="W1138">
        <f t="shared" si="87"/>
        <v>317.98</v>
      </c>
      <c r="X1138">
        <f t="shared" si="88"/>
        <v>317.98</v>
      </c>
      <c r="Y1138">
        <f t="shared" si="89"/>
        <v>0</v>
      </c>
      <c r="Z1138" s="8" t="str">
        <f t="shared" si="86"/>
        <v>No Discount</v>
      </c>
      <c r="AA1138" s="12">
        <f>DATE(YEAR(Table1[[#This Row],[OrderDate]]),MONTH(Table1[[#This Row],[OrderDate]]),1)</f>
        <v>45748</v>
      </c>
    </row>
    <row r="1139" spans="1:27" x14ac:dyDescent="0.3">
      <c r="A1139" s="3">
        <v>45612</v>
      </c>
      <c r="B1139" t="s">
        <v>9</v>
      </c>
      <c r="C1139" t="s">
        <v>29</v>
      </c>
      <c r="D1139" t="str">
        <f>TRIM(Table1[[#This Row],[Product]])</f>
        <v>Chair</v>
      </c>
      <c r="E1139" t="str">
        <f>PROPER(Table1[[#This Row],[Column1]])</f>
        <v>Chair</v>
      </c>
      <c r="F1139" s="8" t="str">
        <f t="shared" si="85"/>
        <v>Furniture</v>
      </c>
      <c r="G1139" s="5">
        <v>3</v>
      </c>
      <c r="H1139">
        <v>387.63</v>
      </c>
      <c r="I1139" t="s">
        <v>64</v>
      </c>
      <c r="J1139" t="s">
        <v>58</v>
      </c>
      <c r="K1139" s="7">
        <v>0</v>
      </c>
      <c r="L1139" t="s">
        <v>23</v>
      </c>
      <c r="M1139" s="5">
        <v>1162.8900000000001</v>
      </c>
      <c r="N1139" t="s">
        <v>82</v>
      </c>
      <c r="O1139" t="s">
        <v>71</v>
      </c>
      <c r="P1139" s="5">
        <v>0</v>
      </c>
      <c r="Q1139" t="s">
        <v>2276</v>
      </c>
      <c r="R1139" t="s">
        <v>2277</v>
      </c>
      <c r="S1139" s="5">
        <v>30.08</v>
      </c>
      <c r="T1139" s="3">
        <v>45612</v>
      </c>
      <c r="U1139" s="3">
        <v>45616</v>
      </c>
      <c r="V1139" t="s">
        <v>63</v>
      </c>
      <c r="W1139">
        <f t="shared" si="87"/>
        <v>1162.8900000000001</v>
      </c>
      <c r="X1139">
        <f t="shared" si="88"/>
        <v>1162.8899999999999</v>
      </c>
      <c r="Y1139">
        <f t="shared" si="89"/>
        <v>0</v>
      </c>
      <c r="Z1139" s="8" t="str">
        <f t="shared" si="86"/>
        <v>No Discount</v>
      </c>
      <c r="AA1139" s="12">
        <f>DATE(YEAR(Table1[[#This Row],[OrderDate]]),MONTH(Table1[[#This Row],[OrderDate]]),1)</f>
        <v>45597</v>
      </c>
    </row>
    <row r="1140" spans="1:27" x14ac:dyDescent="0.3">
      <c r="A1140" s="3">
        <v>45493</v>
      </c>
      <c r="B1140" t="s">
        <v>11</v>
      </c>
      <c r="C1140" t="s">
        <v>30</v>
      </c>
      <c r="D1140" t="str">
        <f>TRIM(Table1[[#This Row],[Product]])</f>
        <v>Desk</v>
      </c>
      <c r="E1140" t="str">
        <f>PROPER(Table1[[#This Row],[Column1]])</f>
        <v>Desk</v>
      </c>
      <c r="F1140" s="8" t="str">
        <f t="shared" si="85"/>
        <v>Furniture</v>
      </c>
      <c r="G1140" s="5">
        <v>5</v>
      </c>
      <c r="H1140">
        <v>202.12</v>
      </c>
      <c r="I1140" t="s">
        <v>64</v>
      </c>
      <c r="J1140" t="s">
        <v>65</v>
      </c>
      <c r="K1140" s="7">
        <v>0.1</v>
      </c>
      <c r="L1140" t="s">
        <v>23</v>
      </c>
      <c r="M1140" s="5">
        <v>909.54000000000008</v>
      </c>
      <c r="N1140" t="s">
        <v>59</v>
      </c>
      <c r="O1140" t="s">
        <v>60</v>
      </c>
      <c r="P1140" s="5">
        <v>1</v>
      </c>
      <c r="Q1140" t="s">
        <v>2278</v>
      </c>
      <c r="R1140" t="s">
        <v>2234</v>
      </c>
      <c r="S1140" s="5">
        <v>45.61</v>
      </c>
      <c r="T1140" s="3">
        <v>45493</v>
      </c>
      <c r="U1140" s="3">
        <v>45501</v>
      </c>
      <c r="V1140" t="s">
        <v>74</v>
      </c>
      <c r="W1140">
        <f t="shared" si="87"/>
        <v>818.58600000000013</v>
      </c>
      <c r="X1140">
        <f t="shared" si="88"/>
        <v>1010.6</v>
      </c>
      <c r="Y1140">
        <f t="shared" si="89"/>
        <v>192.0139999999999</v>
      </c>
      <c r="Z1140" s="8" t="str">
        <f t="shared" si="86"/>
        <v>Medium</v>
      </c>
      <c r="AA1140" s="12">
        <f>DATE(YEAR(Table1[[#This Row],[OrderDate]]),MONTH(Table1[[#This Row],[OrderDate]]),1)</f>
        <v>45474</v>
      </c>
    </row>
    <row r="1141" spans="1:27" x14ac:dyDescent="0.3">
      <c r="A1141" s="3">
        <v>45066</v>
      </c>
      <c r="B1141" t="s">
        <v>11</v>
      </c>
      <c r="C1141" t="s">
        <v>30</v>
      </c>
      <c r="D1141" t="str">
        <f>TRIM(Table1[[#This Row],[Product]])</f>
        <v>Desk</v>
      </c>
      <c r="E1141" t="str">
        <f>PROPER(Table1[[#This Row],[Column1]])</f>
        <v>Desk</v>
      </c>
      <c r="F1141" s="8" t="str">
        <f t="shared" si="85"/>
        <v>Furniture</v>
      </c>
      <c r="G1141" s="5">
        <v>4</v>
      </c>
      <c r="H1141">
        <v>334.57</v>
      </c>
      <c r="I1141" t="s">
        <v>78</v>
      </c>
      <c r="J1141" t="s">
        <v>65</v>
      </c>
      <c r="K1141" s="7">
        <v>0.15</v>
      </c>
      <c r="L1141" t="s">
        <v>21</v>
      </c>
      <c r="M1141" s="5">
        <v>1137.538</v>
      </c>
      <c r="N1141" t="s">
        <v>66</v>
      </c>
      <c r="P1141" s="5">
        <v>0</v>
      </c>
      <c r="Q1141" t="s">
        <v>2279</v>
      </c>
      <c r="R1141" t="s">
        <v>2280</v>
      </c>
      <c r="S1141" s="5">
        <v>11.49</v>
      </c>
      <c r="T1141" s="3">
        <v>45066</v>
      </c>
      <c r="U1141" s="3">
        <v>45073</v>
      </c>
      <c r="V1141" t="s">
        <v>74</v>
      </c>
      <c r="W1141">
        <f t="shared" si="87"/>
        <v>966.90729999999996</v>
      </c>
      <c r="X1141">
        <f t="shared" si="88"/>
        <v>1338.28</v>
      </c>
      <c r="Y1141">
        <f t="shared" si="89"/>
        <v>371.37270000000001</v>
      </c>
      <c r="Z1141" s="8" t="str">
        <f t="shared" si="86"/>
        <v>High</v>
      </c>
      <c r="AA1141" s="12">
        <f>DATE(YEAR(Table1[[#This Row],[OrderDate]]),MONTH(Table1[[#This Row],[OrderDate]]),1)</f>
        <v>45047</v>
      </c>
    </row>
    <row r="1142" spans="1:27" x14ac:dyDescent="0.3">
      <c r="A1142" s="3">
        <v>45221</v>
      </c>
      <c r="B1142" t="s">
        <v>16</v>
      </c>
      <c r="C1142" t="s">
        <v>33</v>
      </c>
      <c r="D1142" t="str">
        <f>TRIM(Table1[[#This Row],[Product]])</f>
        <v>Phone</v>
      </c>
      <c r="E1142" t="str">
        <f>PROPER(Table1[[#This Row],[Column1]])</f>
        <v>Phone</v>
      </c>
      <c r="F1142" s="8" t="str">
        <f t="shared" si="85"/>
        <v>Technology</v>
      </c>
      <c r="G1142" s="5">
        <v>16</v>
      </c>
      <c r="H1142">
        <v>486.71</v>
      </c>
      <c r="I1142" t="s">
        <v>57</v>
      </c>
      <c r="J1142" t="s">
        <v>58</v>
      </c>
      <c r="K1142" s="7">
        <v>0.15</v>
      </c>
      <c r="L1142" t="s">
        <v>21</v>
      </c>
      <c r="M1142" s="5">
        <v>6619.2559999999994</v>
      </c>
      <c r="N1142" t="s">
        <v>59</v>
      </c>
      <c r="O1142" t="s">
        <v>60</v>
      </c>
      <c r="P1142" s="5">
        <v>1</v>
      </c>
      <c r="Q1142" t="s">
        <v>2281</v>
      </c>
      <c r="R1142" t="s">
        <v>2282</v>
      </c>
      <c r="S1142" s="5">
        <v>12.53</v>
      </c>
      <c r="T1142" s="3">
        <v>45221</v>
      </c>
      <c r="U1142" s="3">
        <v>45225</v>
      </c>
      <c r="V1142" t="s">
        <v>95</v>
      </c>
      <c r="W1142">
        <f t="shared" si="87"/>
        <v>5626.3675999999996</v>
      </c>
      <c r="X1142">
        <f t="shared" si="88"/>
        <v>7787.36</v>
      </c>
      <c r="Y1142">
        <f t="shared" si="89"/>
        <v>2160.9924000000001</v>
      </c>
      <c r="Z1142" s="8" t="str">
        <f t="shared" si="86"/>
        <v>High</v>
      </c>
      <c r="AA1142" s="12">
        <f>DATE(YEAR(Table1[[#This Row],[OrderDate]]),MONTH(Table1[[#This Row],[OrderDate]]),1)</f>
        <v>45200</v>
      </c>
    </row>
    <row r="1143" spans="1:27" x14ac:dyDescent="0.3">
      <c r="A1143" s="3">
        <v>45795</v>
      </c>
      <c r="B1143" t="s">
        <v>11</v>
      </c>
      <c r="C1143" t="s">
        <v>32</v>
      </c>
      <c r="D1143" t="str">
        <f>TRIM(Table1[[#This Row],[Product]])</f>
        <v>Monitor</v>
      </c>
      <c r="E1143" t="str">
        <f>PROPER(Table1[[#This Row],[Column1]])</f>
        <v>Monitor</v>
      </c>
      <c r="F1143" s="8" t="str">
        <f t="shared" si="85"/>
        <v>Technology</v>
      </c>
      <c r="G1143" s="5">
        <v>2</v>
      </c>
      <c r="H1143">
        <v>188.29</v>
      </c>
      <c r="I1143" t="s">
        <v>81</v>
      </c>
      <c r="J1143" t="s">
        <v>58</v>
      </c>
      <c r="K1143" s="7">
        <v>0.15</v>
      </c>
      <c r="L1143" t="s">
        <v>19</v>
      </c>
      <c r="M1143" s="5">
        <v>320.09300000000002</v>
      </c>
      <c r="N1143" t="s">
        <v>82</v>
      </c>
      <c r="O1143" t="s">
        <v>67</v>
      </c>
      <c r="P1143" s="5">
        <v>0</v>
      </c>
      <c r="Q1143" t="s">
        <v>2283</v>
      </c>
      <c r="R1143" t="s">
        <v>2284</v>
      </c>
      <c r="S1143" s="5">
        <v>32.22</v>
      </c>
      <c r="T1143" s="3">
        <v>45795</v>
      </c>
      <c r="U1143" s="3">
        <v>45798</v>
      </c>
      <c r="V1143" t="s">
        <v>74</v>
      </c>
      <c r="W1143">
        <f t="shared" si="87"/>
        <v>272.07905</v>
      </c>
      <c r="X1143">
        <f t="shared" si="88"/>
        <v>376.58</v>
      </c>
      <c r="Y1143">
        <f t="shared" si="89"/>
        <v>104.50094999999999</v>
      </c>
      <c r="Z1143" s="8" t="str">
        <f t="shared" si="86"/>
        <v>High</v>
      </c>
      <c r="AA1143" s="12">
        <f>DATE(YEAR(Table1[[#This Row],[OrderDate]]),MONTH(Table1[[#This Row],[OrderDate]]),1)</f>
        <v>45778</v>
      </c>
    </row>
    <row r="1144" spans="1:27" x14ac:dyDescent="0.3">
      <c r="A1144" s="3">
        <v>45354</v>
      </c>
      <c r="B1144" t="s">
        <v>13</v>
      </c>
      <c r="C1144" t="s">
        <v>31</v>
      </c>
      <c r="D1144" t="str">
        <f>TRIM(Table1[[#This Row],[Product]])</f>
        <v>Laptop</v>
      </c>
      <c r="E1144" t="str">
        <f>PROPER(Table1[[#This Row],[Column1]])</f>
        <v>Laptop</v>
      </c>
      <c r="F1144" s="8" t="str">
        <f t="shared" si="85"/>
        <v>Technology</v>
      </c>
      <c r="G1144" s="5">
        <v>3</v>
      </c>
      <c r="H1144">
        <v>260.72000000000003</v>
      </c>
      <c r="I1144" t="s">
        <v>57</v>
      </c>
      <c r="J1144" t="s">
        <v>58</v>
      </c>
      <c r="K1144" s="7">
        <v>0.15</v>
      </c>
      <c r="L1144" t="s">
        <v>27</v>
      </c>
      <c r="M1144" s="5">
        <v>664.83600000000001</v>
      </c>
      <c r="N1144" t="s">
        <v>59</v>
      </c>
      <c r="O1144" t="s">
        <v>71</v>
      </c>
      <c r="P1144" s="5">
        <v>0</v>
      </c>
      <c r="Q1144" t="s">
        <v>2285</v>
      </c>
      <c r="R1144" t="s">
        <v>2286</v>
      </c>
      <c r="S1144" s="5">
        <v>19.41</v>
      </c>
      <c r="T1144" s="3">
        <v>45354</v>
      </c>
      <c r="U1144" s="3">
        <v>45357</v>
      </c>
      <c r="V1144" t="s">
        <v>70</v>
      </c>
      <c r="W1144">
        <f t="shared" si="87"/>
        <v>565.11059999999998</v>
      </c>
      <c r="X1144">
        <f t="shared" si="88"/>
        <v>782.16000000000008</v>
      </c>
      <c r="Y1144">
        <f t="shared" si="89"/>
        <v>217.04940000000011</v>
      </c>
      <c r="Z1144" s="8" t="str">
        <f t="shared" si="86"/>
        <v>High</v>
      </c>
      <c r="AA1144" s="12">
        <f>DATE(YEAR(Table1[[#This Row],[OrderDate]]),MONTH(Table1[[#This Row],[OrderDate]]),1)</f>
        <v>45352</v>
      </c>
    </row>
    <row r="1145" spans="1:27" x14ac:dyDescent="0.3">
      <c r="A1145" s="3">
        <v>45130</v>
      </c>
      <c r="B1145" t="s">
        <v>9</v>
      </c>
      <c r="C1145" t="s">
        <v>30</v>
      </c>
      <c r="D1145" t="str">
        <f>TRIM(Table1[[#This Row],[Product]])</f>
        <v>Desk</v>
      </c>
      <c r="E1145" t="str">
        <f>PROPER(Table1[[#This Row],[Column1]])</f>
        <v>Desk</v>
      </c>
      <c r="F1145" s="8" t="str">
        <f t="shared" si="85"/>
        <v>Furniture</v>
      </c>
      <c r="G1145" s="5">
        <v>6</v>
      </c>
      <c r="H1145">
        <v>358.27</v>
      </c>
      <c r="I1145" t="s">
        <v>57</v>
      </c>
      <c r="J1145" t="s">
        <v>65</v>
      </c>
      <c r="K1145" s="7">
        <v>0.1</v>
      </c>
      <c r="L1145" t="s">
        <v>27</v>
      </c>
      <c r="M1145" s="5">
        <v>1934.6579999999999</v>
      </c>
      <c r="N1145" t="s">
        <v>66</v>
      </c>
      <c r="P1145" s="5">
        <v>0</v>
      </c>
      <c r="Q1145" t="s">
        <v>2287</v>
      </c>
      <c r="R1145" t="s">
        <v>2155</v>
      </c>
      <c r="S1145" s="5">
        <v>7.34</v>
      </c>
      <c r="T1145" s="3">
        <v>45130</v>
      </c>
      <c r="U1145" s="3">
        <v>45140</v>
      </c>
      <c r="V1145" t="s">
        <v>63</v>
      </c>
      <c r="W1145">
        <f t="shared" si="87"/>
        <v>1741.1922</v>
      </c>
      <c r="X1145">
        <f t="shared" si="88"/>
        <v>2149.62</v>
      </c>
      <c r="Y1145">
        <f t="shared" si="89"/>
        <v>408.42779999999993</v>
      </c>
      <c r="Z1145" s="8" t="str">
        <f t="shared" si="86"/>
        <v>Medium</v>
      </c>
      <c r="AA1145" s="12">
        <f>DATE(YEAR(Table1[[#This Row],[OrderDate]]),MONTH(Table1[[#This Row],[OrderDate]]),1)</f>
        <v>45108</v>
      </c>
    </row>
    <row r="1146" spans="1:27" x14ac:dyDescent="0.3">
      <c r="A1146" s="3">
        <v>45697</v>
      </c>
      <c r="B1146" t="s">
        <v>11</v>
      </c>
      <c r="C1146" t="s">
        <v>30</v>
      </c>
      <c r="D1146" t="str">
        <f>TRIM(Table1[[#This Row],[Product]])</f>
        <v>Desk</v>
      </c>
      <c r="E1146" t="str">
        <f>PROPER(Table1[[#This Row],[Column1]])</f>
        <v>Desk</v>
      </c>
      <c r="F1146" s="8" t="str">
        <f t="shared" si="85"/>
        <v>Furniture</v>
      </c>
      <c r="G1146" s="5">
        <v>13</v>
      </c>
      <c r="H1146">
        <v>492.66</v>
      </c>
      <c r="I1146" t="s">
        <v>57</v>
      </c>
      <c r="J1146" t="s">
        <v>65</v>
      </c>
      <c r="K1146" s="7">
        <v>0.1</v>
      </c>
      <c r="L1146" t="s">
        <v>27</v>
      </c>
      <c r="M1146" s="5">
        <v>5764.1220000000003</v>
      </c>
      <c r="N1146" t="s">
        <v>66</v>
      </c>
      <c r="O1146" t="s">
        <v>60</v>
      </c>
      <c r="P1146" s="5">
        <v>0</v>
      </c>
      <c r="Q1146" t="s">
        <v>2288</v>
      </c>
      <c r="R1146" t="s">
        <v>2289</v>
      </c>
      <c r="S1146" s="5">
        <v>46.21</v>
      </c>
      <c r="T1146" s="3">
        <v>45697</v>
      </c>
      <c r="U1146" s="3">
        <v>45702</v>
      </c>
      <c r="V1146" t="s">
        <v>74</v>
      </c>
      <c r="W1146">
        <f t="shared" si="87"/>
        <v>5187.7098000000005</v>
      </c>
      <c r="X1146">
        <f t="shared" si="88"/>
        <v>6404.58</v>
      </c>
      <c r="Y1146">
        <f t="shared" si="89"/>
        <v>1216.8701999999994</v>
      </c>
      <c r="Z1146" s="8" t="str">
        <f t="shared" si="86"/>
        <v>Medium</v>
      </c>
      <c r="AA1146" s="12">
        <f>DATE(YEAR(Table1[[#This Row],[OrderDate]]),MONTH(Table1[[#This Row],[OrderDate]]),1)</f>
        <v>45689</v>
      </c>
    </row>
    <row r="1147" spans="1:27" x14ac:dyDescent="0.3">
      <c r="A1147" s="3">
        <v>44943</v>
      </c>
      <c r="B1147" t="s">
        <v>13</v>
      </c>
      <c r="C1147" t="s">
        <v>29</v>
      </c>
      <c r="D1147" t="str">
        <f>TRIM(Table1[[#This Row],[Product]])</f>
        <v>Chair</v>
      </c>
      <c r="E1147" t="str">
        <f>PROPER(Table1[[#This Row],[Column1]])</f>
        <v>Chair</v>
      </c>
      <c r="F1147" s="8" t="str">
        <f t="shared" si="85"/>
        <v>Furniture</v>
      </c>
      <c r="G1147" s="5">
        <v>3</v>
      </c>
      <c r="H1147">
        <v>348.38</v>
      </c>
      <c r="I1147" t="s">
        <v>57</v>
      </c>
      <c r="J1147" t="s">
        <v>58</v>
      </c>
      <c r="K1147" s="7">
        <v>0</v>
      </c>
      <c r="L1147" t="s">
        <v>21</v>
      </c>
      <c r="M1147" s="5">
        <v>1045.1400000000001</v>
      </c>
      <c r="N1147" t="s">
        <v>66</v>
      </c>
      <c r="O1147" t="s">
        <v>60</v>
      </c>
      <c r="P1147" s="5">
        <v>0</v>
      </c>
      <c r="Q1147" t="s">
        <v>2290</v>
      </c>
      <c r="R1147" t="s">
        <v>2291</v>
      </c>
      <c r="S1147" s="5">
        <v>26.25</v>
      </c>
      <c r="T1147" s="3">
        <v>44943</v>
      </c>
      <c r="U1147" s="3">
        <v>44949</v>
      </c>
      <c r="V1147" t="s">
        <v>70</v>
      </c>
      <c r="W1147">
        <f t="shared" si="87"/>
        <v>1045.1400000000001</v>
      </c>
      <c r="X1147">
        <f t="shared" si="88"/>
        <v>1045.1399999999999</v>
      </c>
      <c r="Y1147">
        <f t="shared" si="89"/>
        <v>0</v>
      </c>
      <c r="Z1147" s="8" t="str">
        <f t="shared" si="86"/>
        <v>No Discount</v>
      </c>
      <c r="AA1147" s="12">
        <f>DATE(YEAR(Table1[[#This Row],[OrderDate]]),MONTH(Table1[[#This Row],[OrderDate]]),1)</f>
        <v>44927</v>
      </c>
    </row>
    <row r="1148" spans="1:27" x14ac:dyDescent="0.3">
      <c r="A1148" s="3">
        <v>45186</v>
      </c>
      <c r="B1148" t="s">
        <v>11</v>
      </c>
      <c r="C1148" t="s">
        <v>33</v>
      </c>
      <c r="D1148" t="str">
        <f>TRIM(Table1[[#This Row],[Product]])</f>
        <v>Phone</v>
      </c>
      <c r="E1148" t="str">
        <f>PROPER(Table1[[#This Row],[Column1]])</f>
        <v>Phone</v>
      </c>
      <c r="F1148" s="8" t="str">
        <f t="shared" si="85"/>
        <v>Technology</v>
      </c>
      <c r="G1148" s="5">
        <v>6</v>
      </c>
      <c r="H1148">
        <v>437.59</v>
      </c>
      <c r="I1148" t="s">
        <v>81</v>
      </c>
      <c r="J1148" t="s">
        <v>58</v>
      </c>
      <c r="K1148" s="7">
        <v>0.05</v>
      </c>
      <c r="L1148" t="s">
        <v>23</v>
      </c>
      <c r="M1148" s="5">
        <v>2494.2629999999999</v>
      </c>
      <c r="N1148" t="s">
        <v>66</v>
      </c>
      <c r="O1148" t="s">
        <v>71</v>
      </c>
      <c r="P1148" s="5">
        <v>1</v>
      </c>
      <c r="Q1148" t="s">
        <v>2292</v>
      </c>
      <c r="R1148" t="s">
        <v>2293</v>
      </c>
      <c r="S1148" s="5">
        <v>39.4</v>
      </c>
      <c r="T1148" s="3">
        <v>45186</v>
      </c>
      <c r="U1148" s="3">
        <v>45195</v>
      </c>
      <c r="V1148" t="s">
        <v>74</v>
      </c>
      <c r="W1148">
        <f t="shared" si="87"/>
        <v>2369.5498499999999</v>
      </c>
      <c r="X1148">
        <f t="shared" si="88"/>
        <v>2625.54</v>
      </c>
      <c r="Y1148">
        <f t="shared" si="89"/>
        <v>255.99015000000009</v>
      </c>
      <c r="Z1148" s="8" t="str">
        <f t="shared" si="86"/>
        <v>Medium</v>
      </c>
      <c r="AA1148" s="12">
        <f>DATE(YEAR(Table1[[#This Row],[OrderDate]]),MONTH(Table1[[#This Row],[OrderDate]]),1)</f>
        <v>45170</v>
      </c>
    </row>
    <row r="1149" spans="1:27" x14ac:dyDescent="0.3">
      <c r="A1149" s="3">
        <v>45703</v>
      </c>
      <c r="B1149" t="s">
        <v>11</v>
      </c>
      <c r="C1149" t="s">
        <v>34</v>
      </c>
      <c r="D1149" t="str">
        <f>TRIM(Table1[[#This Row],[Product]])</f>
        <v>Printer</v>
      </c>
      <c r="E1149" t="str">
        <f>PROPER(Table1[[#This Row],[Column1]])</f>
        <v>Printer</v>
      </c>
      <c r="F1149" s="8" t="str">
        <f t="shared" si="85"/>
        <v>Office Supplies</v>
      </c>
      <c r="G1149" s="5">
        <v>19</v>
      </c>
      <c r="H1149">
        <v>118.09</v>
      </c>
      <c r="I1149" t="s">
        <v>81</v>
      </c>
      <c r="J1149" t="s">
        <v>58</v>
      </c>
      <c r="K1149" s="7">
        <v>0.1</v>
      </c>
      <c r="L1149" t="s">
        <v>18</v>
      </c>
      <c r="M1149" s="5">
        <v>2019.3389999999999</v>
      </c>
      <c r="N1149" t="s">
        <v>59</v>
      </c>
      <c r="O1149" t="s">
        <v>67</v>
      </c>
      <c r="P1149" s="5">
        <v>0</v>
      </c>
      <c r="Q1149" t="s">
        <v>2294</v>
      </c>
      <c r="R1149" t="s">
        <v>2295</v>
      </c>
      <c r="S1149" s="5">
        <v>10.77</v>
      </c>
      <c r="T1149" s="3">
        <v>45703</v>
      </c>
      <c r="U1149" s="3">
        <v>45711</v>
      </c>
      <c r="V1149" t="s">
        <v>74</v>
      </c>
      <c r="W1149">
        <f t="shared" si="87"/>
        <v>1817.4050999999999</v>
      </c>
      <c r="X1149">
        <f t="shared" si="88"/>
        <v>2243.71</v>
      </c>
      <c r="Y1149">
        <f t="shared" si="89"/>
        <v>426.30490000000009</v>
      </c>
      <c r="Z1149" s="8" t="str">
        <f t="shared" si="86"/>
        <v>Medium</v>
      </c>
      <c r="AA1149" s="12">
        <f>DATE(YEAR(Table1[[#This Row],[OrderDate]]),MONTH(Table1[[#This Row],[OrderDate]]),1)</f>
        <v>45689</v>
      </c>
    </row>
    <row r="1150" spans="1:27" x14ac:dyDescent="0.3">
      <c r="A1150" s="3">
        <v>45206</v>
      </c>
      <c r="B1150" t="s">
        <v>16</v>
      </c>
      <c r="C1150" t="s">
        <v>35</v>
      </c>
      <c r="D1150" t="str">
        <f>TRIM(Table1[[#This Row],[Product]])</f>
        <v>Tablet</v>
      </c>
      <c r="E1150" t="str">
        <f>PROPER(Table1[[#This Row],[Column1]])</f>
        <v>Tablet</v>
      </c>
      <c r="F1150" s="8" t="str">
        <f t="shared" si="85"/>
        <v>Technology</v>
      </c>
      <c r="G1150" s="5">
        <v>15</v>
      </c>
      <c r="H1150">
        <v>188.57</v>
      </c>
      <c r="I1150" t="s">
        <v>78</v>
      </c>
      <c r="J1150" t="s">
        <v>58</v>
      </c>
      <c r="K1150" s="7">
        <v>0.05</v>
      </c>
      <c r="L1150" t="s">
        <v>19</v>
      </c>
      <c r="M1150" s="5">
        <v>2687.122499999999</v>
      </c>
      <c r="N1150" t="s">
        <v>82</v>
      </c>
      <c r="O1150" t="s">
        <v>60</v>
      </c>
      <c r="P1150" s="5">
        <v>1</v>
      </c>
      <c r="Q1150" t="s">
        <v>2296</v>
      </c>
      <c r="R1150" t="s">
        <v>2297</v>
      </c>
      <c r="S1150" s="5">
        <v>38.61</v>
      </c>
      <c r="T1150" s="3">
        <v>45206</v>
      </c>
      <c r="U1150" s="3">
        <v>45208</v>
      </c>
      <c r="V1150" t="s">
        <v>95</v>
      </c>
      <c r="W1150">
        <f t="shared" si="87"/>
        <v>2552.7663749999988</v>
      </c>
      <c r="X1150">
        <f t="shared" si="88"/>
        <v>2828.5499999999997</v>
      </c>
      <c r="Y1150">
        <f t="shared" si="89"/>
        <v>275.78362500000094</v>
      </c>
      <c r="Z1150" s="8" t="str">
        <f t="shared" si="86"/>
        <v>Medium</v>
      </c>
      <c r="AA1150" s="12">
        <f>DATE(YEAR(Table1[[#This Row],[OrderDate]]),MONTH(Table1[[#This Row],[OrderDate]]),1)</f>
        <v>45200</v>
      </c>
    </row>
    <row r="1151" spans="1:27" x14ac:dyDescent="0.3">
      <c r="A1151" s="3">
        <v>45146</v>
      </c>
      <c r="B1151" t="s">
        <v>16</v>
      </c>
      <c r="C1151" t="s">
        <v>33</v>
      </c>
      <c r="D1151" t="str">
        <f>TRIM(Table1[[#This Row],[Product]])</f>
        <v>Phone</v>
      </c>
      <c r="E1151" t="str">
        <f>PROPER(Table1[[#This Row],[Column1]])</f>
        <v>Phone</v>
      </c>
      <c r="F1151" s="8" t="str">
        <f t="shared" si="85"/>
        <v>Technology</v>
      </c>
      <c r="G1151" s="5">
        <v>8</v>
      </c>
      <c r="H1151">
        <v>200.74</v>
      </c>
      <c r="I1151" t="s">
        <v>64</v>
      </c>
      <c r="J1151" t="s">
        <v>58</v>
      </c>
      <c r="K1151" s="7">
        <v>0</v>
      </c>
      <c r="L1151" t="s">
        <v>23</v>
      </c>
      <c r="M1151" s="5">
        <v>1605.92</v>
      </c>
      <c r="N1151" t="s">
        <v>66</v>
      </c>
      <c r="O1151" t="s">
        <v>67</v>
      </c>
      <c r="P1151" s="5">
        <v>1</v>
      </c>
      <c r="Q1151" t="s">
        <v>2298</v>
      </c>
      <c r="R1151" t="s">
        <v>2299</v>
      </c>
      <c r="S1151" s="5">
        <v>30.7</v>
      </c>
      <c r="T1151" s="3">
        <v>45146</v>
      </c>
      <c r="U1151" s="3">
        <v>45148</v>
      </c>
      <c r="V1151" t="s">
        <v>95</v>
      </c>
      <c r="W1151">
        <f t="shared" si="87"/>
        <v>1605.92</v>
      </c>
      <c r="X1151">
        <f t="shared" si="88"/>
        <v>1605.92</v>
      </c>
      <c r="Y1151">
        <f t="shared" si="89"/>
        <v>0</v>
      </c>
      <c r="Z1151" s="8" t="str">
        <f t="shared" si="86"/>
        <v>No Discount</v>
      </c>
      <c r="AA1151" s="12">
        <f>DATE(YEAR(Table1[[#This Row],[OrderDate]]),MONTH(Table1[[#This Row],[OrderDate]]),1)</f>
        <v>45139</v>
      </c>
    </row>
    <row r="1152" spans="1:27" x14ac:dyDescent="0.3">
      <c r="A1152" s="3">
        <v>45159</v>
      </c>
      <c r="B1152" t="s">
        <v>9</v>
      </c>
      <c r="C1152" t="s">
        <v>31</v>
      </c>
      <c r="D1152" t="str">
        <f>TRIM(Table1[[#This Row],[Product]])</f>
        <v>Laptop</v>
      </c>
      <c r="E1152" t="str">
        <f>PROPER(Table1[[#This Row],[Column1]])</f>
        <v>Laptop</v>
      </c>
      <c r="F1152" s="8" t="str">
        <f t="shared" si="85"/>
        <v>Technology</v>
      </c>
      <c r="G1152" s="5">
        <v>3</v>
      </c>
      <c r="H1152">
        <v>142.09</v>
      </c>
      <c r="I1152" t="s">
        <v>78</v>
      </c>
      <c r="J1152" t="s">
        <v>58</v>
      </c>
      <c r="K1152" s="7">
        <v>0.15</v>
      </c>
      <c r="L1152" t="s">
        <v>27</v>
      </c>
      <c r="M1152" s="5">
        <v>362.3295</v>
      </c>
      <c r="N1152" t="s">
        <v>66</v>
      </c>
      <c r="O1152" t="s">
        <v>71</v>
      </c>
      <c r="P1152" s="5">
        <v>0</v>
      </c>
      <c r="Q1152" t="s">
        <v>2300</v>
      </c>
      <c r="R1152" t="s">
        <v>822</v>
      </c>
      <c r="S1152" s="5">
        <v>26.04</v>
      </c>
      <c r="T1152" s="3">
        <v>45159</v>
      </c>
      <c r="U1152" s="3">
        <v>45165</v>
      </c>
      <c r="V1152" t="s">
        <v>63</v>
      </c>
      <c r="W1152">
        <f t="shared" si="87"/>
        <v>307.980075</v>
      </c>
      <c r="X1152">
        <f t="shared" si="88"/>
        <v>426.27</v>
      </c>
      <c r="Y1152">
        <f t="shared" si="89"/>
        <v>118.28992499999998</v>
      </c>
      <c r="Z1152" s="8" t="str">
        <f t="shared" si="86"/>
        <v>High</v>
      </c>
      <c r="AA1152" s="12">
        <f>DATE(YEAR(Table1[[#This Row],[OrderDate]]),MONTH(Table1[[#This Row],[OrderDate]]),1)</f>
        <v>45139</v>
      </c>
    </row>
    <row r="1153" spans="1:27" x14ac:dyDescent="0.3">
      <c r="A1153" s="3">
        <v>45480</v>
      </c>
      <c r="B1153" t="s">
        <v>11</v>
      </c>
      <c r="C1153" t="s">
        <v>35</v>
      </c>
      <c r="D1153" t="str">
        <f>TRIM(Table1[[#This Row],[Product]])</f>
        <v>Tablet</v>
      </c>
      <c r="E1153" t="str">
        <f>PROPER(Table1[[#This Row],[Column1]])</f>
        <v>Tablet</v>
      </c>
      <c r="F1153" s="8" t="str">
        <f t="shared" si="85"/>
        <v>Technology</v>
      </c>
      <c r="G1153" s="5">
        <v>15</v>
      </c>
      <c r="H1153">
        <v>576.12</v>
      </c>
      <c r="I1153" t="s">
        <v>81</v>
      </c>
      <c r="J1153" t="s">
        <v>65</v>
      </c>
      <c r="K1153" s="7">
        <v>0.1</v>
      </c>
      <c r="L1153" t="s">
        <v>18</v>
      </c>
      <c r="M1153" s="5">
        <v>7777.62</v>
      </c>
      <c r="N1153" t="s">
        <v>59</v>
      </c>
      <c r="O1153" t="s">
        <v>71</v>
      </c>
      <c r="P1153" s="5">
        <v>0</v>
      </c>
      <c r="Q1153" t="s">
        <v>2301</v>
      </c>
      <c r="R1153" t="s">
        <v>2302</v>
      </c>
      <c r="S1153" s="5">
        <v>29.31</v>
      </c>
      <c r="T1153" s="3">
        <v>45480</v>
      </c>
      <c r="U1153" s="3">
        <v>45484</v>
      </c>
      <c r="V1153" t="s">
        <v>74</v>
      </c>
      <c r="W1153">
        <f t="shared" si="87"/>
        <v>6999.8580000000002</v>
      </c>
      <c r="X1153">
        <f t="shared" si="88"/>
        <v>8641.7999999999993</v>
      </c>
      <c r="Y1153">
        <f t="shared" si="89"/>
        <v>1641.9419999999991</v>
      </c>
      <c r="Z1153" s="8" t="str">
        <f t="shared" si="86"/>
        <v>Medium</v>
      </c>
      <c r="AA1153" s="12">
        <f>DATE(YEAR(Table1[[#This Row],[OrderDate]]),MONTH(Table1[[#This Row],[OrderDate]]),1)</f>
        <v>45474</v>
      </c>
    </row>
    <row r="1154" spans="1:27" x14ac:dyDescent="0.3">
      <c r="A1154" s="3">
        <v>45674</v>
      </c>
      <c r="B1154" t="s">
        <v>13</v>
      </c>
      <c r="C1154" t="s">
        <v>30</v>
      </c>
      <c r="D1154" t="str">
        <f>TRIM(Table1[[#This Row],[Product]])</f>
        <v>Desk</v>
      </c>
      <c r="E1154" t="str">
        <f>PROPER(Table1[[#This Row],[Column1]])</f>
        <v>Desk</v>
      </c>
      <c r="F1154" s="8" t="str">
        <f t="shared" ref="F1154:F1217" si="90">IF(OR(E1154="Chair",E1154="Desk"),"Furniture",IF(OR(E1154="Laptop",E1154="Monitor",E1154="Phone",E1154="Tablet"),"Technology",IF(E1154="Printer","Office Supplies","Other")))</f>
        <v>Furniture</v>
      </c>
      <c r="G1154" s="5">
        <v>9</v>
      </c>
      <c r="H1154">
        <v>96.97</v>
      </c>
      <c r="I1154" t="s">
        <v>81</v>
      </c>
      <c r="J1154" t="s">
        <v>65</v>
      </c>
      <c r="K1154" s="7">
        <v>0.15</v>
      </c>
      <c r="L1154" t="s">
        <v>19</v>
      </c>
      <c r="M1154" s="5">
        <v>741.82050000000004</v>
      </c>
      <c r="N1154" t="s">
        <v>82</v>
      </c>
      <c r="O1154" t="s">
        <v>71</v>
      </c>
      <c r="P1154" s="5">
        <v>1</v>
      </c>
      <c r="Q1154" t="s">
        <v>2303</v>
      </c>
      <c r="R1154" t="s">
        <v>2304</v>
      </c>
      <c r="S1154" s="5">
        <v>30.87</v>
      </c>
      <c r="T1154" s="3">
        <v>45674</v>
      </c>
      <c r="U1154" s="3">
        <v>45681</v>
      </c>
      <c r="V1154" t="s">
        <v>70</v>
      </c>
      <c r="W1154">
        <f t="shared" si="87"/>
        <v>630.54742499999998</v>
      </c>
      <c r="X1154">
        <f t="shared" si="88"/>
        <v>872.73</v>
      </c>
      <c r="Y1154">
        <f t="shared" si="89"/>
        <v>242.18257500000004</v>
      </c>
      <c r="Z1154" s="8" t="str">
        <f t="shared" ref="Z1154:Z1217" si="91">IF(K1154=0,"No Discount",IF(K1154&lt;5%,"Low",IF(K1154&lt;15%,"Medium","High")))</f>
        <v>High</v>
      </c>
      <c r="AA1154" s="12">
        <f>DATE(YEAR(Table1[[#This Row],[OrderDate]]),MONTH(Table1[[#This Row],[OrderDate]]),1)</f>
        <v>45658</v>
      </c>
    </row>
    <row r="1155" spans="1:27" x14ac:dyDescent="0.3">
      <c r="A1155" s="3">
        <v>45266</v>
      </c>
      <c r="B1155" t="s">
        <v>11</v>
      </c>
      <c r="C1155" t="s">
        <v>35</v>
      </c>
      <c r="D1155" t="str">
        <f>TRIM(Table1[[#This Row],[Product]])</f>
        <v>Tablet</v>
      </c>
      <c r="E1155" t="str">
        <f>PROPER(Table1[[#This Row],[Column1]])</f>
        <v>Tablet</v>
      </c>
      <c r="F1155" s="8" t="str">
        <f t="shared" si="90"/>
        <v>Technology</v>
      </c>
      <c r="G1155" s="5">
        <v>17</v>
      </c>
      <c r="H1155">
        <v>218.04</v>
      </c>
      <c r="I1155" t="s">
        <v>81</v>
      </c>
      <c r="J1155" t="s">
        <v>58</v>
      </c>
      <c r="K1155" s="7">
        <v>0.15</v>
      </c>
      <c r="L1155" t="s">
        <v>19</v>
      </c>
      <c r="M1155" s="5">
        <v>3150.6779999999999</v>
      </c>
      <c r="N1155" t="s">
        <v>88</v>
      </c>
      <c r="P1155" s="5">
        <v>0</v>
      </c>
      <c r="Q1155" t="s">
        <v>2305</v>
      </c>
      <c r="R1155" t="s">
        <v>2306</v>
      </c>
      <c r="S1155" s="5">
        <v>16</v>
      </c>
      <c r="T1155" s="3">
        <v>45266</v>
      </c>
      <c r="U1155" s="3">
        <v>45276</v>
      </c>
      <c r="V1155" t="s">
        <v>74</v>
      </c>
      <c r="W1155">
        <f t="shared" ref="W1155:W1218" si="92">M1155*(1-K1155)</f>
        <v>2678.0762999999997</v>
      </c>
      <c r="X1155">
        <f t="shared" ref="X1155:X1218" si="93">G1155*H1155</f>
        <v>3706.68</v>
      </c>
      <c r="Y1155">
        <f t="shared" ref="Y1155:Y1218" si="94">X1155-W1155</f>
        <v>1028.6037000000001</v>
      </c>
      <c r="Z1155" s="8" t="str">
        <f t="shared" si="91"/>
        <v>High</v>
      </c>
      <c r="AA1155" s="12">
        <f>DATE(YEAR(Table1[[#This Row],[OrderDate]]),MONTH(Table1[[#This Row],[OrderDate]]),1)</f>
        <v>45261</v>
      </c>
    </row>
    <row r="1156" spans="1:27" x14ac:dyDescent="0.3">
      <c r="A1156" s="3">
        <v>44986</v>
      </c>
      <c r="B1156" t="s">
        <v>13</v>
      </c>
      <c r="C1156" t="s">
        <v>30</v>
      </c>
      <c r="D1156" t="str">
        <f>TRIM(Table1[[#This Row],[Product]])</f>
        <v>Desk</v>
      </c>
      <c r="E1156" t="str">
        <f>PROPER(Table1[[#This Row],[Column1]])</f>
        <v>Desk</v>
      </c>
      <c r="F1156" s="8" t="str">
        <f t="shared" si="90"/>
        <v>Furniture</v>
      </c>
      <c r="G1156" s="5">
        <v>2</v>
      </c>
      <c r="H1156">
        <v>153.33000000000001</v>
      </c>
      <c r="I1156" t="s">
        <v>78</v>
      </c>
      <c r="J1156" t="s">
        <v>58</v>
      </c>
      <c r="K1156" s="7">
        <v>0.05</v>
      </c>
      <c r="L1156" t="s">
        <v>21</v>
      </c>
      <c r="M1156" s="5">
        <v>291.327</v>
      </c>
      <c r="N1156" t="s">
        <v>88</v>
      </c>
      <c r="P1156" s="5">
        <v>0</v>
      </c>
      <c r="Q1156" t="s">
        <v>2307</v>
      </c>
      <c r="R1156" t="s">
        <v>2308</v>
      </c>
      <c r="S1156" s="5">
        <v>31.55</v>
      </c>
      <c r="T1156" s="3">
        <v>44986</v>
      </c>
      <c r="U1156" s="3">
        <v>44989</v>
      </c>
      <c r="V1156" t="s">
        <v>70</v>
      </c>
      <c r="W1156">
        <f t="shared" si="92"/>
        <v>276.76065</v>
      </c>
      <c r="X1156">
        <f t="shared" si="93"/>
        <v>306.66000000000003</v>
      </c>
      <c r="Y1156">
        <f t="shared" si="94"/>
        <v>29.899350000000027</v>
      </c>
      <c r="Z1156" s="8" t="str">
        <f t="shared" si="91"/>
        <v>Medium</v>
      </c>
      <c r="AA1156" s="12">
        <f>DATE(YEAR(Table1[[#This Row],[OrderDate]]),MONTH(Table1[[#This Row],[OrderDate]]),1)</f>
        <v>44986</v>
      </c>
    </row>
    <row r="1157" spans="1:27" x14ac:dyDescent="0.3">
      <c r="A1157" s="3">
        <v>45699</v>
      </c>
      <c r="B1157" t="s">
        <v>11</v>
      </c>
      <c r="C1157" t="s">
        <v>34</v>
      </c>
      <c r="D1157" t="str">
        <f>TRIM(Table1[[#This Row],[Product]])</f>
        <v>Printer</v>
      </c>
      <c r="E1157" t="str">
        <f>PROPER(Table1[[#This Row],[Column1]])</f>
        <v>Printer</v>
      </c>
      <c r="F1157" s="8" t="str">
        <f t="shared" si="90"/>
        <v>Office Supplies</v>
      </c>
      <c r="G1157" s="5">
        <v>8</v>
      </c>
      <c r="H1157">
        <v>316.12</v>
      </c>
      <c r="I1157" t="s">
        <v>57</v>
      </c>
      <c r="J1157" t="s">
        <v>58</v>
      </c>
      <c r="K1157" s="7">
        <v>0.1</v>
      </c>
      <c r="L1157" t="s">
        <v>23</v>
      </c>
      <c r="M1157" s="5">
        <v>2276.0639999999999</v>
      </c>
      <c r="N1157" t="s">
        <v>66</v>
      </c>
      <c r="O1157" t="s">
        <v>71</v>
      </c>
      <c r="P1157" s="5">
        <v>0</v>
      </c>
      <c r="Q1157" t="s">
        <v>2309</v>
      </c>
      <c r="R1157" t="s">
        <v>2310</v>
      </c>
      <c r="S1157" s="5">
        <v>6.28</v>
      </c>
      <c r="T1157" s="3">
        <v>45699</v>
      </c>
      <c r="U1157" s="3">
        <v>45703</v>
      </c>
      <c r="V1157" t="s">
        <v>74</v>
      </c>
      <c r="W1157">
        <f t="shared" si="92"/>
        <v>2048.4575999999997</v>
      </c>
      <c r="X1157">
        <f t="shared" si="93"/>
        <v>2528.96</v>
      </c>
      <c r="Y1157">
        <f t="shared" si="94"/>
        <v>480.50240000000031</v>
      </c>
      <c r="Z1157" s="8" t="str">
        <f t="shared" si="91"/>
        <v>Medium</v>
      </c>
      <c r="AA1157" s="12">
        <f>DATE(YEAR(Table1[[#This Row],[OrderDate]]),MONTH(Table1[[#This Row],[OrderDate]]),1)</f>
        <v>45689</v>
      </c>
    </row>
    <row r="1158" spans="1:27" x14ac:dyDescent="0.3">
      <c r="A1158" s="3">
        <v>45097</v>
      </c>
      <c r="B1158" t="s">
        <v>7</v>
      </c>
      <c r="C1158" t="s">
        <v>34</v>
      </c>
      <c r="D1158" t="str">
        <f>TRIM(Table1[[#This Row],[Product]])</f>
        <v>Printer</v>
      </c>
      <c r="E1158" t="str">
        <f>PROPER(Table1[[#This Row],[Column1]])</f>
        <v>Printer</v>
      </c>
      <c r="F1158" s="8" t="str">
        <f t="shared" si="90"/>
        <v>Office Supplies</v>
      </c>
      <c r="G1158" s="5">
        <v>13</v>
      </c>
      <c r="H1158">
        <v>153.57</v>
      </c>
      <c r="I1158" t="s">
        <v>57</v>
      </c>
      <c r="J1158" t="s">
        <v>58</v>
      </c>
      <c r="K1158" s="7">
        <v>0.05</v>
      </c>
      <c r="L1158" t="s">
        <v>21</v>
      </c>
      <c r="M1158" s="5">
        <v>1896.5895</v>
      </c>
      <c r="N1158" t="s">
        <v>66</v>
      </c>
      <c r="P1158" s="5">
        <v>0</v>
      </c>
      <c r="Q1158" t="s">
        <v>2311</v>
      </c>
      <c r="R1158" t="s">
        <v>2312</v>
      </c>
      <c r="S1158" s="5">
        <v>27.98</v>
      </c>
      <c r="T1158" s="3">
        <v>45097</v>
      </c>
      <c r="U1158" s="3">
        <v>45102</v>
      </c>
      <c r="V1158" t="s">
        <v>77</v>
      </c>
      <c r="W1158">
        <f t="shared" si="92"/>
        <v>1801.760025</v>
      </c>
      <c r="X1158">
        <f t="shared" si="93"/>
        <v>1996.4099999999999</v>
      </c>
      <c r="Y1158">
        <f t="shared" si="94"/>
        <v>194.64997499999981</v>
      </c>
      <c r="Z1158" s="8" t="str">
        <f t="shared" si="91"/>
        <v>Medium</v>
      </c>
      <c r="AA1158" s="12">
        <f>DATE(YEAR(Table1[[#This Row],[OrderDate]]),MONTH(Table1[[#This Row],[OrderDate]]),1)</f>
        <v>45078</v>
      </c>
    </row>
    <row r="1159" spans="1:27" x14ac:dyDescent="0.3">
      <c r="A1159" s="3">
        <v>45351</v>
      </c>
      <c r="B1159" t="s">
        <v>16</v>
      </c>
      <c r="C1159" t="s">
        <v>34</v>
      </c>
      <c r="D1159" t="str">
        <f>TRIM(Table1[[#This Row],[Product]])</f>
        <v>Printer</v>
      </c>
      <c r="E1159" t="str">
        <f>PROPER(Table1[[#This Row],[Column1]])</f>
        <v>Printer</v>
      </c>
      <c r="F1159" s="8" t="str">
        <f t="shared" si="90"/>
        <v>Office Supplies</v>
      </c>
      <c r="G1159" s="5">
        <v>7</v>
      </c>
      <c r="H1159">
        <v>208.31</v>
      </c>
      <c r="I1159" t="s">
        <v>78</v>
      </c>
      <c r="J1159" t="s">
        <v>58</v>
      </c>
      <c r="K1159" s="7">
        <v>0.05</v>
      </c>
      <c r="L1159" t="s">
        <v>27</v>
      </c>
      <c r="M1159" s="5">
        <v>1385.2615000000001</v>
      </c>
      <c r="N1159" t="s">
        <v>59</v>
      </c>
      <c r="O1159" t="s">
        <v>67</v>
      </c>
      <c r="P1159" s="5">
        <v>0</v>
      </c>
      <c r="Q1159" t="s">
        <v>2313</v>
      </c>
      <c r="R1159" t="s">
        <v>2314</v>
      </c>
      <c r="S1159" s="5">
        <v>26.57</v>
      </c>
      <c r="T1159" s="3">
        <v>45351</v>
      </c>
      <c r="U1159" s="3">
        <v>45354</v>
      </c>
      <c r="V1159" t="s">
        <v>95</v>
      </c>
      <c r="W1159">
        <f t="shared" si="92"/>
        <v>1315.998425</v>
      </c>
      <c r="X1159">
        <f t="shared" si="93"/>
        <v>1458.17</v>
      </c>
      <c r="Y1159">
        <f t="shared" si="94"/>
        <v>142.17157500000008</v>
      </c>
      <c r="Z1159" s="8" t="str">
        <f t="shared" si="91"/>
        <v>Medium</v>
      </c>
      <c r="AA1159" s="12">
        <f>DATE(YEAR(Table1[[#This Row],[OrderDate]]),MONTH(Table1[[#This Row],[OrderDate]]),1)</f>
        <v>45323</v>
      </c>
    </row>
    <row r="1160" spans="1:27" x14ac:dyDescent="0.3">
      <c r="A1160" s="3">
        <v>45838</v>
      </c>
      <c r="B1160" t="s">
        <v>11</v>
      </c>
      <c r="C1160" t="s">
        <v>29</v>
      </c>
      <c r="D1160" t="str">
        <f>TRIM(Table1[[#This Row],[Product]])</f>
        <v>Chair</v>
      </c>
      <c r="E1160" t="str">
        <f>PROPER(Table1[[#This Row],[Column1]])</f>
        <v>Chair</v>
      </c>
      <c r="F1160" s="8" t="str">
        <f t="shared" si="90"/>
        <v>Furniture</v>
      </c>
      <c r="G1160" s="5">
        <v>2</v>
      </c>
      <c r="H1160">
        <v>160.96</v>
      </c>
      <c r="I1160" t="s">
        <v>78</v>
      </c>
      <c r="J1160" t="s">
        <v>58</v>
      </c>
      <c r="K1160" s="7">
        <v>0.1</v>
      </c>
      <c r="L1160" t="s">
        <v>25</v>
      </c>
      <c r="M1160" s="5">
        <v>289.72800000000001</v>
      </c>
      <c r="N1160" t="s">
        <v>66</v>
      </c>
      <c r="O1160" t="s">
        <v>71</v>
      </c>
      <c r="P1160" s="5">
        <v>0</v>
      </c>
      <c r="Q1160" t="s">
        <v>2315</v>
      </c>
      <c r="R1160" t="s">
        <v>2316</v>
      </c>
      <c r="S1160" s="5">
        <v>44.97</v>
      </c>
      <c r="T1160" s="3">
        <v>45838</v>
      </c>
      <c r="U1160" s="3">
        <v>45843</v>
      </c>
      <c r="V1160" t="s">
        <v>74</v>
      </c>
      <c r="W1160">
        <f t="shared" si="92"/>
        <v>260.7552</v>
      </c>
      <c r="X1160">
        <f t="shared" si="93"/>
        <v>321.92</v>
      </c>
      <c r="Y1160">
        <f t="shared" si="94"/>
        <v>61.164800000000014</v>
      </c>
      <c r="Z1160" s="8" t="str">
        <f t="shared" si="91"/>
        <v>Medium</v>
      </c>
      <c r="AA1160" s="12">
        <f>DATE(YEAR(Table1[[#This Row],[OrderDate]]),MONTH(Table1[[#This Row],[OrderDate]]),1)</f>
        <v>45809</v>
      </c>
    </row>
    <row r="1161" spans="1:27" x14ac:dyDescent="0.3">
      <c r="A1161" s="3">
        <v>45523</v>
      </c>
      <c r="B1161" t="s">
        <v>11</v>
      </c>
      <c r="C1161" t="s">
        <v>32</v>
      </c>
      <c r="D1161" t="str">
        <f>TRIM(Table1[[#This Row],[Product]])</f>
        <v>Monitor</v>
      </c>
      <c r="E1161" t="str">
        <f>PROPER(Table1[[#This Row],[Column1]])</f>
        <v>Monitor</v>
      </c>
      <c r="F1161" s="8" t="str">
        <f t="shared" si="90"/>
        <v>Technology</v>
      </c>
      <c r="G1161" s="5">
        <v>3</v>
      </c>
      <c r="H1161">
        <v>373.77</v>
      </c>
      <c r="I1161" t="s">
        <v>57</v>
      </c>
      <c r="J1161" t="s">
        <v>65</v>
      </c>
      <c r="K1161" s="7">
        <v>0.1</v>
      </c>
      <c r="L1161" t="s">
        <v>25</v>
      </c>
      <c r="M1161" s="5">
        <v>1009.179</v>
      </c>
      <c r="N1161" t="s">
        <v>88</v>
      </c>
      <c r="O1161" t="s">
        <v>71</v>
      </c>
      <c r="P1161" s="5">
        <v>1</v>
      </c>
      <c r="Q1161" t="s">
        <v>2317</v>
      </c>
      <c r="R1161" t="s">
        <v>2318</v>
      </c>
      <c r="S1161" s="5">
        <v>17.62</v>
      </c>
      <c r="T1161" s="3">
        <v>45523</v>
      </c>
      <c r="U1161" s="3">
        <v>45529</v>
      </c>
      <c r="V1161" t="s">
        <v>74</v>
      </c>
      <c r="W1161">
        <f t="shared" si="92"/>
        <v>908.26109999999994</v>
      </c>
      <c r="X1161">
        <f t="shared" si="93"/>
        <v>1121.31</v>
      </c>
      <c r="Y1161">
        <f t="shared" si="94"/>
        <v>213.0489</v>
      </c>
      <c r="Z1161" s="8" t="str">
        <f t="shared" si="91"/>
        <v>Medium</v>
      </c>
      <c r="AA1161" s="12">
        <f>DATE(YEAR(Table1[[#This Row],[OrderDate]]),MONTH(Table1[[#This Row],[OrderDate]]),1)</f>
        <v>45505</v>
      </c>
    </row>
    <row r="1162" spans="1:27" x14ac:dyDescent="0.3">
      <c r="A1162" s="3">
        <v>45306</v>
      </c>
      <c r="B1162" t="s">
        <v>7</v>
      </c>
      <c r="C1162" t="s">
        <v>34</v>
      </c>
      <c r="D1162" t="str">
        <f>TRIM(Table1[[#This Row],[Product]])</f>
        <v>Printer</v>
      </c>
      <c r="E1162" t="str">
        <f>PROPER(Table1[[#This Row],[Column1]])</f>
        <v>Printer</v>
      </c>
      <c r="F1162" s="8" t="str">
        <f t="shared" si="90"/>
        <v>Office Supplies</v>
      </c>
      <c r="G1162" s="5">
        <v>20</v>
      </c>
      <c r="H1162">
        <v>200.7</v>
      </c>
      <c r="I1162" t="s">
        <v>81</v>
      </c>
      <c r="J1162" t="s">
        <v>65</v>
      </c>
      <c r="K1162" s="7">
        <v>0.1</v>
      </c>
      <c r="L1162" t="s">
        <v>18</v>
      </c>
      <c r="M1162" s="5">
        <v>3612.6</v>
      </c>
      <c r="N1162" t="s">
        <v>59</v>
      </c>
      <c r="O1162" t="s">
        <v>60</v>
      </c>
      <c r="P1162" s="5">
        <v>0</v>
      </c>
      <c r="Q1162" t="s">
        <v>2319</v>
      </c>
      <c r="R1162" t="s">
        <v>2320</v>
      </c>
      <c r="S1162" s="5">
        <v>29.6</v>
      </c>
      <c r="T1162" s="3">
        <v>45306</v>
      </c>
      <c r="U1162" s="3">
        <v>45310</v>
      </c>
      <c r="V1162" t="s">
        <v>77</v>
      </c>
      <c r="W1162">
        <f t="shared" si="92"/>
        <v>3251.34</v>
      </c>
      <c r="X1162">
        <f t="shared" si="93"/>
        <v>4014</v>
      </c>
      <c r="Y1162">
        <f t="shared" si="94"/>
        <v>762.65999999999985</v>
      </c>
      <c r="Z1162" s="8" t="str">
        <f t="shared" si="91"/>
        <v>Medium</v>
      </c>
      <c r="AA1162" s="12">
        <f>DATE(YEAR(Table1[[#This Row],[OrderDate]]),MONTH(Table1[[#This Row],[OrderDate]]),1)</f>
        <v>45292</v>
      </c>
    </row>
    <row r="1163" spans="1:27" x14ac:dyDescent="0.3">
      <c r="A1163" s="3">
        <v>45512</v>
      </c>
      <c r="B1163" t="s">
        <v>7</v>
      </c>
      <c r="C1163" t="s">
        <v>30</v>
      </c>
      <c r="D1163" t="str">
        <f>TRIM(Table1[[#This Row],[Product]])</f>
        <v>Desk</v>
      </c>
      <c r="E1163" t="str">
        <f>PROPER(Table1[[#This Row],[Column1]])</f>
        <v>Desk</v>
      </c>
      <c r="F1163" s="8" t="str">
        <f t="shared" si="90"/>
        <v>Furniture</v>
      </c>
      <c r="G1163" s="5">
        <v>14</v>
      </c>
      <c r="H1163">
        <v>115.77</v>
      </c>
      <c r="I1163" t="s">
        <v>57</v>
      </c>
      <c r="J1163" t="s">
        <v>58</v>
      </c>
      <c r="K1163" s="7">
        <v>0.15</v>
      </c>
      <c r="L1163" t="s">
        <v>27</v>
      </c>
      <c r="M1163" s="5">
        <v>1377.663</v>
      </c>
      <c r="N1163" t="s">
        <v>82</v>
      </c>
      <c r="O1163" t="s">
        <v>67</v>
      </c>
      <c r="P1163" s="5">
        <v>1</v>
      </c>
      <c r="Q1163" t="s">
        <v>2321</v>
      </c>
      <c r="R1163" t="s">
        <v>2322</v>
      </c>
      <c r="S1163" s="5">
        <v>20.12</v>
      </c>
      <c r="T1163" s="3">
        <v>45512</v>
      </c>
      <c r="U1163" s="3">
        <v>45515</v>
      </c>
      <c r="V1163" t="s">
        <v>77</v>
      </c>
      <c r="W1163">
        <f t="shared" si="92"/>
        <v>1171.0135499999999</v>
      </c>
      <c r="X1163">
        <f t="shared" si="93"/>
        <v>1620.78</v>
      </c>
      <c r="Y1163">
        <f t="shared" si="94"/>
        <v>449.76645000000008</v>
      </c>
      <c r="Z1163" s="8" t="str">
        <f t="shared" si="91"/>
        <v>High</v>
      </c>
      <c r="AA1163" s="12">
        <f>DATE(YEAR(Table1[[#This Row],[OrderDate]]),MONTH(Table1[[#This Row],[OrderDate]]),1)</f>
        <v>45505</v>
      </c>
    </row>
    <row r="1164" spans="1:27" x14ac:dyDescent="0.3">
      <c r="A1164" s="3">
        <v>45570</v>
      </c>
      <c r="B1164" t="s">
        <v>16</v>
      </c>
      <c r="C1164" t="s">
        <v>33</v>
      </c>
      <c r="D1164" t="str">
        <f>TRIM(Table1[[#This Row],[Product]])</f>
        <v>Phone</v>
      </c>
      <c r="E1164" t="str">
        <f>PROPER(Table1[[#This Row],[Column1]])</f>
        <v>Phone</v>
      </c>
      <c r="F1164" s="8" t="str">
        <f t="shared" si="90"/>
        <v>Technology</v>
      </c>
      <c r="G1164" s="5">
        <v>12</v>
      </c>
      <c r="H1164">
        <v>535.41</v>
      </c>
      <c r="I1164" t="s">
        <v>78</v>
      </c>
      <c r="J1164" t="s">
        <v>65</v>
      </c>
      <c r="K1164" s="7">
        <v>0.1</v>
      </c>
      <c r="L1164" t="s">
        <v>27</v>
      </c>
      <c r="M1164" s="5">
        <v>5782.4279999999999</v>
      </c>
      <c r="N1164" t="s">
        <v>66</v>
      </c>
      <c r="P1164" s="5">
        <v>0</v>
      </c>
      <c r="Q1164" t="s">
        <v>2323</v>
      </c>
      <c r="R1164" t="s">
        <v>2324</v>
      </c>
      <c r="S1164" s="5">
        <v>27.82</v>
      </c>
      <c r="T1164" s="3">
        <v>45570</v>
      </c>
      <c r="U1164" s="3">
        <v>45572</v>
      </c>
      <c r="V1164" t="s">
        <v>95</v>
      </c>
      <c r="W1164">
        <f t="shared" si="92"/>
        <v>5204.1851999999999</v>
      </c>
      <c r="X1164">
        <f t="shared" si="93"/>
        <v>6424.92</v>
      </c>
      <c r="Y1164">
        <f t="shared" si="94"/>
        <v>1220.7348000000002</v>
      </c>
      <c r="Z1164" s="8" t="str">
        <f t="shared" si="91"/>
        <v>Medium</v>
      </c>
      <c r="AA1164" s="12">
        <f>DATE(YEAR(Table1[[#This Row],[OrderDate]]),MONTH(Table1[[#This Row],[OrderDate]]),1)</f>
        <v>45566</v>
      </c>
    </row>
    <row r="1165" spans="1:27" x14ac:dyDescent="0.3">
      <c r="A1165" s="3">
        <v>45304</v>
      </c>
      <c r="B1165" t="s">
        <v>13</v>
      </c>
      <c r="C1165" t="s">
        <v>30</v>
      </c>
      <c r="D1165" t="str">
        <f>TRIM(Table1[[#This Row],[Product]])</f>
        <v>Desk</v>
      </c>
      <c r="E1165" t="str">
        <f>PROPER(Table1[[#This Row],[Column1]])</f>
        <v>Desk</v>
      </c>
      <c r="F1165" s="8" t="str">
        <f t="shared" si="90"/>
        <v>Furniture</v>
      </c>
      <c r="G1165" s="5">
        <v>12</v>
      </c>
      <c r="H1165">
        <v>103.59</v>
      </c>
      <c r="I1165" t="s">
        <v>64</v>
      </c>
      <c r="J1165" t="s">
        <v>65</v>
      </c>
      <c r="K1165" s="7">
        <v>0.1</v>
      </c>
      <c r="L1165" t="s">
        <v>27</v>
      </c>
      <c r="M1165" s="5">
        <v>1118.7719999999999</v>
      </c>
      <c r="N1165" t="s">
        <v>85</v>
      </c>
      <c r="O1165" t="s">
        <v>60</v>
      </c>
      <c r="P1165" s="5">
        <v>0</v>
      </c>
      <c r="Q1165" t="s">
        <v>2325</v>
      </c>
      <c r="R1165" t="s">
        <v>2326</v>
      </c>
      <c r="S1165" s="5">
        <v>48.11</v>
      </c>
      <c r="T1165" s="3">
        <v>45304</v>
      </c>
      <c r="U1165" s="3">
        <v>45312</v>
      </c>
      <c r="V1165" t="s">
        <v>70</v>
      </c>
      <c r="W1165">
        <f t="shared" si="92"/>
        <v>1006.8947999999999</v>
      </c>
      <c r="X1165">
        <f t="shared" si="93"/>
        <v>1243.08</v>
      </c>
      <c r="Y1165">
        <f t="shared" si="94"/>
        <v>236.18520000000001</v>
      </c>
      <c r="Z1165" s="8" t="str">
        <f t="shared" si="91"/>
        <v>Medium</v>
      </c>
      <c r="AA1165" s="12">
        <f>DATE(YEAR(Table1[[#This Row],[OrderDate]]),MONTH(Table1[[#This Row],[OrderDate]]),1)</f>
        <v>45292</v>
      </c>
    </row>
    <row r="1166" spans="1:27" x14ac:dyDescent="0.3">
      <c r="A1166" s="3">
        <v>45014</v>
      </c>
      <c r="B1166" t="s">
        <v>16</v>
      </c>
      <c r="C1166" t="s">
        <v>31</v>
      </c>
      <c r="D1166" t="str">
        <f>TRIM(Table1[[#This Row],[Product]])</f>
        <v>Laptop</v>
      </c>
      <c r="E1166" t="str">
        <f>PROPER(Table1[[#This Row],[Column1]])</f>
        <v>Laptop</v>
      </c>
      <c r="F1166" s="8" t="str">
        <f t="shared" si="90"/>
        <v>Technology</v>
      </c>
      <c r="G1166" s="5">
        <v>18</v>
      </c>
      <c r="H1166">
        <v>176.32</v>
      </c>
      <c r="I1166" t="s">
        <v>57</v>
      </c>
      <c r="J1166" t="s">
        <v>58</v>
      </c>
      <c r="K1166" s="7">
        <v>0.05</v>
      </c>
      <c r="L1166" t="s">
        <v>23</v>
      </c>
      <c r="M1166" s="5">
        <v>3015.0720000000001</v>
      </c>
      <c r="N1166" t="s">
        <v>85</v>
      </c>
      <c r="P1166" s="5">
        <v>0</v>
      </c>
      <c r="Q1166" t="s">
        <v>2327</v>
      </c>
      <c r="R1166" t="s">
        <v>2328</v>
      </c>
      <c r="S1166" s="5">
        <v>36.35</v>
      </c>
      <c r="T1166" s="3">
        <v>45014</v>
      </c>
      <c r="U1166" s="3">
        <v>45020</v>
      </c>
      <c r="V1166" t="s">
        <v>95</v>
      </c>
      <c r="W1166">
        <f t="shared" si="92"/>
        <v>2864.3184000000001</v>
      </c>
      <c r="X1166">
        <f t="shared" si="93"/>
        <v>3173.7599999999998</v>
      </c>
      <c r="Y1166">
        <f t="shared" si="94"/>
        <v>309.44159999999965</v>
      </c>
      <c r="Z1166" s="8" t="str">
        <f t="shared" si="91"/>
        <v>Medium</v>
      </c>
      <c r="AA1166" s="12">
        <f>DATE(YEAR(Table1[[#This Row],[OrderDate]]),MONTH(Table1[[#This Row],[OrderDate]]),1)</f>
        <v>44986</v>
      </c>
    </row>
    <row r="1167" spans="1:27" x14ac:dyDescent="0.3">
      <c r="A1167" s="3">
        <v>45218</v>
      </c>
      <c r="B1167" t="s">
        <v>11</v>
      </c>
      <c r="C1167" t="s">
        <v>34</v>
      </c>
      <c r="D1167" t="str">
        <f>TRIM(Table1[[#This Row],[Product]])</f>
        <v>Printer</v>
      </c>
      <c r="E1167" t="str">
        <f>PROPER(Table1[[#This Row],[Column1]])</f>
        <v>Printer</v>
      </c>
      <c r="F1167" s="8" t="str">
        <f t="shared" si="90"/>
        <v>Office Supplies</v>
      </c>
      <c r="G1167" s="5">
        <v>5</v>
      </c>
      <c r="H1167">
        <v>112.44</v>
      </c>
      <c r="I1167" t="s">
        <v>81</v>
      </c>
      <c r="J1167" t="s">
        <v>65</v>
      </c>
      <c r="K1167" s="7">
        <v>0.1</v>
      </c>
      <c r="L1167" t="s">
        <v>19</v>
      </c>
      <c r="M1167" s="5">
        <v>505.98000000000008</v>
      </c>
      <c r="N1167" t="s">
        <v>82</v>
      </c>
      <c r="P1167" s="5">
        <v>1</v>
      </c>
      <c r="Q1167" t="s">
        <v>2329</v>
      </c>
      <c r="R1167" t="s">
        <v>382</v>
      </c>
      <c r="S1167" s="5">
        <v>7.46</v>
      </c>
      <c r="T1167" s="3">
        <v>45218</v>
      </c>
      <c r="U1167" s="3">
        <v>45222</v>
      </c>
      <c r="V1167" t="s">
        <v>74</v>
      </c>
      <c r="W1167">
        <f t="shared" si="92"/>
        <v>455.38200000000006</v>
      </c>
      <c r="X1167">
        <f t="shared" si="93"/>
        <v>562.20000000000005</v>
      </c>
      <c r="Y1167">
        <f t="shared" si="94"/>
        <v>106.81799999999998</v>
      </c>
      <c r="Z1167" s="8" t="str">
        <f t="shared" si="91"/>
        <v>Medium</v>
      </c>
      <c r="AA1167" s="12">
        <f>DATE(YEAR(Table1[[#This Row],[OrderDate]]),MONTH(Table1[[#This Row],[OrderDate]]),1)</f>
        <v>45200</v>
      </c>
    </row>
    <row r="1168" spans="1:27" x14ac:dyDescent="0.3">
      <c r="A1168" s="3">
        <v>45222</v>
      </c>
      <c r="B1168" t="s">
        <v>16</v>
      </c>
      <c r="C1168" t="s">
        <v>29</v>
      </c>
      <c r="D1168" t="str">
        <f>TRIM(Table1[[#This Row],[Product]])</f>
        <v>Chair</v>
      </c>
      <c r="E1168" t="str">
        <f>PROPER(Table1[[#This Row],[Column1]])</f>
        <v>Chair</v>
      </c>
      <c r="F1168" s="8" t="str">
        <f t="shared" si="90"/>
        <v>Furniture</v>
      </c>
      <c r="G1168" s="5">
        <v>20</v>
      </c>
      <c r="H1168">
        <v>19.3</v>
      </c>
      <c r="I1168" t="s">
        <v>78</v>
      </c>
      <c r="J1168" t="s">
        <v>58</v>
      </c>
      <c r="K1168" s="7">
        <v>0</v>
      </c>
      <c r="L1168" t="s">
        <v>19</v>
      </c>
      <c r="M1168" s="5">
        <v>386</v>
      </c>
      <c r="N1168" t="s">
        <v>85</v>
      </c>
      <c r="O1168" t="s">
        <v>67</v>
      </c>
      <c r="P1168" s="5">
        <v>0</v>
      </c>
      <c r="Q1168" t="s">
        <v>2330</v>
      </c>
      <c r="R1168" t="s">
        <v>2331</v>
      </c>
      <c r="S1168" s="5">
        <v>47.23</v>
      </c>
      <c r="T1168" s="3">
        <v>45222</v>
      </c>
      <c r="U1168" s="3">
        <v>45231</v>
      </c>
      <c r="V1168" t="s">
        <v>95</v>
      </c>
      <c r="W1168">
        <f t="shared" si="92"/>
        <v>386</v>
      </c>
      <c r="X1168">
        <f t="shared" si="93"/>
        <v>386</v>
      </c>
      <c r="Y1168">
        <f t="shared" si="94"/>
        <v>0</v>
      </c>
      <c r="Z1168" s="8" t="str">
        <f t="shared" si="91"/>
        <v>No Discount</v>
      </c>
      <c r="AA1168" s="12">
        <f>DATE(YEAR(Table1[[#This Row],[OrderDate]]),MONTH(Table1[[#This Row],[OrderDate]]),1)</f>
        <v>45200</v>
      </c>
    </row>
    <row r="1169" spans="1:27" x14ac:dyDescent="0.3">
      <c r="A1169" s="3">
        <v>45009</v>
      </c>
      <c r="B1169" t="s">
        <v>13</v>
      </c>
      <c r="C1169" t="s">
        <v>33</v>
      </c>
      <c r="D1169" t="str">
        <f>TRIM(Table1[[#This Row],[Product]])</f>
        <v>Phone</v>
      </c>
      <c r="E1169" t="str">
        <f>PROPER(Table1[[#This Row],[Column1]])</f>
        <v>Phone</v>
      </c>
      <c r="F1169" s="8" t="str">
        <f t="shared" si="90"/>
        <v>Technology</v>
      </c>
      <c r="G1169" s="5">
        <v>9</v>
      </c>
      <c r="H1169">
        <v>233.11</v>
      </c>
      <c r="I1169" t="s">
        <v>57</v>
      </c>
      <c r="J1169" t="s">
        <v>65</v>
      </c>
      <c r="K1169" s="7">
        <v>0.05</v>
      </c>
      <c r="L1169" t="s">
        <v>25</v>
      </c>
      <c r="M1169" s="5">
        <v>1993.0905</v>
      </c>
      <c r="N1169" t="s">
        <v>85</v>
      </c>
      <c r="O1169" t="s">
        <v>71</v>
      </c>
      <c r="P1169" s="5">
        <v>0</v>
      </c>
      <c r="Q1169" t="s">
        <v>2332</v>
      </c>
      <c r="R1169" t="s">
        <v>2333</v>
      </c>
      <c r="S1169" s="5">
        <v>31.43</v>
      </c>
      <c r="T1169" s="3">
        <v>45009</v>
      </c>
      <c r="U1169" s="3">
        <v>45013</v>
      </c>
      <c r="V1169" t="s">
        <v>70</v>
      </c>
      <c r="W1169">
        <f t="shared" si="92"/>
        <v>1893.4359749999999</v>
      </c>
      <c r="X1169">
        <f t="shared" si="93"/>
        <v>2097.9900000000002</v>
      </c>
      <c r="Y1169">
        <f t="shared" si="94"/>
        <v>204.55402500000037</v>
      </c>
      <c r="Z1169" s="8" t="str">
        <f t="shared" si="91"/>
        <v>Medium</v>
      </c>
      <c r="AA1169" s="12">
        <f>DATE(YEAR(Table1[[#This Row],[OrderDate]]),MONTH(Table1[[#This Row],[OrderDate]]),1)</f>
        <v>44986</v>
      </c>
    </row>
    <row r="1170" spans="1:27" x14ac:dyDescent="0.3">
      <c r="A1170" s="3">
        <v>45513</v>
      </c>
      <c r="B1170" t="s">
        <v>16</v>
      </c>
      <c r="C1170" t="s">
        <v>34</v>
      </c>
      <c r="D1170" t="str">
        <f>TRIM(Table1[[#This Row],[Product]])</f>
        <v>Printer</v>
      </c>
      <c r="E1170" t="str">
        <f>PROPER(Table1[[#This Row],[Column1]])</f>
        <v>Printer</v>
      </c>
      <c r="F1170" s="8" t="str">
        <f t="shared" si="90"/>
        <v>Office Supplies</v>
      </c>
      <c r="G1170" s="5">
        <v>17</v>
      </c>
      <c r="H1170">
        <v>66.48</v>
      </c>
      <c r="I1170" t="s">
        <v>78</v>
      </c>
      <c r="J1170" t="s">
        <v>58</v>
      </c>
      <c r="K1170" s="7">
        <v>0.15</v>
      </c>
      <c r="L1170" t="s">
        <v>25</v>
      </c>
      <c r="M1170" s="5">
        <v>960.63600000000008</v>
      </c>
      <c r="N1170" t="s">
        <v>66</v>
      </c>
      <c r="O1170" t="s">
        <v>71</v>
      </c>
      <c r="P1170" s="5">
        <v>1</v>
      </c>
      <c r="Q1170" t="s">
        <v>2334</v>
      </c>
      <c r="R1170" t="s">
        <v>2335</v>
      </c>
      <c r="S1170" s="5">
        <v>10.79</v>
      </c>
      <c r="T1170" s="3">
        <v>45513</v>
      </c>
      <c r="U1170" s="3">
        <v>45518</v>
      </c>
      <c r="V1170" t="s">
        <v>95</v>
      </c>
      <c r="W1170">
        <f t="shared" si="92"/>
        <v>816.54060000000004</v>
      </c>
      <c r="X1170">
        <f t="shared" si="93"/>
        <v>1130.1600000000001</v>
      </c>
      <c r="Y1170">
        <f t="shared" si="94"/>
        <v>313.61940000000004</v>
      </c>
      <c r="Z1170" s="8" t="str">
        <f t="shared" si="91"/>
        <v>High</v>
      </c>
      <c r="AA1170" s="12">
        <f>DATE(YEAR(Table1[[#This Row],[OrderDate]]),MONTH(Table1[[#This Row],[OrderDate]]),1)</f>
        <v>45505</v>
      </c>
    </row>
    <row r="1171" spans="1:27" x14ac:dyDescent="0.3">
      <c r="A1171" s="3">
        <v>45042</v>
      </c>
      <c r="B1171" t="s">
        <v>13</v>
      </c>
      <c r="C1171" t="s">
        <v>31</v>
      </c>
      <c r="D1171" t="str">
        <f>TRIM(Table1[[#This Row],[Product]])</f>
        <v>Laptop</v>
      </c>
      <c r="E1171" t="str">
        <f>PROPER(Table1[[#This Row],[Column1]])</f>
        <v>Laptop</v>
      </c>
      <c r="F1171" s="8" t="str">
        <f t="shared" si="90"/>
        <v>Technology</v>
      </c>
      <c r="G1171" s="5">
        <v>17</v>
      </c>
      <c r="H1171">
        <v>504.63</v>
      </c>
      <c r="I1171" t="s">
        <v>64</v>
      </c>
      <c r="J1171" t="s">
        <v>58</v>
      </c>
      <c r="K1171" s="7">
        <v>0.1</v>
      </c>
      <c r="L1171" t="s">
        <v>21</v>
      </c>
      <c r="M1171" s="5">
        <v>7720.838999999999</v>
      </c>
      <c r="N1171" t="s">
        <v>59</v>
      </c>
      <c r="O1171" t="s">
        <v>71</v>
      </c>
      <c r="P1171" s="5">
        <v>1</v>
      </c>
      <c r="Q1171" t="s">
        <v>2336</v>
      </c>
      <c r="R1171" t="s">
        <v>2337</v>
      </c>
      <c r="S1171" s="5">
        <v>48.33</v>
      </c>
      <c r="T1171" s="3">
        <v>45042</v>
      </c>
      <c r="U1171" s="3">
        <v>45052</v>
      </c>
      <c r="V1171" t="s">
        <v>70</v>
      </c>
      <c r="W1171">
        <f t="shared" si="92"/>
        <v>6948.7550999999994</v>
      </c>
      <c r="X1171">
        <f t="shared" si="93"/>
        <v>8578.7099999999991</v>
      </c>
      <c r="Y1171">
        <f t="shared" si="94"/>
        <v>1629.9548999999997</v>
      </c>
      <c r="Z1171" s="8" t="str">
        <f t="shared" si="91"/>
        <v>Medium</v>
      </c>
      <c r="AA1171" s="12">
        <f>DATE(YEAR(Table1[[#This Row],[OrderDate]]),MONTH(Table1[[#This Row],[OrderDate]]),1)</f>
        <v>45017</v>
      </c>
    </row>
    <row r="1172" spans="1:27" x14ac:dyDescent="0.3">
      <c r="A1172" s="3">
        <v>45355</v>
      </c>
      <c r="B1172" t="s">
        <v>16</v>
      </c>
      <c r="C1172" t="s">
        <v>35</v>
      </c>
      <c r="D1172" t="str">
        <f>TRIM(Table1[[#This Row],[Product]])</f>
        <v>Tablet</v>
      </c>
      <c r="E1172" t="str">
        <f>PROPER(Table1[[#This Row],[Column1]])</f>
        <v>Tablet</v>
      </c>
      <c r="F1172" s="8" t="str">
        <f t="shared" si="90"/>
        <v>Technology</v>
      </c>
      <c r="G1172" s="5">
        <v>11</v>
      </c>
      <c r="H1172">
        <v>97.84</v>
      </c>
      <c r="I1172" t="s">
        <v>57</v>
      </c>
      <c r="J1172" t="s">
        <v>65</v>
      </c>
      <c r="K1172" s="7">
        <v>0.05</v>
      </c>
      <c r="L1172" t="s">
        <v>18</v>
      </c>
      <c r="M1172" s="5">
        <v>1022.428</v>
      </c>
      <c r="N1172" t="s">
        <v>85</v>
      </c>
      <c r="O1172" t="s">
        <v>67</v>
      </c>
      <c r="P1172" s="5">
        <v>1</v>
      </c>
      <c r="Q1172" t="s">
        <v>2338</v>
      </c>
      <c r="R1172" t="s">
        <v>2339</v>
      </c>
      <c r="S1172" s="5">
        <v>45.97</v>
      </c>
      <c r="T1172" s="3">
        <v>45355</v>
      </c>
      <c r="U1172" s="3">
        <v>45363</v>
      </c>
      <c r="V1172" t="s">
        <v>95</v>
      </c>
      <c r="W1172">
        <f t="shared" si="92"/>
        <v>971.3066</v>
      </c>
      <c r="X1172">
        <f t="shared" si="93"/>
        <v>1076.24</v>
      </c>
      <c r="Y1172">
        <f t="shared" si="94"/>
        <v>104.93340000000001</v>
      </c>
      <c r="Z1172" s="8" t="str">
        <f t="shared" si="91"/>
        <v>Medium</v>
      </c>
      <c r="AA1172" s="12">
        <f>DATE(YEAR(Table1[[#This Row],[OrderDate]]),MONTH(Table1[[#This Row],[OrderDate]]),1)</f>
        <v>45352</v>
      </c>
    </row>
    <row r="1173" spans="1:27" x14ac:dyDescent="0.3">
      <c r="A1173" s="3">
        <v>44971</v>
      </c>
      <c r="B1173" t="s">
        <v>9</v>
      </c>
      <c r="C1173" t="s">
        <v>35</v>
      </c>
      <c r="D1173" t="str">
        <f>TRIM(Table1[[#This Row],[Product]])</f>
        <v>Tablet</v>
      </c>
      <c r="E1173" t="str">
        <f>PROPER(Table1[[#This Row],[Column1]])</f>
        <v>Tablet</v>
      </c>
      <c r="F1173" s="8" t="str">
        <f t="shared" si="90"/>
        <v>Technology</v>
      </c>
      <c r="G1173" s="5">
        <v>7</v>
      </c>
      <c r="H1173">
        <v>468.14</v>
      </c>
      <c r="I1173" t="s">
        <v>64</v>
      </c>
      <c r="J1173" t="s">
        <v>65</v>
      </c>
      <c r="K1173" s="7">
        <v>0.15</v>
      </c>
      <c r="L1173" t="s">
        <v>19</v>
      </c>
      <c r="M1173" s="5">
        <v>2785.433</v>
      </c>
      <c r="N1173" t="s">
        <v>88</v>
      </c>
      <c r="O1173" t="s">
        <v>67</v>
      </c>
      <c r="P1173" s="5">
        <v>0</v>
      </c>
      <c r="Q1173" t="s">
        <v>2340</v>
      </c>
      <c r="R1173" t="s">
        <v>2341</v>
      </c>
      <c r="S1173" s="5">
        <v>47.56</v>
      </c>
      <c r="T1173" s="3">
        <v>44971</v>
      </c>
      <c r="U1173" s="3">
        <v>44974</v>
      </c>
      <c r="V1173" t="s">
        <v>63</v>
      </c>
      <c r="W1173">
        <f t="shared" si="92"/>
        <v>2367.61805</v>
      </c>
      <c r="X1173">
        <f t="shared" si="93"/>
        <v>3276.98</v>
      </c>
      <c r="Y1173">
        <f t="shared" si="94"/>
        <v>909.36194999999998</v>
      </c>
      <c r="Z1173" s="8" t="str">
        <f t="shared" si="91"/>
        <v>High</v>
      </c>
      <c r="AA1173" s="12">
        <f>DATE(YEAR(Table1[[#This Row],[OrderDate]]),MONTH(Table1[[#This Row],[OrderDate]]),1)</f>
        <v>44958</v>
      </c>
    </row>
    <row r="1174" spans="1:27" x14ac:dyDescent="0.3">
      <c r="A1174" s="3">
        <v>45044</v>
      </c>
      <c r="B1174" t="s">
        <v>16</v>
      </c>
      <c r="C1174" t="s">
        <v>35</v>
      </c>
      <c r="D1174" t="str">
        <f>TRIM(Table1[[#This Row],[Product]])</f>
        <v>Tablet</v>
      </c>
      <c r="E1174" t="str">
        <f>PROPER(Table1[[#This Row],[Column1]])</f>
        <v>Tablet</v>
      </c>
      <c r="F1174" s="8" t="str">
        <f t="shared" si="90"/>
        <v>Technology</v>
      </c>
      <c r="G1174" s="5">
        <v>20</v>
      </c>
      <c r="H1174">
        <v>476.69</v>
      </c>
      <c r="I1174" t="s">
        <v>57</v>
      </c>
      <c r="J1174" t="s">
        <v>58</v>
      </c>
      <c r="K1174" s="7">
        <v>0.05</v>
      </c>
      <c r="L1174" t="s">
        <v>19</v>
      </c>
      <c r="M1174" s="5">
        <v>9057.1099999999988</v>
      </c>
      <c r="N1174" t="s">
        <v>59</v>
      </c>
      <c r="O1174" t="s">
        <v>71</v>
      </c>
      <c r="P1174" s="5">
        <v>0</v>
      </c>
      <c r="Q1174" t="s">
        <v>2342</v>
      </c>
      <c r="R1174" t="s">
        <v>2343</v>
      </c>
      <c r="S1174" s="5">
        <v>10.199999999999999</v>
      </c>
      <c r="T1174" s="3">
        <v>45044</v>
      </c>
      <c r="U1174" s="3">
        <v>45049</v>
      </c>
      <c r="V1174" t="s">
        <v>95</v>
      </c>
      <c r="W1174">
        <f t="shared" si="92"/>
        <v>8604.2544999999991</v>
      </c>
      <c r="X1174">
        <f t="shared" si="93"/>
        <v>9533.7999999999993</v>
      </c>
      <c r="Y1174">
        <f t="shared" si="94"/>
        <v>929.54550000000017</v>
      </c>
      <c r="Z1174" s="8" t="str">
        <f t="shared" si="91"/>
        <v>Medium</v>
      </c>
      <c r="AA1174" s="12">
        <f>DATE(YEAR(Table1[[#This Row],[OrderDate]]),MONTH(Table1[[#This Row],[OrderDate]]),1)</f>
        <v>45017</v>
      </c>
    </row>
    <row r="1175" spans="1:27" x14ac:dyDescent="0.3">
      <c r="A1175" s="3">
        <v>45354</v>
      </c>
      <c r="B1175" t="s">
        <v>11</v>
      </c>
      <c r="C1175" t="s">
        <v>33</v>
      </c>
      <c r="D1175" t="str">
        <f>TRIM(Table1[[#This Row],[Product]])</f>
        <v>Phone</v>
      </c>
      <c r="E1175" t="str">
        <f>PROPER(Table1[[#This Row],[Column1]])</f>
        <v>Phone</v>
      </c>
      <c r="F1175" s="8" t="str">
        <f t="shared" si="90"/>
        <v>Technology</v>
      </c>
      <c r="G1175" s="5">
        <v>2</v>
      </c>
      <c r="H1175">
        <v>160.72999999999999</v>
      </c>
      <c r="I1175" t="s">
        <v>64</v>
      </c>
      <c r="J1175" t="s">
        <v>58</v>
      </c>
      <c r="K1175" s="7">
        <v>0.15</v>
      </c>
      <c r="L1175" t="s">
        <v>27</v>
      </c>
      <c r="M1175" s="5">
        <v>273.24099999999999</v>
      </c>
      <c r="N1175" t="s">
        <v>88</v>
      </c>
      <c r="O1175" t="s">
        <v>60</v>
      </c>
      <c r="P1175" s="5">
        <v>0</v>
      </c>
      <c r="Q1175" t="s">
        <v>2344</v>
      </c>
      <c r="R1175" t="s">
        <v>2345</v>
      </c>
      <c r="S1175" s="5">
        <v>20.18</v>
      </c>
      <c r="T1175" s="3">
        <v>45354</v>
      </c>
      <c r="U1175" s="3">
        <v>45362</v>
      </c>
      <c r="V1175" t="s">
        <v>74</v>
      </c>
      <c r="W1175">
        <f t="shared" si="92"/>
        <v>232.25484999999998</v>
      </c>
      <c r="X1175">
        <f t="shared" si="93"/>
        <v>321.45999999999998</v>
      </c>
      <c r="Y1175">
        <f t="shared" si="94"/>
        <v>89.205150000000003</v>
      </c>
      <c r="Z1175" s="8" t="str">
        <f t="shared" si="91"/>
        <v>High</v>
      </c>
      <c r="AA1175" s="12">
        <f>DATE(YEAR(Table1[[#This Row],[OrderDate]]),MONTH(Table1[[#This Row],[OrderDate]]),1)</f>
        <v>45352</v>
      </c>
    </row>
    <row r="1176" spans="1:27" x14ac:dyDescent="0.3">
      <c r="A1176" s="3">
        <v>45539</v>
      </c>
      <c r="B1176" t="s">
        <v>16</v>
      </c>
      <c r="C1176" t="s">
        <v>35</v>
      </c>
      <c r="D1176" t="str">
        <f>TRIM(Table1[[#This Row],[Product]])</f>
        <v>Tablet</v>
      </c>
      <c r="E1176" t="str">
        <f>PROPER(Table1[[#This Row],[Column1]])</f>
        <v>Tablet</v>
      </c>
      <c r="F1176" s="8" t="str">
        <f t="shared" si="90"/>
        <v>Technology</v>
      </c>
      <c r="G1176" s="5">
        <v>9</v>
      </c>
      <c r="H1176">
        <v>228.98</v>
      </c>
      <c r="I1176" t="s">
        <v>81</v>
      </c>
      <c r="J1176" t="s">
        <v>65</v>
      </c>
      <c r="K1176" s="7">
        <v>0.15</v>
      </c>
      <c r="L1176" t="s">
        <v>27</v>
      </c>
      <c r="M1176" s="5">
        <v>1751.6969999999999</v>
      </c>
      <c r="N1176" t="s">
        <v>59</v>
      </c>
      <c r="O1176" t="s">
        <v>71</v>
      </c>
      <c r="P1176" s="5">
        <v>0</v>
      </c>
      <c r="Q1176" t="s">
        <v>2346</v>
      </c>
      <c r="R1176" t="s">
        <v>2347</v>
      </c>
      <c r="S1176" s="5">
        <v>45.79</v>
      </c>
      <c r="T1176" s="3">
        <v>45539</v>
      </c>
      <c r="U1176" s="3">
        <v>45543</v>
      </c>
      <c r="V1176" t="s">
        <v>95</v>
      </c>
      <c r="W1176">
        <f t="shared" si="92"/>
        <v>1488.9424499999998</v>
      </c>
      <c r="X1176">
        <f t="shared" si="93"/>
        <v>2060.8199999999997</v>
      </c>
      <c r="Y1176">
        <f t="shared" si="94"/>
        <v>571.87754999999993</v>
      </c>
      <c r="Z1176" s="8" t="str">
        <f t="shared" si="91"/>
        <v>High</v>
      </c>
      <c r="AA1176" s="12">
        <f>DATE(YEAR(Table1[[#This Row],[OrderDate]]),MONTH(Table1[[#This Row],[OrderDate]]),1)</f>
        <v>45536</v>
      </c>
    </row>
    <row r="1177" spans="1:27" x14ac:dyDescent="0.3">
      <c r="A1177" s="3">
        <v>45656</v>
      </c>
      <c r="B1177" t="s">
        <v>9</v>
      </c>
      <c r="C1177" t="s">
        <v>35</v>
      </c>
      <c r="D1177" t="str">
        <f>TRIM(Table1[[#This Row],[Product]])</f>
        <v>Tablet</v>
      </c>
      <c r="E1177" t="str">
        <f>PROPER(Table1[[#This Row],[Column1]])</f>
        <v>Tablet</v>
      </c>
      <c r="F1177" s="8" t="str">
        <f t="shared" si="90"/>
        <v>Technology</v>
      </c>
      <c r="G1177" s="5">
        <v>19</v>
      </c>
      <c r="H1177">
        <v>336.5</v>
      </c>
      <c r="I1177" t="s">
        <v>57</v>
      </c>
      <c r="J1177" t="s">
        <v>58</v>
      </c>
      <c r="K1177" s="7">
        <v>0</v>
      </c>
      <c r="L1177" t="s">
        <v>18</v>
      </c>
      <c r="M1177" s="5">
        <v>6393.5</v>
      </c>
      <c r="N1177" t="s">
        <v>59</v>
      </c>
      <c r="O1177" t="s">
        <v>71</v>
      </c>
      <c r="P1177" s="5">
        <v>0</v>
      </c>
      <c r="Q1177" t="s">
        <v>2348</v>
      </c>
      <c r="R1177" t="s">
        <v>2349</v>
      </c>
      <c r="S1177" s="5">
        <v>27.43</v>
      </c>
      <c r="T1177" s="3">
        <v>45656</v>
      </c>
      <c r="U1177" s="3">
        <v>45664</v>
      </c>
      <c r="V1177" t="s">
        <v>63</v>
      </c>
      <c r="W1177">
        <f t="shared" si="92"/>
        <v>6393.5</v>
      </c>
      <c r="X1177">
        <f t="shared" si="93"/>
        <v>6393.5</v>
      </c>
      <c r="Y1177">
        <f t="shared" si="94"/>
        <v>0</v>
      </c>
      <c r="Z1177" s="8" t="str">
        <f t="shared" si="91"/>
        <v>No Discount</v>
      </c>
      <c r="AA1177" s="12">
        <f>DATE(YEAR(Table1[[#This Row],[OrderDate]]),MONTH(Table1[[#This Row],[OrderDate]]),1)</f>
        <v>45627</v>
      </c>
    </row>
    <row r="1178" spans="1:27" x14ac:dyDescent="0.3">
      <c r="A1178" s="3">
        <v>45332</v>
      </c>
      <c r="B1178" t="s">
        <v>9</v>
      </c>
      <c r="C1178" t="s">
        <v>34</v>
      </c>
      <c r="D1178" t="str">
        <f>TRIM(Table1[[#This Row],[Product]])</f>
        <v>Printer</v>
      </c>
      <c r="E1178" t="str">
        <f>PROPER(Table1[[#This Row],[Column1]])</f>
        <v>Printer</v>
      </c>
      <c r="F1178" s="8" t="str">
        <f t="shared" si="90"/>
        <v>Office Supplies</v>
      </c>
      <c r="G1178" s="5">
        <v>18</v>
      </c>
      <c r="H1178">
        <v>411.59</v>
      </c>
      <c r="I1178" t="s">
        <v>64</v>
      </c>
      <c r="J1178" t="s">
        <v>58</v>
      </c>
      <c r="K1178" s="7">
        <v>0</v>
      </c>
      <c r="L1178" t="s">
        <v>19</v>
      </c>
      <c r="M1178" s="5">
        <v>7408.62</v>
      </c>
      <c r="N1178" t="s">
        <v>82</v>
      </c>
      <c r="O1178" t="s">
        <v>71</v>
      </c>
      <c r="P1178" s="5">
        <v>0</v>
      </c>
      <c r="Q1178" t="s">
        <v>2350</v>
      </c>
      <c r="R1178" t="s">
        <v>2351</v>
      </c>
      <c r="S1178" s="5">
        <v>9.6199999999999992</v>
      </c>
      <c r="T1178" s="3">
        <v>45332</v>
      </c>
      <c r="U1178" s="3">
        <v>45338</v>
      </c>
      <c r="V1178" t="s">
        <v>63</v>
      </c>
      <c r="W1178">
        <f t="shared" si="92"/>
        <v>7408.62</v>
      </c>
      <c r="X1178">
        <f t="shared" si="93"/>
        <v>7408.62</v>
      </c>
      <c r="Y1178">
        <f t="shared" si="94"/>
        <v>0</v>
      </c>
      <c r="Z1178" s="8" t="str">
        <f t="shared" si="91"/>
        <v>No Discount</v>
      </c>
      <c r="AA1178" s="12">
        <f>DATE(YEAR(Table1[[#This Row],[OrderDate]]),MONTH(Table1[[#This Row],[OrderDate]]),1)</f>
        <v>45323</v>
      </c>
    </row>
    <row r="1179" spans="1:27" x14ac:dyDescent="0.3">
      <c r="A1179" s="3">
        <v>45176</v>
      </c>
      <c r="B1179" t="s">
        <v>7</v>
      </c>
      <c r="C1179" t="s">
        <v>34</v>
      </c>
      <c r="D1179" t="str">
        <f>TRIM(Table1[[#This Row],[Product]])</f>
        <v>Printer</v>
      </c>
      <c r="E1179" t="str">
        <f>PROPER(Table1[[#This Row],[Column1]])</f>
        <v>Printer</v>
      </c>
      <c r="F1179" s="8" t="str">
        <f t="shared" si="90"/>
        <v>Office Supplies</v>
      </c>
      <c r="G1179" s="5">
        <v>1</v>
      </c>
      <c r="H1179">
        <v>431.49</v>
      </c>
      <c r="I1179" t="s">
        <v>78</v>
      </c>
      <c r="J1179" t="s">
        <v>58</v>
      </c>
      <c r="K1179" s="7">
        <v>0.15</v>
      </c>
      <c r="L1179" t="s">
        <v>18</v>
      </c>
      <c r="M1179" s="5">
        <v>366.76650000000001</v>
      </c>
      <c r="N1179" t="s">
        <v>88</v>
      </c>
      <c r="O1179" t="s">
        <v>67</v>
      </c>
      <c r="P1179" s="5">
        <v>0</v>
      </c>
      <c r="Q1179" t="s">
        <v>2352</v>
      </c>
      <c r="R1179" t="s">
        <v>2353</v>
      </c>
      <c r="S1179" s="5">
        <v>17.53</v>
      </c>
      <c r="T1179" s="3">
        <v>45176</v>
      </c>
      <c r="U1179" s="3">
        <v>45184</v>
      </c>
      <c r="V1179" t="s">
        <v>77</v>
      </c>
      <c r="W1179">
        <f t="shared" si="92"/>
        <v>311.75152500000002</v>
      </c>
      <c r="X1179">
        <f t="shared" si="93"/>
        <v>431.49</v>
      </c>
      <c r="Y1179">
        <f t="shared" si="94"/>
        <v>119.73847499999999</v>
      </c>
      <c r="Z1179" s="8" t="str">
        <f t="shared" si="91"/>
        <v>High</v>
      </c>
      <c r="AA1179" s="12">
        <f>DATE(YEAR(Table1[[#This Row],[OrderDate]]),MONTH(Table1[[#This Row],[OrderDate]]),1)</f>
        <v>45170</v>
      </c>
    </row>
    <row r="1180" spans="1:27" x14ac:dyDescent="0.3">
      <c r="A1180" s="3">
        <v>45149</v>
      </c>
      <c r="B1180" t="s">
        <v>9</v>
      </c>
      <c r="C1180" t="s">
        <v>31</v>
      </c>
      <c r="D1180" t="str">
        <f>TRIM(Table1[[#This Row],[Product]])</f>
        <v>Laptop</v>
      </c>
      <c r="E1180" t="str">
        <f>PROPER(Table1[[#This Row],[Column1]])</f>
        <v>Laptop</v>
      </c>
      <c r="F1180" s="8" t="str">
        <f t="shared" si="90"/>
        <v>Technology</v>
      </c>
      <c r="G1180" s="5">
        <v>18</v>
      </c>
      <c r="H1180">
        <v>495.39</v>
      </c>
      <c r="I1180" t="s">
        <v>64</v>
      </c>
      <c r="J1180" t="s">
        <v>58</v>
      </c>
      <c r="K1180" s="7">
        <v>0</v>
      </c>
      <c r="L1180" t="s">
        <v>21</v>
      </c>
      <c r="M1180" s="5">
        <v>8917.02</v>
      </c>
      <c r="N1180" t="s">
        <v>66</v>
      </c>
      <c r="O1180" t="s">
        <v>67</v>
      </c>
      <c r="P1180" s="5">
        <v>0</v>
      </c>
      <c r="Q1180" t="s">
        <v>2354</v>
      </c>
      <c r="R1180" t="s">
        <v>2355</v>
      </c>
      <c r="S1180" s="5">
        <v>14.88</v>
      </c>
      <c r="T1180" s="3">
        <v>45149</v>
      </c>
      <c r="U1180" s="3">
        <v>45153</v>
      </c>
      <c r="V1180" t="s">
        <v>63</v>
      </c>
      <c r="W1180">
        <f t="shared" si="92"/>
        <v>8917.02</v>
      </c>
      <c r="X1180">
        <f t="shared" si="93"/>
        <v>8917.02</v>
      </c>
      <c r="Y1180">
        <f t="shared" si="94"/>
        <v>0</v>
      </c>
      <c r="Z1180" s="8" t="str">
        <f t="shared" si="91"/>
        <v>No Discount</v>
      </c>
      <c r="AA1180" s="12">
        <f>DATE(YEAR(Table1[[#This Row],[OrderDate]]),MONTH(Table1[[#This Row],[OrderDate]]),1)</f>
        <v>45139</v>
      </c>
    </row>
    <row r="1181" spans="1:27" x14ac:dyDescent="0.3">
      <c r="A1181" s="3">
        <v>44997</v>
      </c>
      <c r="B1181" t="s">
        <v>16</v>
      </c>
      <c r="C1181" t="s">
        <v>33</v>
      </c>
      <c r="D1181" t="str">
        <f>TRIM(Table1[[#This Row],[Product]])</f>
        <v>Phone</v>
      </c>
      <c r="E1181" t="str">
        <f>PROPER(Table1[[#This Row],[Column1]])</f>
        <v>Phone</v>
      </c>
      <c r="F1181" s="8" t="str">
        <f t="shared" si="90"/>
        <v>Technology</v>
      </c>
      <c r="G1181" s="5">
        <v>4</v>
      </c>
      <c r="H1181">
        <v>149.30000000000001</v>
      </c>
      <c r="I1181" t="s">
        <v>64</v>
      </c>
      <c r="J1181" t="s">
        <v>58</v>
      </c>
      <c r="K1181" s="7">
        <v>0.1</v>
      </c>
      <c r="L1181" t="s">
        <v>23</v>
      </c>
      <c r="M1181" s="5">
        <v>537.48</v>
      </c>
      <c r="N1181" t="s">
        <v>85</v>
      </c>
      <c r="O1181" t="s">
        <v>60</v>
      </c>
      <c r="P1181" s="5">
        <v>0</v>
      </c>
      <c r="Q1181" t="s">
        <v>2356</v>
      </c>
      <c r="R1181" t="s">
        <v>2357</v>
      </c>
      <c r="S1181" s="5">
        <v>47.84</v>
      </c>
      <c r="T1181" s="3">
        <v>44997</v>
      </c>
      <c r="U1181" s="3">
        <v>45001</v>
      </c>
      <c r="V1181" t="s">
        <v>95</v>
      </c>
      <c r="W1181">
        <f t="shared" si="92"/>
        <v>483.73200000000003</v>
      </c>
      <c r="X1181">
        <f t="shared" si="93"/>
        <v>597.20000000000005</v>
      </c>
      <c r="Y1181">
        <f t="shared" si="94"/>
        <v>113.46800000000002</v>
      </c>
      <c r="Z1181" s="8" t="str">
        <f t="shared" si="91"/>
        <v>Medium</v>
      </c>
      <c r="AA1181" s="12">
        <f>DATE(YEAR(Table1[[#This Row],[OrderDate]]),MONTH(Table1[[#This Row],[OrderDate]]),1)</f>
        <v>44986</v>
      </c>
    </row>
    <row r="1182" spans="1:27" x14ac:dyDescent="0.3">
      <c r="A1182" s="3">
        <v>45014</v>
      </c>
      <c r="B1182" t="s">
        <v>7</v>
      </c>
      <c r="C1182" t="s">
        <v>30</v>
      </c>
      <c r="D1182" t="str">
        <f>TRIM(Table1[[#This Row],[Product]])</f>
        <v>Desk</v>
      </c>
      <c r="E1182" t="str">
        <f>PROPER(Table1[[#This Row],[Column1]])</f>
        <v>Desk</v>
      </c>
      <c r="F1182" s="8" t="str">
        <f t="shared" si="90"/>
        <v>Furniture</v>
      </c>
      <c r="G1182" s="5">
        <v>18</v>
      </c>
      <c r="H1182">
        <v>179.97</v>
      </c>
      <c r="I1182" t="s">
        <v>78</v>
      </c>
      <c r="J1182" t="s">
        <v>58</v>
      </c>
      <c r="K1182" s="7">
        <v>0.1</v>
      </c>
      <c r="L1182" t="s">
        <v>25</v>
      </c>
      <c r="M1182" s="5">
        <v>2915.5140000000001</v>
      </c>
      <c r="N1182" t="s">
        <v>88</v>
      </c>
      <c r="O1182" t="s">
        <v>67</v>
      </c>
      <c r="P1182" s="5">
        <v>0</v>
      </c>
      <c r="Q1182" t="s">
        <v>2358</v>
      </c>
      <c r="R1182" t="s">
        <v>2359</v>
      </c>
      <c r="S1182" s="5">
        <v>22.15</v>
      </c>
      <c r="T1182" s="3">
        <v>45014</v>
      </c>
      <c r="U1182" s="3">
        <v>45016</v>
      </c>
      <c r="V1182" t="s">
        <v>77</v>
      </c>
      <c r="W1182">
        <f t="shared" si="92"/>
        <v>2623.9626000000003</v>
      </c>
      <c r="X1182">
        <f t="shared" si="93"/>
        <v>3239.46</v>
      </c>
      <c r="Y1182">
        <f t="shared" si="94"/>
        <v>615.49739999999974</v>
      </c>
      <c r="Z1182" s="8" t="str">
        <f t="shared" si="91"/>
        <v>Medium</v>
      </c>
      <c r="AA1182" s="12">
        <f>DATE(YEAR(Table1[[#This Row],[OrderDate]]),MONTH(Table1[[#This Row],[OrderDate]]),1)</f>
        <v>44986</v>
      </c>
    </row>
    <row r="1183" spans="1:27" x14ac:dyDescent="0.3">
      <c r="A1183" s="3">
        <v>45705</v>
      </c>
      <c r="B1183" t="s">
        <v>13</v>
      </c>
      <c r="C1183" t="s">
        <v>29</v>
      </c>
      <c r="D1183" t="str">
        <f>TRIM(Table1[[#This Row],[Product]])</f>
        <v>Chair</v>
      </c>
      <c r="E1183" t="str">
        <f>PROPER(Table1[[#This Row],[Column1]])</f>
        <v>Chair</v>
      </c>
      <c r="F1183" s="8" t="str">
        <f t="shared" si="90"/>
        <v>Furniture</v>
      </c>
      <c r="G1183" s="5">
        <v>11</v>
      </c>
      <c r="H1183">
        <v>381.14</v>
      </c>
      <c r="I1183" t="s">
        <v>57</v>
      </c>
      <c r="J1183" t="s">
        <v>65</v>
      </c>
      <c r="K1183" s="7">
        <v>0.05</v>
      </c>
      <c r="L1183" t="s">
        <v>27</v>
      </c>
      <c r="M1183" s="5">
        <v>3982.913</v>
      </c>
      <c r="N1183" t="s">
        <v>66</v>
      </c>
      <c r="O1183" t="s">
        <v>60</v>
      </c>
      <c r="P1183" s="5">
        <v>0</v>
      </c>
      <c r="Q1183" t="s">
        <v>2360</v>
      </c>
      <c r="R1183" t="s">
        <v>2361</v>
      </c>
      <c r="S1183" s="5">
        <v>32.83</v>
      </c>
      <c r="T1183" s="3">
        <v>45705</v>
      </c>
      <c r="U1183" s="3">
        <v>45715</v>
      </c>
      <c r="V1183" t="s">
        <v>70</v>
      </c>
      <c r="W1183">
        <f t="shared" si="92"/>
        <v>3783.7673499999996</v>
      </c>
      <c r="X1183">
        <f t="shared" si="93"/>
        <v>4192.54</v>
      </c>
      <c r="Y1183">
        <f t="shared" si="94"/>
        <v>408.77265000000034</v>
      </c>
      <c r="Z1183" s="8" t="str">
        <f t="shared" si="91"/>
        <v>Medium</v>
      </c>
      <c r="AA1183" s="12">
        <f>DATE(YEAR(Table1[[#This Row],[OrderDate]]),MONTH(Table1[[#This Row],[OrderDate]]),1)</f>
        <v>45689</v>
      </c>
    </row>
    <row r="1184" spans="1:27" x14ac:dyDescent="0.3">
      <c r="A1184" s="3">
        <v>45298</v>
      </c>
      <c r="B1184" t="s">
        <v>11</v>
      </c>
      <c r="C1184" t="s">
        <v>29</v>
      </c>
      <c r="D1184" t="str">
        <f>TRIM(Table1[[#This Row],[Product]])</f>
        <v>Chair</v>
      </c>
      <c r="E1184" t="str">
        <f>PROPER(Table1[[#This Row],[Column1]])</f>
        <v>Chair</v>
      </c>
      <c r="F1184" s="8" t="str">
        <f t="shared" si="90"/>
        <v>Furniture</v>
      </c>
      <c r="G1184" s="5">
        <v>5</v>
      </c>
      <c r="H1184">
        <v>454.62</v>
      </c>
      <c r="I1184" t="s">
        <v>78</v>
      </c>
      <c r="J1184" t="s">
        <v>58</v>
      </c>
      <c r="K1184" s="7">
        <v>0.05</v>
      </c>
      <c r="L1184" t="s">
        <v>23</v>
      </c>
      <c r="M1184" s="5">
        <v>2159.4450000000002</v>
      </c>
      <c r="N1184" t="s">
        <v>66</v>
      </c>
      <c r="P1184" s="5">
        <v>0</v>
      </c>
      <c r="Q1184" t="s">
        <v>2362</v>
      </c>
      <c r="R1184" t="s">
        <v>2363</v>
      </c>
      <c r="S1184" s="5">
        <v>10.19</v>
      </c>
      <c r="T1184" s="3">
        <v>45298</v>
      </c>
      <c r="U1184" s="3">
        <v>45306</v>
      </c>
      <c r="V1184" t="s">
        <v>74</v>
      </c>
      <c r="W1184">
        <f t="shared" si="92"/>
        <v>2051.4727499999999</v>
      </c>
      <c r="X1184">
        <f t="shared" si="93"/>
        <v>2273.1</v>
      </c>
      <c r="Y1184">
        <f t="shared" si="94"/>
        <v>221.62725</v>
      </c>
      <c r="Z1184" s="8" t="str">
        <f t="shared" si="91"/>
        <v>Medium</v>
      </c>
      <c r="AA1184" s="12">
        <f>DATE(YEAR(Table1[[#This Row],[OrderDate]]),MONTH(Table1[[#This Row],[OrderDate]]),1)</f>
        <v>45292</v>
      </c>
    </row>
    <row r="1185" spans="1:27" x14ac:dyDescent="0.3">
      <c r="A1185" s="3">
        <v>44940</v>
      </c>
      <c r="B1185" t="s">
        <v>9</v>
      </c>
      <c r="C1185" t="s">
        <v>33</v>
      </c>
      <c r="D1185" t="str">
        <f>TRIM(Table1[[#This Row],[Product]])</f>
        <v>Phone</v>
      </c>
      <c r="E1185" t="str">
        <f>PROPER(Table1[[#This Row],[Column1]])</f>
        <v>Phone</v>
      </c>
      <c r="F1185" s="8" t="str">
        <f t="shared" si="90"/>
        <v>Technology</v>
      </c>
      <c r="G1185" s="5">
        <v>17</v>
      </c>
      <c r="H1185">
        <v>226.56</v>
      </c>
      <c r="I1185" t="s">
        <v>64</v>
      </c>
      <c r="J1185" t="s">
        <v>58</v>
      </c>
      <c r="K1185" s="7">
        <v>0.1</v>
      </c>
      <c r="L1185" t="s">
        <v>23</v>
      </c>
      <c r="M1185" s="5">
        <v>3466.3679999999999</v>
      </c>
      <c r="N1185" t="s">
        <v>66</v>
      </c>
      <c r="O1185" t="s">
        <v>71</v>
      </c>
      <c r="P1185" s="5">
        <v>1</v>
      </c>
      <c r="Q1185" t="s">
        <v>2364</v>
      </c>
      <c r="R1185" t="s">
        <v>2365</v>
      </c>
      <c r="S1185" s="5">
        <v>36.89</v>
      </c>
      <c r="T1185" s="3">
        <v>44940</v>
      </c>
      <c r="U1185" s="3">
        <v>44946</v>
      </c>
      <c r="V1185" t="s">
        <v>63</v>
      </c>
      <c r="W1185">
        <f t="shared" si="92"/>
        <v>3119.7312000000002</v>
      </c>
      <c r="X1185">
        <f t="shared" si="93"/>
        <v>3851.52</v>
      </c>
      <c r="Y1185">
        <f t="shared" si="94"/>
        <v>731.78879999999981</v>
      </c>
      <c r="Z1185" s="8" t="str">
        <f t="shared" si="91"/>
        <v>Medium</v>
      </c>
      <c r="AA1185" s="12">
        <f>DATE(YEAR(Table1[[#This Row],[OrderDate]]),MONTH(Table1[[#This Row],[OrderDate]]),1)</f>
        <v>44927</v>
      </c>
    </row>
    <row r="1186" spans="1:27" x14ac:dyDescent="0.3">
      <c r="A1186" s="3">
        <v>45294</v>
      </c>
      <c r="B1186" t="s">
        <v>16</v>
      </c>
      <c r="C1186" t="s">
        <v>31</v>
      </c>
      <c r="D1186" t="str">
        <f>TRIM(Table1[[#This Row],[Product]])</f>
        <v>Laptop</v>
      </c>
      <c r="E1186" t="str">
        <f>PROPER(Table1[[#This Row],[Column1]])</f>
        <v>Laptop</v>
      </c>
      <c r="F1186" s="8" t="str">
        <f t="shared" si="90"/>
        <v>Technology</v>
      </c>
      <c r="G1186" s="5">
        <v>2</v>
      </c>
      <c r="H1186">
        <v>132.91</v>
      </c>
      <c r="I1186" t="s">
        <v>64</v>
      </c>
      <c r="J1186" t="s">
        <v>58</v>
      </c>
      <c r="K1186" s="7">
        <v>0</v>
      </c>
      <c r="L1186" t="s">
        <v>19</v>
      </c>
      <c r="M1186" s="5">
        <v>265.82</v>
      </c>
      <c r="N1186" t="s">
        <v>85</v>
      </c>
      <c r="O1186" t="s">
        <v>71</v>
      </c>
      <c r="P1186" s="5">
        <v>0</v>
      </c>
      <c r="Q1186" t="s">
        <v>2366</v>
      </c>
      <c r="R1186" t="s">
        <v>2367</v>
      </c>
      <c r="S1186" s="5">
        <v>7.76</v>
      </c>
      <c r="T1186" s="3">
        <v>45294</v>
      </c>
      <c r="U1186" s="3">
        <v>45303</v>
      </c>
      <c r="V1186" t="s">
        <v>95</v>
      </c>
      <c r="W1186">
        <f t="shared" si="92"/>
        <v>265.82</v>
      </c>
      <c r="X1186">
        <f t="shared" si="93"/>
        <v>265.82</v>
      </c>
      <c r="Y1186">
        <f t="shared" si="94"/>
        <v>0</v>
      </c>
      <c r="Z1186" s="8" t="str">
        <f t="shared" si="91"/>
        <v>No Discount</v>
      </c>
      <c r="AA1186" s="12">
        <f>DATE(YEAR(Table1[[#This Row],[OrderDate]]),MONTH(Table1[[#This Row],[OrderDate]]),1)</f>
        <v>45292</v>
      </c>
    </row>
    <row r="1187" spans="1:27" x14ac:dyDescent="0.3">
      <c r="A1187" s="3">
        <v>45163</v>
      </c>
      <c r="B1187" t="s">
        <v>13</v>
      </c>
      <c r="C1187" t="s">
        <v>30</v>
      </c>
      <c r="D1187" t="str">
        <f>TRIM(Table1[[#This Row],[Product]])</f>
        <v>Desk</v>
      </c>
      <c r="E1187" t="str">
        <f>PROPER(Table1[[#This Row],[Column1]])</f>
        <v>Desk</v>
      </c>
      <c r="F1187" s="8" t="str">
        <f t="shared" si="90"/>
        <v>Furniture</v>
      </c>
      <c r="G1187" s="5">
        <v>2</v>
      </c>
      <c r="H1187">
        <v>35.69</v>
      </c>
      <c r="I1187" t="s">
        <v>78</v>
      </c>
      <c r="J1187" t="s">
        <v>65</v>
      </c>
      <c r="K1187" s="7">
        <v>0</v>
      </c>
      <c r="L1187" t="s">
        <v>25</v>
      </c>
      <c r="M1187" s="5">
        <v>71.38</v>
      </c>
      <c r="N1187" t="s">
        <v>85</v>
      </c>
      <c r="O1187" t="s">
        <v>60</v>
      </c>
      <c r="P1187" s="5">
        <v>0</v>
      </c>
      <c r="Q1187" t="s">
        <v>2368</v>
      </c>
      <c r="R1187" t="s">
        <v>2369</v>
      </c>
      <c r="S1187" s="5">
        <v>39.89</v>
      </c>
      <c r="T1187" s="3">
        <v>45163</v>
      </c>
      <c r="U1187" s="3">
        <v>45166</v>
      </c>
      <c r="V1187" t="s">
        <v>70</v>
      </c>
      <c r="W1187">
        <f t="shared" si="92"/>
        <v>71.38</v>
      </c>
      <c r="X1187">
        <f t="shared" si="93"/>
        <v>71.38</v>
      </c>
      <c r="Y1187">
        <f t="shared" si="94"/>
        <v>0</v>
      </c>
      <c r="Z1187" s="8" t="str">
        <f t="shared" si="91"/>
        <v>No Discount</v>
      </c>
      <c r="AA1187" s="12">
        <f>DATE(YEAR(Table1[[#This Row],[OrderDate]]),MONTH(Table1[[#This Row],[OrderDate]]),1)</f>
        <v>45139</v>
      </c>
    </row>
    <row r="1188" spans="1:27" x14ac:dyDescent="0.3">
      <c r="A1188" s="3">
        <v>45793</v>
      </c>
      <c r="B1188" t="s">
        <v>11</v>
      </c>
      <c r="C1188" t="s">
        <v>30</v>
      </c>
      <c r="D1188" t="str">
        <f>TRIM(Table1[[#This Row],[Product]])</f>
        <v>Desk</v>
      </c>
      <c r="E1188" t="str">
        <f>PROPER(Table1[[#This Row],[Column1]])</f>
        <v>Desk</v>
      </c>
      <c r="F1188" s="8" t="str">
        <f t="shared" si="90"/>
        <v>Furniture</v>
      </c>
      <c r="G1188" s="5">
        <v>6</v>
      </c>
      <c r="H1188">
        <v>451.93</v>
      </c>
      <c r="I1188" t="s">
        <v>64</v>
      </c>
      <c r="J1188" t="s">
        <v>58</v>
      </c>
      <c r="K1188" s="7">
        <v>0.15</v>
      </c>
      <c r="L1188" t="s">
        <v>25</v>
      </c>
      <c r="M1188" s="5">
        <v>2304.8429999999998</v>
      </c>
      <c r="N1188" t="s">
        <v>88</v>
      </c>
      <c r="O1188" t="s">
        <v>71</v>
      </c>
      <c r="P1188" s="5">
        <v>1</v>
      </c>
      <c r="Q1188" t="s">
        <v>2370</v>
      </c>
      <c r="R1188" t="s">
        <v>2371</v>
      </c>
      <c r="S1188" s="5">
        <v>49.37</v>
      </c>
      <c r="T1188" s="3">
        <v>45793</v>
      </c>
      <c r="U1188" s="3">
        <v>45802</v>
      </c>
      <c r="V1188" t="s">
        <v>74</v>
      </c>
      <c r="W1188">
        <f t="shared" si="92"/>
        <v>1959.1165499999997</v>
      </c>
      <c r="X1188">
        <f t="shared" si="93"/>
        <v>2711.58</v>
      </c>
      <c r="Y1188">
        <f t="shared" si="94"/>
        <v>752.46345000000019</v>
      </c>
      <c r="Z1188" s="8" t="str">
        <f t="shared" si="91"/>
        <v>High</v>
      </c>
      <c r="AA1188" s="12">
        <f>DATE(YEAR(Table1[[#This Row],[OrderDate]]),MONTH(Table1[[#This Row],[OrderDate]]),1)</f>
        <v>45778</v>
      </c>
    </row>
    <row r="1189" spans="1:27" x14ac:dyDescent="0.3">
      <c r="A1189" s="3">
        <v>45290</v>
      </c>
      <c r="B1189" t="s">
        <v>13</v>
      </c>
      <c r="C1189" t="s">
        <v>31</v>
      </c>
      <c r="D1189" t="str">
        <f>TRIM(Table1[[#This Row],[Product]])</f>
        <v>Laptop</v>
      </c>
      <c r="E1189" t="str">
        <f>PROPER(Table1[[#This Row],[Column1]])</f>
        <v>Laptop</v>
      </c>
      <c r="F1189" s="8" t="str">
        <f t="shared" si="90"/>
        <v>Technology</v>
      </c>
      <c r="G1189" s="5">
        <v>7</v>
      </c>
      <c r="H1189">
        <v>270.47000000000003</v>
      </c>
      <c r="I1189" t="s">
        <v>81</v>
      </c>
      <c r="J1189" t="s">
        <v>58</v>
      </c>
      <c r="K1189" s="7">
        <v>0.05</v>
      </c>
      <c r="L1189" t="s">
        <v>23</v>
      </c>
      <c r="M1189" s="5">
        <v>1798.6255000000001</v>
      </c>
      <c r="N1189" t="s">
        <v>82</v>
      </c>
      <c r="O1189" t="s">
        <v>71</v>
      </c>
      <c r="P1189" s="5">
        <v>1</v>
      </c>
      <c r="Q1189" t="s">
        <v>2372</v>
      </c>
      <c r="R1189" t="s">
        <v>2373</v>
      </c>
      <c r="S1189" s="5">
        <v>41.56</v>
      </c>
      <c r="T1189" s="3">
        <v>45290</v>
      </c>
      <c r="U1189" s="3">
        <v>45294</v>
      </c>
      <c r="V1189" t="s">
        <v>70</v>
      </c>
      <c r="W1189">
        <f t="shared" si="92"/>
        <v>1708.694225</v>
      </c>
      <c r="X1189">
        <f t="shared" si="93"/>
        <v>1893.2900000000002</v>
      </c>
      <c r="Y1189">
        <f t="shared" si="94"/>
        <v>184.59577500000023</v>
      </c>
      <c r="Z1189" s="8" t="str">
        <f t="shared" si="91"/>
        <v>Medium</v>
      </c>
      <c r="AA1189" s="12">
        <f>DATE(YEAR(Table1[[#This Row],[OrderDate]]),MONTH(Table1[[#This Row],[OrderDate]]),1)</f>
        <v>45261</v>
      </c>
    </row>
    <row r="1190" spans="1:27" x14ac:dyDescent="0.3">
      <c r="A1190" s="3">
        <v>45571</v>
      </c>
      <c r="B1190" t="s">
        <v>13</v>
      </c>
      <c r="C1190" t="s">
        <v>33</v>
      </c>
      <c r="D1190" t="str">
        <f>TRIM(Table1[[#This Row],[Product]])</f>
        <v>Phone</v>
      </c>
      <c r="E1190" t="str">
        <f>PROPER(Table1[[#This Row],[Column1]])</f>
        <v>Phone</v>
      </c>
      <c r="F1190" s="8" t="str">
        <f t="shared" si="90"/>
        <v>Technology</v>
      </c>
      <c r="G1190" s="5">
        <v>13</v>
      </c>
      <c r="H1190">
        <v>55.46</v>
      </c>
      <c r="I1190" t="s">
        <v>64</v>
      </c>
      <c r="J1190" t="s">
        <v>65</v>
      </c>
      <c r="K1190" s="7">
        <v>0.05</v>
      </c>
      <c r="L1190" t="s">
        <v>19</v>
      </c>
      <c r="M1190" s="5">
        <v>684.93100000000004</v>
      </c>
      <c r="N1190" t="s">
        <v>82</v>
      </c>
      <c r="O1190" t="s">
        <v>60</v>
      </c>
      <c r="P1190" s="5">
        <v>1</v>
      </c>
      <c r="Q1190" t="s">
        <v>2374</v>
      </c>
      <c r="R1190" t="s">
        <v>2375</v>
      </c>
      <c r="S1190" s="5">
        <v>18.010000000000002</v>
      </c>
      <c r="T1190" s="3">
        <v>45571</v>
      </c>
      <c r="U1190" s="3">
        <v>45574</v>
      </c>
      <c r="V1190" t="s">
        <v>70</v>
      </c>
      <c r="W1190">
        <f t="shared" si="92"/>
        <v>650.68444999999997</v>
      </c>
      <c r="X1190">
        <f t="shared" si="93"/>
        <v>720.98</v>
      </c>
      <c r="Y1190">
        <f t="shared" si="94"/>
        <v>70.295550000000048</v>
      </c>
      <c r="Z1190" s="8" t="str">
        <f t="shared" si="91"/>
        <v>Medium</v>
      </c>
      <c r="AA1190" s="12">
        <f>DATE(YEAR(Table1[[#This Row],[OrderDate]]),MONTH(Table1[[#This Row],[OrderDate]]),1)</f>
        <v>45566</v>
      </c>
    </row>
    <row r="1191" spans="1:27" x14ac:dyDescent="0.3">
      <c r="A1191" s="3">
        <v>44997</v>
      </c>
      <c r="B1191" t="s">
        <v>7</v>
      </c>
      <c r="C1191" t="s">
        <v>35</v>
      </c>
      <c r="D1191" t="str">
        <f>TRIM(Table1[[#This Row],[Product]])</f>
        <v>Tablet</v>
      </c>
      <c r="E1191" t="str">
        <f>PROPER(Table1[[#This Row],[Column1]])</f>
        <v>Tablet</v>
      </c>
      <c r="F1191" s="8" t="str">
        <f t="shared" si="90"/>
        <v>Technology</v>
      </c>
      <c r="G1191" s="5">
        <v>17</v>
      </c>
      <c r="H1191">
        <v>515.12</v>
      </c>
      <c r="I1191" t="s">
        <v>81</v>
      </c>
      <c r="J1191" t="s">
        <v>58</v>
      </c>
      <c r="K1191" s="7">
        <v>0.15</v>
      </c>
      <c r="L1191" t="s">
        <v>19</v>
      </c>
      <c r="M1191" s="5">
        <v>7443.4840000000004</v>
      </c>
      <c r="N1191" t="s">
        <v>82</v>
      </c>
      <c r="O1191" t="s">
        <v>67</v>
      </c>
      <c r="P1191" s="5">
        <v>1</v>
      </c>
      <c r="Q1191" t="s">
        <v>2376</v>
      </c>
      <c r="R1191" t="s">
        <v>251</v>
      </c>
      <c r="S1191" s="5">
        <v>32.74</v>
      </c>
      <c r="T1191" s="3">
        <v>44997</v>
      </c>
      <c r="U1191" s="3">
        <v>45007</v>
      </c>
      <c r="V1191" t="s">
        <v>77</v>
      </c>
      <c r="W1191">
        <f t="shared" si="92"/>
        <v>6326.9614000000001</v>
      </c>
      <c r="X1191">
        <f t="shared" si="93"/>
        <v>8757.0400000000009</v>
      </c>
      <c r="Y1191">
        <f t="shared" si="94"/>
        <v>2430.0786000000007</v>
      </c>
      <c r="Z1191" s="8" t="str">
        <f t="shared" si="91"/>
        <v>High</v>
      </c>
      <c r="AA1191" s="12">
        <f>DATE(YEAR(Table1[[#This Row],[OrderDate]]),MONTH(Table1[[#This Row],[OrderDate]]),1)</f>
        <v>44986</v>
      </c>
    </row>
    <row r="1192" spans="1:27" x14ac:dyDescent="0.3">
      <c r="A1192" s="3">
        <v>45388</v>
      </c>
      <c r="B1192" t="s">
        <v>11</v>
      </c>
      <c r="C1192" t="s">
        <v>33</v>
      </c>
      <c r="D1192" t="str">
        <f>TRIM(Table1[[#This Row],[Product]])</f>
        <v>Phone</v>
      </c>
      <c r="E1192" t="str">
        <f>PROPER(Table1[[#This Row],[Column1]])</f>
        <v>Phone</v>
      </c>
      <c r="F1192" s="8" t="str">
        <f t="shared" si="90"/>
        <v>Technology</v>
      </c>
      <c r="G1192" s="5">
        <v>1</v>
      </c>
      <c r="H1192">
        <v>256.63</v>
      </c>
      <c r="I1192" t="s">
        <v>81</v>
      </c>
      <c r="J1192" t="s">
        <v>58</v>
      </c>
      <c r="K1192" s="7">
        <v>0</v>
      </c>
      <c r="L1192" t="s">
        <v>21</v>
      </c>
      <c r="M1192" s="5">
        <v>256.63</v>
      </c>
      <c r="N1192" t="s">
        <v>66</v>
      </c>
      <c r="O1192" t="s">
        <v>60</v>
      </c>
      <c r="P1192" s="5">
        <v>0</v>
      </c>
      <c r="Q1192" t="s">
        <v>2377</v>
      </c>
      <c r="R1192" t="s">
        <v>2378</v>
      </c>
      <c r="S1192" s="5">
        <v>12.97</v>
      </c>
      <c r="T1192" s="3">
        <v>45388</v>
      </c>
      <c r="U1192" s="3">
        <v>45390</v>
      </c>
      <c r="V1192" t="s">
        <v>74</v>
      </c>
      <c r="W1192">
        <f t="shared" si="92"/>
        <v>256.63</v>
      </c>
      <c r="X1192">
        <f t="shared" si="93"/>
        <v>256.63</v>
      </c>
      <c r="Y1192">
        <f t="shared" si="94"/>
        <v>0</v>
      </c>
      <c r="Z1192" s="8" t="str">
        <f t="shared" si="91"/>
        <v>No Discount</v>
      </c>
      <c r="AA1192" s="12">
        <f>DATE(YEAR(Table1[[#This Row],[OrderDate]]),MONTH(Table1[[#This Row],[OrderDate]]),1)</f>
        <v>45383</v>
      </c>
    </row>
    <row r="1193" spans="1:27" x14ac:dyDescent="0.3">
      <c r="A1193" s="3">
        <v>44946</v>
      </c>
      <c r="B1193" t="s">
        <v>11</v>
      </c>
      <c r="C1193" t="s">
        <v>35</v>
      </c>
      <c r="D1193" t="str">
        <f>TRIM(Table1[[#This Row],[Product]])</f>
        <v>Tablet</v>
      </c>
      <c r="E1193" t="str">
        <f>PROPER(Table1[[#This Row],[Column1]])</f>
        <v>Tablet</v>
      </c>
      <c r="F1193" s="8" t="str">
        <f t="shared" si="90"/>
        <v>Technology</v>
      </c>
      <c r="G1193" s="5">
        <v>4</v>
      </c>
      <c r="H1193">
        <v>423.99</v>
      </c>
      <c r="I1193" t="s">
        <v>57</v>
      </c>
      <c r="J1193" t="s">
        <v>65</v>
      </c>
      <c r="K1193" s="7">
        <v>0.05</v>
      </c>
      <c r="L1193" t="s">
        <v>27</v>
      </c>
      <c r="M1193" s="5">
        <v>1611.162</v>
      </c>
      <c r="N1193" t="s">
        <v>59</v>
      </c>
      <c r="O1193" t="s">
        <v>60</v>
      </c>
      <c r="P1193" s="5">
        <v>0</v>
      </c>
      <c r="Q1193" t="s">
        <v>2379</v>
      </c>
      <c r="R1193" t="s">
        <v>2380</v>
      </c>
      <c r="S1193" s="5">
        <v>20.05</v>
      </c>
      <c r="T1193" s="3">
        <v>44946</v>
      </c>
      <c r="U1193" s="3">
        <v>44951</v>
      </c>
      <c r="V1193" t="s">
        <v>74</v>
      </c>
      <c r="W1193">
        <f t="shared" si="92"/>
        <v>1530.6039000000001</v>
      </c>
      <c r="X1193">
        <f t="shared" si="93"/>
        <v>1695.96</v>
      </c>
      <c r="Y1193">
        <f t="shared" si="94"/>
        <v>165.35609999999997</v>
      </c>
      <c r="Z1193" s="8" t="str">
        <f t="shared" si="91"/>
        <v>Medium</v>
      </c>
      <c r="AA1193" s="12">
        <f>DATE(YEAR(Table1[[#This Row],[OrderDate]]),MONTH(Table1[[#This Row],[OrderDate]]),1)</f>
        <v>44927</v>
      </c>
    </row>
    <row r="1194" spans="1:27" x14ac:dyDescent="0.3">
      <c r="A1194" s="3">
        <v>45481</v>
      </c>
      <c r="B1194" t="s">
        <v>16</v>
      </c>
      <c r="C1194" t="s">
        <v>31</v>
      </c>
      <c r="D1194" t="str">
        <f>TRIM(Table1[[#This Row],[Product]])</f>
        <v>Laptop</v>
      </c>
      <c r="E1194" t="str">
        <f>PROPER(Table1[[#This Row],[Column1]])</f>
        <v>Laptop</v>
      </c>
      <c r="F1194" s="8" t="str">
        <f t="shared" si="90"/>
        <v>Technology</v>
      </c>
      <c r="G1194" s="5">
        <v>15</v>
      </c>
      <c r="H1194">
        <v>77.89</v>
      </c>
      <c r="I1194" t="s">
        <v>57</v>
      </c>
      <c r="J1194" t="s">
        <v>58</v>
      </c>
      <c r="K1194" s="7">
        <v>0.05</v>
      </c>
      <c r="L1194" t="s">
        <v>23</v>
      </c>
      <c r="M1194" s="5">
        <v>1109.9324999999999</v>
      </c>
      <c r="N1194" t="s">
        <v>82</v>
      </c>
      <c r="P1194" s="5">
        <v>0</v>
      </c>
      <c r="Q1194" t="s">
        <v>2381</v>
      </c>
      <c r="R1194" t="s">
        <v>2382</v>
      </c>
      <c r="S1194" s="5">
        <v>20.87</v>
      </c>
      <c r="T1194" s="3">
        <v>45481</v>
      </c>
      <c r="U1194" s="3">
        <v>45485</v>
      </c>
      <c r="V1194" t="s">
        <v>95</v>
      </c>
      <c r="W1194">
        <f t="shared" si="92"/>
        <v>1054.4358749999999</v>
      </c>
      <c r="X1194">
        <f t="shared" si="93"/>
        <v>1168.3499999999999</v>
      </c>
      <c r="Y1194">
        <f t="shared" si="94"/>
        <v>113.91412500000001</v>
      </c>
      <c r="Z1194" s="8" t="str">
        <f t="shared" si="91"/>
        <v>Medium</v>
      </c>
      <c r="AA1194" s="12">
        <f>DATE(YEAR(Table1[[#This Row],[OrderDate]]),MONTH(Table1[[#This Row],[OrderDate]]),1)</f>
        <v>45474</v>
      </c>
    </row>
    <row r="1195" spans="1:27" x14ac:dyDescent="0.3">
      <c r="A1195" s="3">
        <v>45205</v>
      </c>
      <c r="B1195" t="s">
        <v>11</v>
      </c>
      <c r="C1195" t="s">
        <v>33</v>
      </c>
      <c r="D1195" t="str">
        <f>TRIM(Table1[[#This Row],[Product]])</f>
        <v>Phone</v>
      </c>
      <c r="E1195" t="str">
        <f>PROPER(Table1[[#This Row],[Column1]])</f>
        <v>Phone</v>
      </c>
      <c r="F1195" s="8" t="str">
        <f t="shared" si="90"/>
        <v>Technology</v>
      </c>
      <c r="G1195" s="5">
        <v>12</v>
      </c>
      <c r="H1195">
        <v>11.95</v>
      </c>
      <c r="I1195" t="s">
        <v>64</v>
      </c>
      <c r="J1195" t="s">
        <v>65</v>
      </c>
      <c r="K1195" s="7">
        <v>0.05</v>
      </c>
      <c r="L1195" t="s">
        <v>21</v>
      </c>
      <c r="M1195" s="5">
        <v>136.22999999999999</v>
      </c>
      <c r="N1195" t="s">
        <v>59</v>
      </c>
      <c r="P1195" s="5">
        <v>0</v>
      </c>
      <c r="Q1195" t="s">
        <v>2383</v>
      </c>
      <c r="R1195" t="s">
        <v>2384</v>
      </c>
      <c r="S1195" s="5">
        <v>26.66</v>
      </c>
      <c r="T1195" s="3">
        <v>45205</v>
      </c>
      <c r="U1195" s="3">
        <v>45215</v>
      </c>
      <c r="V1195" t="s">
        <v>74</v>
      </c>
      <c r="W1195">
        <f t="shared" si="92"/>
        <v>129.41849999999999</v>
      </c>
      <c r="X1195">
        <f t="shared" si="93"/>
        <v>143.39999999999998</v>
      </c>
      <c r="Y1195">
        <f t="shared" si="94"/>
        <v>13.981499999999983</v>
      </c>
      <c r="Z1195" s="8" t="str">
        <f t="shared" si="91"/>
        <v>Medium</v>
      </c>
      <c r="AA1195" s="12">
        <f>DATE(YEAR(Table1[[#This Row],[OrderDate]]),MONTH(Table1[[#This Row],[OrderDate]]),1)</f>
        <v>45200</v>
      </c>
    </row>
    <row r="1196" spans="1:27" x14ac:dyDescent="0.3">
      <c r="A1196" s="3">
        <v>45180</v>
      </c>
      <c r="B1196" t="s">
        <v>9</v>
      </c>
      <c r="C1196" t="s">
        <v>30</v>
      </c>
      <c r="D1196" t="str">
        <f>TRIM(Table1[[#This Row],[Product]])</f>
        <v>Desk</v>
      </c>
      <c r="E1196" t="str">
        <f>PROPER(Table1[[#This Row],[Column1]])</f>
        <v>Desk</v>
      </c>
      <c r="F1196" s="8" t="str">
        <f t="shared" si="90"/>
        <v>Furniture</v>
      </c>
      <c r="G1196" s="5">
        <v>7</v>
      </c>
      <c r="H1196">
        <v>67.05</v>
      </c>
      <c r="I1196" t="s">
        <v>81</v>
      </c>
      <c r="J1196" t="s">
        <v>58</v>
      </c>
      <c r="K1196" s="7">
        <v>0.1</v>
      </c>
      <c r="L1196" t="s">
        <v>21</v>
      </c>
      <c r="M1196" s="5">
        <v>422.41500000000002</v>
      </c>
      <c r="N1196" t="s">
        <v>88</v>
      </c>
      <c r="O1196" t="s">
        <v>60</v>
      </c>
      <c r="P1196" s="5">
        <v>0</v>
      </c>
      <c r="Q1196" t="s">
        <v>2385</v>
      </c>
      <c r="R1196" t="s">
        <v>291</v>
      </c>
      <c r="S1196" s="5">
        <v>36.67</v>
      </c>
      <c r="T1196" s="3">
        <v>45180</v>
      </c>
      <c r="U1196" s="3">
        <v>45187</v>
      </c>
      <c r="V1196" t="s">
        <v>63</v>
      </c>
      <c r="W1196">
        <f t="shared" si="92"/>
        <v>380.17350000000005</v>
      </c>
      <c r="X1196">
        <f t="shared" si="93"/>
        <v>469.34999999999997</v>
      </c>
      <c r="Y1196">
        <f t="shared" si="94"/>
        <v>89.176499999999919</v>
      </c>
      <c r="Z1196" s="8" t="str">
        <f t="shared" si="91"/>
        <v>Medium</v>
      </c>
      <c r="AA1196" s="12">
        <f>DATE(YEAR(Table1[[#This Row],[OrderDate]]),MONTH(Table1[[#This Row],[OrderDate]]),1)</f>
        <v>45170</v>
      </c>
    </row>
    <row r="1197" spans="1:27" x14ac:dyDescent="0.3">
      <c r="A1197" s="3">
        <v>45183</v>
      </c>
      <c r="B1197" t="s">
        <v>11</v>
      </c>
      <c r="C1197" t="s">
        <v>33</v>
      </c>
      <c r="D1197" t="str">
        <f>TRIM(Table1[[#This Row],[Product]])</f>
        <v>Phone</v>
      </c>
      <c r="E1197" t="str">
        <f>PROPER(Table1[[#This Row],[Column1]])</f>
        <v>Phone</v>
      </c>
      <c r="F1197" s="8" t="str">
        <f t="shared" si="90"/>
        <v>Technology</v>
      </c>
      <c r="G1197" s="5">
        <v>19</v>
      </c>
      <c r="H1197">
        <v>118.15</v>
      </c>
      <c r="I1197" t="s">
        <v>78</v>
      </c>
      <c r="J1197" t="s">
        <v>65</v>
      </c>
      <c r="K1197" s="7">
        <v>0.15</v>
      </c>
      <c r="L1197" t="s">
        <v>27</v>
      </c>
      <c r="M1197" s="5">
        <v>1908.1224999999999</v>
      </c>
      <c r="N1197" t="s">
        <v>88</v>
      </c>
      <c r="O1197" t="s">
        <v>67</v>
      </c>
      <c r="P1197" s="5">
        <v>0</v>
      </c>
      <c r="Q1197" t="s">
        <v>2386</v>
      </c>
      <c r="R1197" t="s">
        <v>2387</v>
      </c>
      <c r="S1197" s="5">
        <v>12.95</v>
      </c>
      <c r="T1197" s="3">
        <v>45183</v>
      </c>
      <c r="U1197" s="3">
        <v>45188</v>
      </c>
      <c r="V1197" t="s">
        <v>74</v>
      </c>
      <c r="W1197">
        <f t="shared" si="92"/>
        <v>1621.904125</v>
      </c>
      <c r="X1197">
        <f t="shared" si="93"/>
        <v>2244.85</v>
      </c>
      <c r="Y1197">
        <f t="shared" si="94"/>
        <v>622.94587499999989</v>
      </c>
      <c r="Z1197" s="8" t="str">
        <f t="shared" si="91"/>
        <v>High</v>
      </c>
      <c r="AA1197" s="12">
        <f>DATE(YEAR(Table1[[#This Row],[OrderDate]]),MONTH(Table1[[#This Row],[OrderDate]]),1)</f>
        <v>45170</v>
      </c>
    </row>
    <row r="1198" spans="1:27" x14ac:dyDescent="0.3">
      <c r="A1198" s="3">
        <v>45236</v>
      </c>
      <c r="B1198" t="s">
        <v>11</v>
      </c>
      <c r="C1198" t="s">
        <v>34</v>
      </c>
      <c r="D1198" t="str">
        <f>TRIM(Table1[[#This Row],[Product]])</f>
        <v>Printer</v>
      </c>
      <c r="E1198" t="str">
        <f>PROPER(Table1[[#This Row],[Column1]])</f>
        <v>Printer</v>
      </c>
      <c r="F1198" s="8" t="str">
        <f t="shared" si="90"/>
        <v>Office Supplies</v>
      </c>
      <c r="G1198" s="5">
        <v>16</v>
      </c>
      <c r="H1198">
        <v>114.47</v>
      </c>
      <c r="I1198" t="s">
        <v>57</v>
      </c>
      <c r="J1198" t="s">
        <v>58</v>
      </c>
      <c r="K1198" s="7">
        <v>0.15</v>
      </c>
      <c r="L1198" t="s">
        <v>21</v>
      </c>
      <c r="M1198" s="5">
        <v>1556.7919999999999</v>
      </c>
      <c r="N1198" t="s">
        <v>59</v>
      </c>
      <c r="P1198" s="5">
        <v>0</v>
      </c>
      <c r="Q1198" t="s">
        <v>2388</v>
      </c>
      <c r="R1198" t="s">
        <v>497</v>
      </c>
      <c r="S1198" s="5">
        <v>43.85</v>
      </c>
      <c r="T1198" s="3">
        <v>45236</v>
      </c>
      <c r="U1198" s="3">
        <v>45241</v>
      </c>
      <c r="V1198" t="s">
        <v>74</v>
      </c>
      <c r="W1198">
        <f t="shared" si="92"/>
        <v>1323.2731999999999</v>
      </c>
      <c r="X1198">
        <f t="shared" si="93"/>
        <v>1831.52</v>
      </c>
      <c r="Y1198">
        <f t="shared" si="94"/>
        <v>508.24680000000012</v>
      </c>
      <c r="Z1198" s="8" t="str">
        <f t="shared" si="91"/>
        <v>High</v>
      </c>
      <c r="AA1198" s="12">
        <f>DATE(YEAR(Table1[[#This Row],[OrderDate]]),MONTH(Table1[[#This Row],[OrderDate]]),1)</f>
        <v>45231</v>
      </c>
    </row>
    <row r="1199" spans="1:27" x14ac:dyDescent="0.3">
      <c r="A1199" s="3">
        <v>45466</v>
      </c>
      <c r="B1199" t="s">
        <v>11</v>
      </c>
      <c r="C1199" t="s">
        <v>32</v>
      </c>
      <c r="D1199" t="str">
        <f>TRIM(Table1[[#This Row],[Product]])</f>
        <v>Monitor</v>
      </c>
      <c r="E1199" t="str">
        <f>PROPER(Table1[[#This Row],[Column1]])</f>
        <v>Monitor</v>
      </c>
      <c r="F1199" s="8" t="str">
        <f t="shared" si="90"/>
        <v>Technology</v>
      </c>
      <c r="G1199" s="5">
        <v>9</v>
      </c>
      <c r="H1199">
        <v>36.21</v>
      </c>
      <c r="I1199" t="s">
        <v>78</v>
      </c>
      <c r="J1199" t="s">
        <v>58</v>
      </c>
      <c r="K1199" s="7">
        <v>0.15</v>
      </c>
      <c r="L1199" t="s">
        <v>19</v>
      </c>
      <c r="M1199" s="5">
        <v>277.00650000000002</v>
      </c>
      <c r="N1199" t="s">
        <v>82</v>
      </c>
      <c r="O1199" t="s">
        <v>60</v>
      </c>
      <c r="P1199" s="5">
        <v>0</v>
      </c>
      <c r="Q1199" t="s">
        <v>2389</v>
      </c>
      <c r="R1199" t="s">
        <v>2390</v>
      </c>
      <c r="S1199" s="5">
        <v>6.71</v>
      </c>
      <c r="T1199" s="3">
        <v>45466</v>
      </c>
      <c r="U1199" s="3">
        <v>45473</v>
      </c>
      <c r="V1199" t="s">
        <v>74</v>
      </c>
      <c r="W1199">
        <f t="shared" si="92"/>
        <v>235.45552499999999</v>
      </c>
      <c r="X1199">
        <f t="shared" si="93"/>
        <v>325.89</v>
      </c>
      <c r="Y1199">
        <f t="shared" si="94"/>
        <v>90.434474999999992</v>
      </c>
      <c r="Z1199" s="8" t="str">
        <f t="shared" si="91"/>
        <v>High</v>
      </c>
      <c r="AA1199" s="12">
        <f>DATE(YEAR(Table1[[#This Row],[OrderDate]]),MONTH(Table1[[#This Row],[OrderDate]]),1)</f>
        <v>45444</v>
      </c>
    </row>
    <row r="1200" spans="1:27" x14ac:dyDescent="0.3">
      <c r="A1200" s="3">
        <v>45015</v>
      </c>
      <c r="B1200" t="s">
        <v>16</v>
      </c>
      <c r="C1200" t="s">
        <v>34</v>
      </c>
      <c r="D1200" t="str">
        <f>TRIM(Table1[[#This Row],[Product]])</f>
        <v>Printer</v>
      </c>
      <c r="E1200" t="str">
        <f>PROPER(Table1[[#This Row],[Column1]])</f>
        <v>Printer</v>
      </c>
      <c r="F1200" s="8" t="str">
        <f t="shared" si="90"/>
        <v>Office Supplies</v>
      </c>
      <c r="G1200" s="5">
        <v>10</v>
      </c>
      <c r="H1200">
        <v>52.58</v>
      </c>
      <c r="I1200" t="s">
        <v>57</v>
      </c>
      <c r="J1200" t="s">
        <v>58</v>
      </c>
      <c r="K1200" s="7">
        <v>0.1</v>
      </c>
      <c r="L1200" t="s">
        <v>25</v>
      </c>
      <c r="M1200" s="5">
        <v>473.22</v>
      </c>
      <c r="N1200" t="s">
        <v>88</v>
      </c>
      <c r="O1200" t="s">
        <v>71</v>
      </c>
      <c r="P1200" s="5">
        <v>0</v>
      </c>
      <c r="Q1200" t="s">
        <v>2391</v>
      </c>
      <c r="R1200" t="s">
        <v>2392</v>
      </c>
      <c r="S1200" s="5">
        <v>14.01</v>
      </c>
      <c r="T1200" s="3">
        <v>45015</v>
      </c>
      <c r="U1200" s="3">
        <v>45025</v>
      </c>
      <c r="V1200" t="s">
        <v>95</v>
      </c>
      <c r="W1200">
        <f t="shared" si="92"/>
        <v>425.89800000000002</v>
      </c>
      <c r="X1200">
        <f t="shared" si="93"/>
        <v>525.79999999999995</v>
      </c>
      <c r="Y1200">
        <f t="shared" si="94"/>
        <v>99.90199999999993</v>
      </c>
      <c r="Z1200" s="8" t="str">
        <f t="shared" si="91"/>
        <v>Medium</v>
      </c>
      <c r="AA1200" s="12">
        <f>DATE(YEAR(Table1[[#This Row],[OrderDate]]),MONTH(Table1[[#This Row],[OrderDate]]),1)</f>
        <v>44986</v>
      </c>
    </row>
    <row r="1201" spans="1:27" x14ac:dyDescent="0.3">
      <c r="A1201" s="3">
        <v>45570</v>
      </c>
      <c r="B1201" t="s">
        <v>9</v>
      </c>
      <c r="C1201" t="s">
        <v>33</v>
      </c>
      <c r="D1201" t="str">
        <f>TRIM(Table1[[#This Row],[Product]])</f>
        <v>Phone</v>
      </c>
      <c r="E1201" t="str">
        <f>PROPER(Table1[[#This Row],[Column1]])</f>
        <v>Phone</v>
      </c>
      <c r="F1201" s="8" t="str">
        <f t="shared" si="90"/>
        <v>Technology</v>
      </c>
      <c r="G1201" s="5">
        <v>6</v>
      </c>
      <c r="H1201">
        <v>272.26</v>
      </c>
      <c r="I1201" t="s">
        <v>64</v>
      </c>
      <c r="J1201" t="s">
        <v>65</v>
      </c>
      <c r="K1201" s="7">
        <v>0.1</v>
      </c>
      <c r="L1201" t="s">
        <v>21</v>
      </c>
      <c r="M1201" s="5">
        <v>1470.204</v>
      </c>
      <c r="N1201" t="s">
        <v>85</v>
      </c>
      <c r="O1201" t="s">
        <v>67</v>
      </c>
      <c r="P1201" s="5">
        <v>0</v>
      </c>
      <c r="Q1201" t="s">
        <v>2393</v>
      </c>
      <c r="R1201" t="s">
        <v>2394</v>
      </c>
      <c r="S1201" s="5">
        <v>43.67</v>
      </c>
      <c r="T1201" s="3">
        <v>45570</v>
      </c>
      <c r="U1201" s="3">
        <v>45580</v>
      </c>
      <c r="V1201" t="s">
        <v>63</v>
      </c>
      <c r="W1201">
        <f t="shared" si="92"/>
        <v>1323.1836000000001</v>
      </c>
      <c r="X1201">
        <f t="shared" si="93"/>
        <v>1633.56</v>
      </c>
      <c r="Y1201">
        <f t="shared" si="94"/>
        <v>310.37639999999988</v>
      </c>
      <c r="Z1201" s="8" t="str">
        <f t="shared" si="91"/>
        <v>Medium</v>
      </c>
      <c r="AA1201" s="12">
        <f>DATE(YEAR(Table1[[#This Row],[OrderDate]]),MONTH(Table1[[#This Row],[OrderDate]]),1)</f>
        <v>45566</v>
      </c>
    </row>
    <row r="1202" spans="1:27" x14ac:dyDescent="0.3">
      <c r="A1202" s="3">
        <v>45004</v>
      </c>
      <c r="B1202" t="s">
        <v>7</v>
      </c>
      <c r="C1202" t="s">
        <v>29</v>
      </c>
      <c r="D1202" t="str">
        <f>TRIM(Table1[[#This Row],[Product]])</f>
        <v>Chair</v>
      </c>
      <c r="E1202" t="str">
        <f>PROPER(Table1[[#This Row],[Column1]])</f>
        <v>Chair</v>
      </c>
      <c r="F1202" s="8" t="str">
        <f t="shared" si="90"/>
        <v>Furniture</v>
      </c>
      <c r="G1202" s="5">
        <v>10</v>
      </c>
      <c r="H1202">
        <v>124.97</v>
      </c>
      <c r="I1202" t="s">
        <v>81</v>
      </c>
      <c r="J1202" t="s">
        <v>65</v>
      </c>
      <c r="K1202" s="7">
        <v>0.15</v>
      </c>
      <c r="L1202" t="s">
        <v>25</v>
      </c>
      <c r="M1202" s="5">
        <v>1062.2449999999999</v>
      </c>
      <c r="N1202" t="s">
        <v>66</v>
      </c>
      <c r="O1202" t="s">
        <v>71</v>
      </c>
      <c r="P1202" s="5">
        <v>1</v>
      </c>
      <c r="Q1202" t="s">
        <v>2395</v>
      </c>
      <c r="R1202" t="s">
        <v>2396</v>
      </c>
      <c r="S1202" s="5">
        <v>40.229999999999997</v>
      </c>
      <c r="T1202" s="3">
        <v>45004</v>
      </c>
      <c r="U1202" s="3">
        <v>45014</v>
      </c>
      <c r="V1202" t="s">
        <v>77</v>
      </c>
      <c r="W1202">
        <f t="shared" si="92"/>
        <v>902.90824999999984</v>
      </c>
      <c r="X1202">
        <f t="shared" si="93"/>
        <v>1249.7</v>
      </c>
      <c r="Y1202">
        <f t="shared" si="94"/>
        <v>346.79175000000021</v>
      </c>
      <c r="Z1202" s="8" t="str">
        <f t="shared" si="91"/>
        <v>High</v>
      </c>
      <c r="AA1202" s="12">
        <f>DATE(YEAR(Table1[[#This Row],[OrderDate]]),MONTH(Table1[[#This Row],[OrderDate]]),1)</f>
        <v>44986</v>
      </c>
    </row>
    <row r="1203" spans="1:27" x14ac:dyDescent="0.3">
      <c r="A1203" s="3">
        <v>45733</v>
      </c>
      <c r="B1203" t="s">
        <v>11</v>
      </c>
      <c r="C1203" t="s">
        <v>33</v>
      </c>
      <c r="D1203" t="str">
        <f>TRIM(Table1[[#This Row],[Product]])</f>
        <v>Phone</v>
      </c>
      <c r="E1203" t="str">
        <f>PROPER(Table1[[#This Row],[Column1]])</f>
        <v>Phone</v>
      </c>
      <c r="F1203" s="8" t="str">
        <f t="shared" si="90"/>
        <v>Technology</v>
      </c>
      <c r="G1203" s="5">
        <v>9</v>
      </c>
      <c r="H1203">
        <v>228.62</v>
      </c>
      <c r="I1203" t="s">
        <v>78</v>
      </c>
      <c r="J1203" t="s">
        <v>65</v>
      </c>
      <c r="K1203" s="7">
        <v>0.05</v>
      </c>
      <c r="L1203" t="s">
        <v>25</v>
      </c>
      <c r="M1203" s="5">
        <v>1954.701</v>
      </c>
      <c r="N1203" t="s">
        <v>66</v>
      </c>
      <c r="O1203" t="s">
        <v>67</v>
      </c>
      <c r="P1203" s="5">
        <v>0</v>
      </c>
      <c r="Q1203" t="s">
        <v>2397</v>
      </c>
      <c r="R1203" t="s">
        <v>2398</v>
      </c>
      <c r="S1203" s="5">
        <v>31.43</v>
      </c>
      <c r="T1203" s="3">
        <v>45733</v>
      </c>
      <c r="U1203" s="3">
        <v>45737</v>
      </c>
      <c r="V1203" t="s">
        <v>74</v>
      </c>
      <c r="W1203">
        <f t="shared" si="92"/>
        <v>1856.96595</v>
      </c>
      <c r="X1203">
        <f t="shared" si="93"/>
        <v>2057.58</v>
      </c>
      <c r="Y1203">
        <f t="shared" si="94"/>
        <v>200.61404999999991</v>
      </c>
      <c r="Z1203" s="8" t="str">
        <f t="shared" si="91"/>
        <v>Medium</v>
      </c>
      <c r="AA1203" s="12">
        <f>DATE(YEAR(Table1[[#This Row],[OrderDate]]),MONTH(Table1[[#This Row],[OrderDate]]),1)</f>
        <v>45717</v>
      </c>
    </row>
    <row r="1204" spans="1:27" x14ac:dyDescent="0.3">
      <c r="A1204" s="3">
        <v>45644</v>
      </c>
      <c r="B1204" t="s">
        <v>7</v>
      </c>
      <c r="C1204" t="s">
        <v>31</v>
      </c>
      <c r="D1204" t="str">
        <f>TRIM(Table1[[#This Row],[Product]])</f>
        <v>Laptop</v>
      </c>
      <c r="E1204" t="str">
        <f>PROPER(Table1[[#This Row],[Column1]])</f>
        <v>Laptop</v>
      </c>
      <c r="F1204" s="8" t="str">
        <f t="shared" si="90"/>
        <v>Technology</v>
      </c>
      <c r="G1204" s="5">
        <v>20</v>
      </c>
      <c r="H1204">
        <v>282.91000000000003</v>
      </c>
      <c r="I1204" t="s">
        <v>64</v>
      </c>
      <c r="J1204" t="s">
        <v>58</v>
      </c>
      <c r="K1204" s="7">
        <v>0.15</v>
      </c>
      <c r="L1204" t="s">
        <v>27</v>
      </c>
      <c r="M1204" s="5">
        <v>4809.47</v>
      </c>
      <c r="N1204" t="s">
        <v>85</v>
      </c>
      <c r="O1204" t="s">
        <v>60</v>
      </c>
      <c r="P1204" s="5">
        <v>0</v>
      </c>
      <c r="Q1204" t="s">
        <v>2399</v>
      </c>
      <c r="R1204" t="s">
        <v>2400</v>
      </c>
      <c r="S1204" s="5">
        <v>8.19</v>
      </c>
      <c r="T1204" s="3">
        <v>45644</v>
      </c>
      <c r="U1204" s="3">
        <v>45654</v>
      </c>
      <c r="V1204" t="s">
        <v>77</v>
      </c>
      <c r="W1204">
        <f t="shared" si="92"/>
        <v>4088.0495000000001</v>
      </c>
      <c r="X1204">
        <f t="shared" si="93"/>
        <v>5658.2000000000007</v>
      </c>
      <c r="Y1204">
        <f t="shared" si="94"/>
        <v>1570.1505000000006</v>
      </c>
      <c r="Z1204" s="8" t="str">
        <f t="shared" si="91"/>
        <v>High</v>
      </c>
      <c r="AA1204" s="12">
        <f>DATE(YEAR(Table1[[#This Row],[OrderDate]]),MONTH(Table1[[#This Row],[OrderDate]]),1)</f>
        <v>45627</v>
      </c>
    </row>
    <row r="1205" spans="1:27" x14ac:dyDescent="0.3">
      <c r="A1205" s="3">
        <v>45663</v>
      </c>
      <c r="B1205" t="s">
        <v>16</v>
      </c>
      <c r="C1205" t="s">
        <v>35</v>
      </c>
      <c r="D1205" t="str">
        <f>TRIM(Table1[[#This Row],[Product]])</f>
        <v>Tablet</v>
      </c>
      <c r="E1205" t="str">
        <f>PROPER(Table1[[#This Row],[Column1]])</f>
        <v>Tablet</v>
      </c>
      <c r="F1205" s="8" t="str">
        <f t="shared" si="90"/>
        <v>Technology</v>
      </c>
      <c r="G1205" s="5">
        <v>17</v>
      </c>
      <c r="H1205">
        <v>129.62</v>
      </c>
      <c r="I1205" t="s">
        <v>81</v>
      </c>
      <c r="J1205" t="s">
        <v>65</v>
      </c>
      <c r="K1205" s="7">
        <v>0.15</v>
      </c>
      <c r="L1205" t="s">
        <v>25</v>
      </c>
      <c r="M1205" s="5">
        <v>1873.009</v>
      </c>
      <c r="N1205" t="s">
        <v>59</v>
      </c>
      <c r="O1205" t="s">
        <v>60</v>
      </c>
      <c r="P1205" s="5">
        <v>0</v>
      </c>
      <c r="Q1205" t="s">
        <v>2401</v>
      </c>
      <c r="R1205" t="s">
        <v>2402</v>
      </c>
      <c r="S1205" s="5">
        <v>24.28</v>
      </c>
      <c r="T1205" s="3">
        <v>45663</v>
      </c>
      <c r="U1205" s="3">
        <v>45665</v>
      </c>
      <c r="V1205" t="s">
        <v>95</v>
      </c>
      <c r="W1205">
        <f t="shared" si="92"/>
        <v>1592.05765</v>
      </c>
      <c r="X1205">
        <f t="shared" si="93"/>
        <v>2203.54</v>
      </c>
      <c r="Y1205">
        <f t="shared" si="94"/>
        <v>611.48235</v>
      </c>
      <c r="Z1205" s="8" t="str">
        <f t="shared" si="91"/>
        <v>High</v>
      </c>
      <c r="AA1205" s="12">
        <f>DATE(YEAR(Table1[[#This Row],[OrderDate]]),MONTH(Table1[[#This Row],[OrderDate]]),1)</f>
        <v>45658</v>
      </c>
    </row>
    <row r="1206" spans="1:27" x14ac:dyDescent="0.3">
      <c r="A1206" s="3">
        <v>45671</v>
      </c>
      <c r="B1206" t="s">
        <v>7</v>
      </c>
      <c r="C1206" t="s">
        <v>32</v>
      </c>
      <c r="D1206" t="str">
        <f>TRIM(Table1[[#This Row],[Product]])</f>
        <v>Monitor</v>
      </c>
      <c r="E1206" t="str">
        <f>PROPER(Table1[[#This Row],[Column1]])</f>
        <v>Monitor</v>
      </c>
      <c r="F1206" s="8" t="str">
        <f t="shared" si="90"/>
        <v>Technology</v>
      </c>
      <c r="G1206" s="5">
        <v>6</v>
      </c>
      <c r="H1206">
        <v>162.35</v>
      </c>
      <c r="I1206" t="s">
        <v>57</v>
      </c>
      <c r="J1206" t="s">
        <v>58</v>
      </c>
      <c r="K1206" s="7">
        <v>0.05</v>
      </c>
      <c r="L1206" t="s">
        <v>25</v>
      </c>
      <c r="M1206" s="5">
        <v>925.39499999999987</v>
      </c>
      <c r="N1206" t="s">
        <v>82</v>
      </c>
      <c r="O1206" t="s">
        <v>67</v>
      </c>
      <c r="P1206" s="5">
        <v>1</v>
      </c>
      <c r="Q1206" t="s">
        <v>2403</v>
      </c>
      <c r="R1206" t="s">
        <v>2404</v>
      </c>
      <c r="S1206" s="5">
        <v>19.18</v>
      </c>
      <c r="T1206" s="3">
        <v>45671</v>
      </c>
      <c r="U1206" s="3">
        <v>45677</v>
      </c>
      <c r="V1206" t="s">
        <v>77</v>
      </c>
      <c r="W1206">
        <f t="shared" si="92"/>
        <v>879.12524999999982</v>
      </c>
      <c r="X1206">
        <f t="shared" si="93"/>
        <v>974.09999999999991</v>
      </c>
      <c r="Y1206">
        <f t="shared" si="94"/>
        <v>94.974750000000085</v>
      </c>
      <c r="Z1206" s="8" t="str">
        <f t="shared" si="91"/>
        <v>Medium</v>
      </c>
      <c r="AA1206" s="12">
        <f>DATE(YEAR(Table1[[#This Row],[OrderDate]]),MONTH(Table1[[#This Row],[OrderDate]]),1)</f>
        <v>45658</v>
      </c>
    </row>
    <row r="1207" spans="1:27" x14ac:dyDescent="0.3">
      <c r="A1207" s="3">
        <v>44952</v>
      </c>
      <c r="B1207" t="s">
        <v>13</v>
      </c>
      <c r="C1207" t="s">
        <v>34</v>
      </c>
      <c r="D1207" t="str">
        <f>TRIM(Table1[[#This Row],[Product]])</f>
        <v>Printer</v>
      </c>
      <c r="E1207" t="str">
        <f>PROPER(Table1[[#This Row],[Column1]])</f>
        <v>Printer</v>
      </c>
      <c r="F1207" s="8" t="str">
        <f t="shared" si="90"/>
        <v>Office Supplies</v>
      </c>
      <c r="G1207" s="5">
        <v>14</v>
      </c>
      <c r="H1207">
        <v>209.82</v>
      </c>
      <c r="I1207" t="s">
        <v>57</v>
      </c>
      <c r="J1207" t="s">
        <v>58</v>
      </c>
      <c r="K1207" s="7">
        <v>0</v>
      </c>
      <c r="L1207" t="s">
        <v>25</v>
      </c>
      <c r="M1207" s="5">
        <v>2937.48</v>
      </c>
      <c r="N1207" t="s">
        <v>88</v>
      </c>
      <c r="O1207" t="s">
        <v>67</v>
      </c>
      <c r="P1207" s="5">
        <v>0</v>
      </c>
      <c r="Q1207" t="s">
        <v>2405</v>
      </c>
      <c r="R1207" t="s">
        <v>2406</v>
      </c>
      <c r="S1207" s="5">
        <v>36.11</v>
      </c>
      <c r="T1207" s="3">
        <v>44952</v>
      </c>
      <c r="U1207" s="3">
        <v>44956</v>
      </c>
      <c r="V1207" t="s">
        <v>70</v>
      </c>
      <c r="W1207">
        <f t="shared" si="92"/>
        <v>2937.48</v>
      </c>
      <c r="X1207">
        <f t="shared" si="93"/>
        <v>2937.48</v>
      </c>
      <c r="Y1207">
        <f t="shared" si="94"/>
        <v>0</v>
      </c>
      <c r="Z1207" s="8" t="str">
        <f t="shared" si="91"/>
        <v>No Discount</v>
      </c>
      <c r="AA1207" s="12">
        <f>DATE(YEAR(Table1[[#This Row],[OrderDate]]),MONTH(Table1[[#This Row],[OrderDate]]),1)</f>
        <v>44927</v>
      </c>
    </row>
    <row r="1208" spans="1:27" x14ac:dyDescent="0.3">
      <c r="A1208" s="3">
        <v>45508</v>
      </c>
      <c r="B1208" t="s">
        <v>11</v>
      </c>
      <c r="C1208" t="s">
        <v>31</v>
      </c>
      <c r="D1208" t="str">
        <f>TRIM(Table1[[#This Row],[Product]])</f>
        <v>Laptop</v>
      </c>
      <c r="E1208" t="str">
        <f>PROPER(Table1[[#This Row],[Column1]])</f>
        <v>Laptop</v>
      </c>
      <c r="F1208" s="8" t="str">
        <f t="shared" si="90"/>
        <v>Technology</v>
      </c>
      <c r="G1208" s="5">
        <v>16</v>
      </c>
      <c r="H1208">
        <v>293.44</v>
      </c>
      <c r="I1208" t="s">
        <v>81</v>
      </c>
      <c r="J1208" t="s">
        <v>58</v>
      </c>
      <c r="K1208" s="7">
        <v>0.05</v>
      </c>
      <c r="L1208" t="s">
        <v>23</v>
      </c>
      <c r="M1208" s="5">
        <v>4460.2879999999996</v>
      </c>
      <c r="N1208" t="s">
        <v>66</v>
      </c>
      <c r="O1208" t="s">
        <v>67</v>
      </c>
      <c r="P1208" s="5">
        <v>0</v>
      </c>
      <c r="Q1208" t="s">
        <v>2407</v>
      </c>
      <c r="R1208" t="s">
        <v>2408</v>
      </c>
      <c r="S1208" s="5">
        <v>42.56</v>
      </c>
      <c r="T1208" s="3">
        <v>45508</v>
      </c>
      <c r="U1208" s="3">
        <v>45518</v>
      </c>
      <c r="V1208" t="s">
        <v>74</v>
      </c>
      <c r="W1208">
        <f t="shared" si="92"/>
        <v>4237.2735999999995</v>
      </c>
      <c r="X1208">
        <f t="shared" si="93"/>
        <v>4695.04</v>
      </c>
      <c r="Y1208">
        <f t="shared" si="94"/>
        <v>457.76640000000043</v>
      </c>
      <c r="Z1208" s="8" t="str">
        <f t="shared" si="91"/>
        <v>Medium</v>
      </c>
      <c r="AA1208" s="12">
        <f>DATE(YEAR(Table1[[#This Row],[OrderDate]]),MONTH(Table1[[#This Row],[OrderDate]]),1)</f>
        <v>45505</v>
      </c>
    </row>
    <row r="1209" spans="1:27" x14ac:dyDescent="0.3">
      <c r="A1209" s="3">
        <v>45335</v>
      </c>
      <c r="B1209" t="s">
        <v>11</v>
      </c>
      <c r="C1209" t="s">
        <v>33</v>
      </c>
      <c r="D1209" t="str">
        <f>TRIM(Table1[[#This Row],[Product]])</f>
        <v>Phone</v>
      </c>
      <c r="E1209" t="str">
        <f>PROPER(Table1[[#This Row],[Column1]])</f>
        <v>Phone</v>
      </c>
      <c r="F1209" s="8" t="str">
        <f t="shared" si="90"/>
        <v>Technology</v>
      </c>
      <c r="G1209" s="5">
        <v>11</v>
      </c>
      <c r="H1209">
        <v>185.52</v>
      </c>
      <c r="I1209" t="s">
        <v>81</v>
      </c>
      <c r="J1209" t="s">
        <v>58</v>
      </c>
      <c r="K1209" s="7">
        <v>0.15</v>
      </c>
      <c r="L1209" t="s">
        <v>23</v>
      </c>
      <c r="M1209" s="5">
        <v>1734.6120000000001</v>
      </c>
      <c r="N1209" t="s">
        <v>82</v>
      </c>
      <c r="O1209" t="s">
        <v>71</v>
      </c>
      <c r="P1209" s="5">
        <v>0</v>
      </c>
      <c r="Q1209" t="s">
        <v>2409</v>
      </c>
      <c r="R1209" t="s">
        <v>2410</v>
      </c>
      <c r="S1209" s="5">
        <v>38.53</v>
      </c>
      <c r="T1209" s="3">
        <v>45335</v>
      </c>
      <c r="U1209" s="3">
        <v>45338</v>
      </c>
      <c r="V1209" t="s">
        <v>74</v>
      </c>
      <c r="W1209">
        <f t="shared" si="92"/>
        <v>1474.4202</v>
      </c>
      <c r="X1209">
        <f t="shared" si="93"/>
        <v>2040.72</v>
      </c>
      <c r="Y1209">
        <f t="shared" si="94"/>
        <v>566.2998</v>
      </c>
      <c r="Z1209" s="8" t="str">
        <f t="shared" si="91"/>
        <v>High</v>
      </c>
      <c r="AA1209" s="12">
        <f>DATE(YEAR(Table1[[#This Row],[OrderDate]]),MONTH(Table1[[#This Row],[OrderDate]]),1)</f>
        <v>45323</v>
      </c>
    </row>
    <row r="1210" spans="1:27" x14ac:dyDescent="0.3">
      <c r="A1210" s="3">
        <v>44968</v>
      </c>
      <c r="B1210" t="s">
        <v>7</v>
      </c>
      <c r="C1210" t="s">
        <v>30</v>
      </c>
      <c r="D1210" t="str">
        <f>TRIM(Table1[[#This Row],[Product]])</f>
        <v>Desk</v>
      </c>
      <c r="E1210" t="str">
        <f>PROPER(Table1[[#This Row],[Column1]])</f>
        <v>Desk</v>
      </c>
      <c r="F1210" s="8" t="str">
        <f t="shared" si="90"/>
        <v>Furniture</v>
      </c>
      <c r="G1210" s="5">
        <v>18</v>
      </c>
      <c r="H1210">
        <v>268.38</v>
      </c>
      <c r="I1210" t="s">
        <v>81</v>
      </c>
      <c r="J1210" t="s">
        <v>58</v>
      </c>
      <c r="K1210" s="7">
        <v>0.15</v>
      </c>
      <c r="L1210" t="s">
        <v>18</v>
      </c>
      <c r="M1210" s="5">
        <v>4106.2139999999999</v>
      </c>
      <c r="N1210" t="s">
        <v>88</v>
      </c>
      <c r="O1210" t="s">
        <v>60</v>
      </c>
      <c r="P1210" s="5">
        <v>0</v>
      </c>
      <c r="Q1210" t="s">
        <v>2411</v>
      </c>
      <c r="R1210" t="s">
        <v>2412</v>
      </c>
      <c r="S1210" s="5">
        <v>48.38</v>
      </c>
      <c r="T1210" s="3">
        <v>44968</v>
      </c>
      <c r="U1210" s="3">
        <v>44971</v>
      </c>
      <c r="V1210" t="s">
        <v>77</v>
      </c>
      <c r="W1210">
        <f t="shared" si="92"/>
        <v>3490.2819</v>
      </c>
      <c r="X1210">
        <f t="shared" si="93"/>
        <v>4830.84</v>
      </c>
      <c r="Y1210">
        <f t="shared" si="94"/>
        <v>1340.5581000000002</v>
      </c>
      <c r="Z1210" s="8" t="str">
        <f t="shared" si="91"/>
        <v>High</v>
      </c>
      <c r="AA1210" s="12">
        <f>DATE(YEAR(Table1[[#This Row],[OrderDate]]),MONTH(Table1[[#This Row],[OrderDate]]),1)</f>
        <v>44958</v>
      </c>
    </row>
    <row r="1211" spans="1:27" x14ac:dyDescent="0.3">
      <c r="A1211" s="3">
        <v>45460</v>
      </c>
      <c r="B1211" t="s">
        <v>9</v>
      </c>
      <c r="C1211" t="s">
        <v>34</v>
      </c>
      <c r="D1211" t="str">
        <f>TRIM(Table1[[#This Row],[Product]])</f>
        <v>Printer</v>
      </c>
      <c r="E1211" t="str">
        <f>PROPER(Table1[[#This Row],[Column1]])</f>
        <v>Printer</v>
      </c>
      <c r="F1211" s="8" t="str">
        <f t="shared" si="90"/>
        <v>Office Supplies</v>
      </c>
      <c r="G1211" s="5">
        <v>18</v>
      </c>
      <c r="H1211">
        <v>547.04999999999995</v>
      </c>
      <c r="I1211" t="s">
        <v>78</v>
      </c>
      <c r="J1211" t="s">
        <v>58</v>
      </c>
      <c r="K1211" s="7">
        <v>0.1</v>
      </c>
      <c r="L1211" t="s">
        <v>21</v>
      </c>
      <c r="M1211" s="5">
        <v>8862.2099999999991</v>
      </c>
      <c r="N1211" t="s">
        <v>88</v>
      </c>
      <c r="O1211" t="s">
        <v>60</v>
      </c>
      <c r="P1211" s="5">
        <v>0</v>
      </c>
      <c r="Q1211" t="s">
        <v>2413</v>
      </c>
      <c r="R1211" t="s">
        <v>2414</v>
      </c>
      <c r="S1211" s="5">
        <v>10.99</v>
      </c>
      <c r="T1211" s="3">
        <v>45460</v>
      </c>
      <c r="U1211" s="3">
        <v>45465</v>
      </c>
      <c r="V1211" t="s">
        <v>63</v>
      </c>
      <c r="W1211">
        <f t="shared" si="92"/>
        <v>7975.9889999999996</v>
      </c>
      <c r="X1211">
        <f t="shared" si="93"/>
        <v>9846.9</v>
      </c>
      <c r="Y1211">
        <f t="shared" si="94"/>
        <v>1870.9110000000001</v>
      </c>
      <c r="Z1211" s="8" t="str">
        <f t="shared" si="91"/>
        <v>Medium</v>
      </c>
      <c r="AA1211" s="12">
        <f>DATE(YEAR(Table1[[#This Row],[OrderDate]]),MONTH(Table1[[#This Row],[OrderDate]]),1)</f>
        <v>45444</v>
      </c>
    </row>
    <row r="1212" spans="1:27" x14ac:dyDescent="0.3">
      <c r="A1212" s="3">
        <v>45449</v>
      </c>
      <c r="B1212" t="s">
        <v>13</v>
      </c>
      <c r="C1212" t="s">
        <v>31</v>
      </c>
      <c r="D1212" t="str">
        <f>TRIM(Table1[[#This Row],[Product]])</f>
        <v>Laptop</v>
      </c>
      <c r="E1212" t="str">
        <f>PROPER(Table1[[#This Row],[Column1]])</f>
        <v>Laptop</v>
      </c>
      <c r="F1212" s="8" t="str">
        <f t="shared" si="90"/>
        <v>Technology</v>
      </c>
      <c r="G1212" s="5">
        <v>1</v>
      </c>
      <c r="H1212">
        <v>354.21</v>
      </c>
      <c r="I1212" t="s">
        <v>64</v>
      </c>
      <c r="J1212" t="s">
        <v>58</v>
      </c>
      <c r="K1212" s="7">
        <v>0.15</v>
      </c>
      <c r="L1212" t="s">
        <v>21</v>
      </c>
      <c r="M1212" s="5">
        <v>301.07850000000002</v>
      </c>
      <c r="N1212" t="s">
        <v>59</v>
      </c>
      <c r="P1212" s="5">
        <v>0</v>
      </c>
      <c r="Q1212" t="s">
        <v>2415</v>
      </c>
      <c r="R1212" t="s">
        <v>2416</v>
      </c>
      <c r="S1212" s="5">
        <v>26.16</v>
      </c>
      <c r="T1212" s="3">
        <v>45449</v>
      </c>
      <c r="U1212" s="3">
        <v>45455</v>
      </c>
      <c r="V1212" t="s">
        <v>70</v>
      </c>
      <c r="W1212">
        <f t="shared" si="92"/>
        <v>255.91672500000001</v>
      </c>
      <c r="X1212">
        <f t="shared" si="93"/>
        <v>354.21</v>
      </c>
      <c r="Y1212">
        <f t="shared" si="94"/>
        <v>98.293274999999966</v>
      </c>
      <c r="Z1212" s="8" t="str">
        <f t="shared" si="91"/>
        <v>High</v>
      </c>
      <c r="AA1212" s="12">
        <f>DATE(YEAR(Table1[[#This Row],[OrderDate]]),MONTH(Table1[[#This Row],[OrderDate]]),1)</f>
        <v>45444</v>
      </c>
    </row>
    <row r="1213" spans="1:27" x14ac:dyDescent="0.3">
      <c r="A1213" s="3">
        <v>45256</v>
      </c>
      <c r="B1213" t="s">
        <v>13</v>
      </c>
      <c r="C1213" t="s">
        <v>29</v>
      </c>
      <c r="D1213" t="str">
        <f>TRIM(Table1[[#This Row],[Product]])</f>
        <v>Chair</v>
      </c>
      <c r="E1213" t="str">
        <f>PROPER(Table1[[#This Row],[Column1]])</f>
        <v>Chair</v>
      </c>
      <c r="F1213" s="8" t="str">
        <f t="shared" si="90"/>
        <v>Furniture</v>
      </c>
      <c r="G1213" s="5">
        <v>18</v>
      </c>
      <c r="H1213">
        <v>250.93</v>
      </c>
      <c r="I1213" t="s">
        <v>78</v>
      </c>
      <c r="J1213" t="s">
        <v>58</v>
      </c>
      <c r="K1213" s="7">
        <v>0.05</v>
      </c>
      <c r="L1213" t="s">
        <v>19</v>
      </c>
      <c r="M1213" s="5">
        <v>4290.9029999999993</v>
      </c>
      <c r="N1213" t="s">
        <v>66</v>
      </c>
      <c r="P1213" s="5">
        <v>0</v>
      </c>
      <c r="Q1213" t="s">
        <v>2417</v>
      </c>
      <c r="R1213" t="s">
        <v>2418</v>
      </c>
      <c r="S1213" s="5">
        <v>47.67</v>
      </c>
      <c r="T1213" s="3">
        <v>45256</v>
      </c>
      <c r="U1213" s="3">
        <v>45262</v>
      </c>
      <c r="V1213" t="s">
        <v>70</v>
      </c>
      <c r="W1213">
        <f t="shared" si="92"/>
        <v>4076.357849999999</v>
      </c>
      <c r="X1213">
        <f t="shared" si="93"/>
        <v>4516.74</v>
      </c>
      <c r="Y1213">
        <f t="shared" si="94"/>
        <v>440.38215000000082</v>
      </c>
      <c r="Z1213" s="8" t="str">
        <f t="shared" si="91"/>
        <v>Medium</v>
      </c>
      <c r="AA1213" s="12">
        <f>DATE(YEAR(Table1[[#This Row],[OrderDate]]),MONTH(Table1[[#This Row],[OrderDate]]),1)</f>
        <v>45231</v>
      </c>
    </row>
    <row r="1214" spans="1:27" x14ac:dyDescent="0.3">
      <c r="A1214" s="3">
        <v>45389</v>
      </c>
      <c r="B1214" t="s">
        <v>16</v>
      </c>
      <c r="C1214" t="s">
        <v>34</v>
      </c>
      <c r="D1214" t="str">
        <f>TRIM(Table1[[#This Row],[Product]])</f>
        <v>Printer</v>
      </c>
      <c r="E1214" t="str">
        <f>PROPER(Table1[[#This Row],[Column1]])</f>
        <v>Printer</v>
      </c>
      <c r="F1214" s="8" t="str">
        <f t="shared" si="90"/>
        <v>Office Supplies</v>
      </c>
      <c r="G1214" s="5">
        <v>18</v>
      </c>
      <c r="H1214">
        <v>587.25</v>
      </c>
      <c r="I1214" t="s">
        <v>78</v>
      </c>
      <c r="J1214" t="s">
        <v>58</v>
      </c>
      <c r="K1214" s="7">
        <v>0.15</v>
      </c>
      <c r="L1214" t="s">
        <v>21</v>
      </c>
      <c r="M1214" s="5">
        <v>8984.9249999999993</v>
      </c>
      <c r="N1214" t="s">
        <v>59</v>
      </c>
      <c r="P1214" s="5">
        <v>0</v>
      </c>
      <c r="Q1214" t="s">
        <v>2419</v>
      </c>
      <c r="R1214" t="s">
        <v>2420</v>
      </c>
      <c r="S1214" s="5">
        <v>42.15</v>
      </c>
      <c r="T1214" s="3">
        <v>45389</v>
      </c>
      <c r="U1214" s="3">
        <v>45391</v>
      </c>
      <c r="V1214" t="s">
        <v>95</v>
      </c>
      <c r="W1214">
        <f t="shared" si="92"/>
        <v>7637.1862499999988</v>
      </c>
      <c r="X1214">
        <f t="shared" si="93"/>
        <v>10570.5</v>
      </c>
      <c r="Y1214">
        <f t="shared" si="94"/>
        <v>2933.3137500000012</v>
      </c>
      <c r="Z1214" s="8" t="str">
        <f t="shared" si="91"/>
        <v>High</v>
      </c>
      <c r="AA1214" s="12">
        <f>DATE(YEAR(Table1[[#This Row],[OrderDate]]),MONTH(Table1[[#This Row],[OrderDate]]),1)</f>
        <v>45383</v>
      </c>
    </row>
    <row r="1215" spans="1:27" x14ac:dyDescent="0.3">
      <c r="A1215" s="3">
        <v>44960</v>
      </c>
      <c r="B1215" t="s">
        <v>16</v>
      </c>
      <c r="C1215" t="s">
        <v>30</v>
      </c>
      <c r="D1215" t="str">
        <f>TRIM(Table1[[#This Row],[Product]])</f>
        <v>Desk</v>
      </c>
      <c r="E1215" t="str">
        <f>PROPER(Table1[[#This Row],[Column1]])</f>
        <v>Desk</v>
      </c>
      <c r="F1215" s="8" t="str">
        <f t="shared" si="90"/>
        <v>Furniture</v>
      </c>
      <c r="G1215" s="5">
        <v>2</v>
      </c>
      <c r="H1215">
        <v>438.06</v>
      </c>
      <c r="I1215" t="s">
        <v>57</v>
      </c>
      <c r="J1215" t="s">
        <v>65</v>
      </c>
      <c r="K1215" s="7">
        <v>0</v>
      </c>
      <c r="L1215" t="s">
        <v>27</v>
      </c>
      <c r="M1215" s="5">
        <v>876.12</v>
      </c>
      <c r="N1215" t="s">
        <v>59</v>
      </c>
      <c r="O1215" t="s">
        <v>60</v>
      </c>
      <c r="P1215" s="5">
        <v>1</v>
      </c>
      <c r="Q1215" t="s">
        <v>2421</v>
      </c>
      <c r="R1215" t="s">
        <v>2422</v>
      </c>
      <c r="S1215" s="5">
        <v>12.9</v>
      </c>
      <c r="T1215" s="3">
        <v>44960</v>
      </c>
      <c r="U1215" s="3">
        <v>44966</v>
      </c>
      <c r="V1215" t="s">
        <v>95</v>
      </c>
      <c r="W1215">
        <f t="shared" si="92"/>
        <v>876.12</v>
      </c>
      <c r="X1215">
        <f t="shared" si="93"/>
        <v>876.12</v>
      </c>
      <c r="Y1215">
        <f t="shared" si="94"/>
        <v>0</v>
      </c>
      <c r="Z1215" s="8" t="str">
        <f t="shared" si="91"/>
        <v>No Discount</v>
      </c>
      <c r="AA1215" s="12">
        <f>DATE(YEAR(Table1[[#This Row],[OrderDate]]),MONTH(Table1[[#This Row],[OrderDate]]),1)</f>
        <v>44958</v>
      </c>
    </row>
    <row r="1216" spans="1:27" x14ac:dyDescent="0.3">
      <c r="A1216" s="3">
        <v>45621</v>
      </c>
      <c r="B1216" t="s">
        <v>9</v>
      </c>
      <c r="C1216" t="s">
        <v>29</v>
      </c>
      <c r="D1216" t="str">
        <f>TRIM(Table1[[#This Row],[Product]])</f>
        <v>Chair</v>
      </c>
      <c r="E1216" t="str">
        <f>PROPER(Table1[[#This Row],[Column1]])</f>
        <v>Chair</v>
      </c>
      <c r="F1216" s="8" t="str">
        <f t="shared" si="90"/>
        <v>Furniture</v>
      </c>
      <c r="G1216" s="5">
        <v>14</v>
      </c>
      <c r="H1216">
        <v>6.1</v>
      </c>
      <c r="I1216" t="s">
        <v>78</v>
      </c>
      <c r="J1216" t="s">
        <v>58</v>
      </c>
      <c r="K1216" s="7">
        <v>0.15</v>
      </c>
      <c r="L1216" t="s">
        <v>21</v>
      </c>
      <c r="M1216" s="5">
        <v>72.589999999999989</v>
      </c>
      <c r="N1216" t="s">
        <v>59</v>
      </c>
      <c r="O1216" t="s">
        <v>60</v>
      </c>
      <c r="P1216" s="5">
        <v>1</v>
      </c>
      <c r="Q1216" t="s">
        <v>2423</v>
      </c>
      <c r="R1216" t="s">
        <v>2424</v>
      </c>
      <c r="S1216" s="5">
        <v>10.18</v>
      </c>
      <c r="T1216" s="3">
        <v>45621</v>
      </c>
      <c r="U1216" s="3">
        <v>45626</v>
      </c>
      <c r="V1216" t="s">
        <v>63</v>
      </c>
      <c r="W1216">
        <f t="shared" si="92"/>
        <v>61.701499999999989</v>
      </c>
      <c r="X1216">
        <f t="shared" si="93"/>
        <v>85.399999999999991</v>
      </c>
      <c r="Y1216">
        <f t="shared" si="94"/>
        <v>23.698500000000003</v>
      </c>
      <c r="Z1216" s="8" t="str">
        <f t="shared" si="91"/>
        <v>High</v>
      </c>
      <c r="AA1216" s="12">
        <f>DATE(YEAR(Table1[[#This Row],[OrderDate]]),MONTH(Table1[[#This Row],[OrderDate]]),1)</f>
        <v>45597</v>
      </c>
    </row>
    <row r="1217" spans="1:27" x14ac:dyDescent="0.3">
      <c r="A1217" s="3">
        <v>45473</v>
      </c>
      <c r="B1217" t="s">
        <v>11</v>
      </c>
      <c r="C1217" t="s">
        <v>31</v>
      </c>
      <c r="D1217" t="str">
        <f>TRIM(Table1[[#This Row],[Product]])</f>
        <v>Laptop</v>
      </c>
      <c r="E1217" t="str">
        <f>PROPER(Table1[[#This Row],[Column1]])</f>
        <v>Laptop</v>
      </c>
      <c r="F1217" s="8" t="str">
        <f t="shared" si="90"/>
        <v>Technology</v>
      </c>
      <c r="G1217" s="5">
        <v>2</v>
      </c>
      <c r="H1217">
        <v>80.14</v>
      </c>
      <c r="I1217" t="s">
        <v>81</v>
      </c>
      <c r="J1217" t="s">
        <v>58</v>
      </c>
      <c r="K1217" s="7">
        <v>0</v>
      </c>
      <c r="L1217" t="s">
        <v>21</v>
      </c>
      <c r="M1217" s="5">
        <v>160.28</v>
      </c>
      <c r="N1217" t="s">
        <v>59</v>
      </c>
      <c r="O1217" t="s">
        <v>60</v>
      </c>
      <c r="P1217" s="5">
        <v>1</v>
      </c>
      <c r="Q1217" t="s">
        <v>2425</v>
      </c>
      <c r="R1217" t="s">
        <v>2426</v>
      </c>
      <c r="S1217" s="5">
        <v>13.41</v>
      </c>
      <c r="T1217" s="3">
        <v>45473</v>
      </c>
      <c r="U1217" s="3">
        <v>45476</v>
      </c>
      <c r="V1217" t="s">
        <v>74</v>
      </c>
      <c r="W1217">
        <f t="shared" si="92"/>
        <v>160.28</v>
      </c>
      <c r="X1217">
        <f t="shared" si="93"/>
        <v>160.28</v>
      </c>
      <c r="Y1217">
        <f t="shared" si="94"/>
        <v>0</v>
      </c>
      <c r="Z1217" s="8" t="str">
        <f t="shared" si="91"/>
        <v>No Discount</v>
      </c>
      <c r="AA1217" s="12">
        <f>DATE(YEAR(Table1[[#This Row],[OrderDate]]),MONTH(Table1[[#This Row],[OrderDate]]),1)</f>
        <v>45444</v>
      </c>
    </row>
    <row r="1218" spans="1:27" x14ac:dyDescent="0.3">
      <c r="A1218" s="3">
        <v>45140</v>
      </c>
      <c r="B1218" t="s">
        <v>13</v>
      </c>
      <c r="C1218" t="s">
        <v>31</v>
      </c>
      <c r="D1218" t="str">
        <f>TRIM(Table1[[#This Row],[Product]])</f>
        <v>Laptop</v>
      </c>
      <c r="E1218" t="str">
        <f>PROPER(Table1[[#This Row],[Column1]])</f>
        <v>Laptop</v>
      </c>
      <c r="F1218" s="8" t="str">
        <f t="shared" ref="F1218:F1281" si="95">IF(OR(E1218="Chair",E1218="Desk"),"Furniture",IF(OR(E1218="Laptop",E1218="Monitor",E1218="Phone",E1218="Tablet"),"Technology",IF(E1218="Printer","Office Supplies","Other")))</f>
        <v>Technology</v>
      </c>
      <c r="G1218" s="5">
        <v>11</v>
      </c>
      <c r="H1218">
        <v>66.97</v>
      </c>
      <c r="I1218" t="s">
        <v>64</v>
      </c>
      <c r="J1218" t="s">
        <v>65</v>
      </c>
      <c r="K1218" s="7">
        <v>0.15</v>
      </c>
      <c r="L1218" t="s">
        <v>19</v>
      </c>
      <c r="M1218" s="5">
        <v>626.16949999999997</v>
      </c>
      <c r="N1218" t="s">
        <v>66</v>
      </c>
      <c r="O1218" t="s">
        <v>60</v>
      </c>
      <c r="P1218" s="5">
        <v>1</v>
      </c>
      <c r="Q1218" t="s">
        <v>2427</v>
      </c>
      <c r="R1218" t="s">
        <v>2428</v>
      </c>
      <c r="S1218" s="5">
        <v>20.350000000000001</v>
      </c>
      <c r="T1218" s="3">
        <v>45140</v>
      </c>
      <c r="U1218" s="3">
        <v>45149</v>
      </c>
      <c r="V1218" t="s">
        <v>70</v>
      </c>
      <c r="W1218">
        <f t="shared" si="92"/>
        <v>532.24407499999995</v>
      </c>
      <c r="X1218">
        <f t="shared" si="93"/>
        <v>736.67</v>
      </c>
      <c r="Y1218">
        <f t="shared" si="94"/>
        <v>204.42592500000001</v>
      </c>
      <c r="Z1218" s="8" t="str">
        <f t="shared" ref="Z1218:Z1281" si="96">IF(K1218=0,"No Discount",IF(K1218&lt;5%,"Low",IF(K1218&lt;15%,"Medium","High")))</f>
        <v>High</v>
      </c>
      <c r="AA1218" s="12">
        <f>DATE(YEAR(Table1[[#This Row],[OrderDate]]),MONTH(Table1[[#This Row],[OrderDate]]),1)</f>
        <v>45139</v>
      </c>
    </row>
    <row r="1219" spans="1:27" x14ac:dyDescent="0.3">
      <c r="A1219" s="3">
        <v>45344</v>
      </c>
      <c r="B1219" t="s">
        <v>13</v>
      </c>
      <c r="C1219" t="s">
        <v>29</v>
      </c>
      <c r="D1219" t="str">
        <f>TRIM(Table1[[#This Row],[Product]])</f>
        <v>Chair</v>
      </c>
      <c r="E1219" t="str">
        <f>PROPER(Table1[[#This Row],[Column1]])</f>
        <v>Chair</v>
      </c>
      <c r="F1219" s="8" t="str">
        <f t="shared" si="95"/>
        <v>Furniture</v>
      </c>
      <c r="G1219" s="5">
        <v>6</v>
      </c>
      <c r="H1219">
        <v>181.34</v>
      </c>
      <c r="I1219" t="s">
        <v>64</v>
      </c>
      <c r="J1219" t="s">
        <v>58</v>
      </c>
      <c r="K1219" s="7">
        <v>0</v>
      </c>
      <c r="L1219" t="s">
        <v>18</v>
      </c>
      <c r="M1219" s="5">
        <v>1088.04</v>
      </c>
      <c r="N1219" t="s">
        <v>88</v>
      </c>
      <c r="O1219" t="s">
        <v>60</v>
      </c>
      <c r="P1219" s="5">
        <v>0</v>
      </c>
      <c r="Q1219" t="s">
        <v>2429</v>
      </c>
      <c r="R1219" t="s">
        <v>2430</v>
      </c>
      <c r="S1219" s="5">
        <v>27.65</v>
      </c>
      <c r="T1219" s="3">
        <v>45344</v>
      </c>
      <c r="U1219" s="3">
        <v>45349</v>
      </c>
      <c r="V1219" t="s">
        <v>70</v>
      </c>
      <c r="W1219">
        <f t="shared" ref="W1219:W1282" si="97">M1219*(1-K1219)</f>
        <v>1088.04</v>
      </c>
      <c r="X1219">
        <f t="shared" ref="X1219:X1282" si="98">G1219*H1219</f>
        <v>1088.04</v>
      </c>
      <c r="Y1219">
        <f t="shared" ref="Y1219:Y1282" si="99">X1219-W1219</f>
        <v>0</v>
      </c>
      <c r="Z1219" s="8" t="str">
        <f t="shared" si="96"/>
        <v>No Discount</v>
      </c>
      <c r="AA1219" s="12">
        <f>DATE(YEAR(Table1[[#This Row],[OrderDate]]),MONTH(Table1[[#This Row],[OrderDate]]),1)</f>
        <v>45323</v>
      </c>
    </row>
    <row r="1220" spans="1:27" x14ac:dyDescent="0.3">
      <c r="A1220" s="3">
        <v>45625</v>
      </c>
      <c r="B1220" t="s">
        <v>11</v>
      </c>
      <c r="C1220" t="s">
        <v>32</v>
      </c>
      <c r="D1220" t="str">
        <f>TRIM(Table1[[#This Row],[Product]])</f>
        <v>Monitor</v>
      </c>
      <c r="E1220" t="str">
        <f>PROPER(Table1[[#This Row],[Column1]])</f>
        <v>Monitor</v>
      </c>
      <c r="F1220" s="8" t="str">
        <f t="shared" si="95"/>
        <v>Technology</v>
      </c>
      <c r="G1220" s="5">
        <v>15</v>
      </c>
      <c r="H1220">
        <v>570</v>
      </c>
      <c r="I1220" t="s">
        <v>81</v>
      </c>
      <c r="J1220" t="s">
        <v>58</v>
      </c>
      <c r="K1220" s="7">
        <v>0.05</v>
      </c>
      <c r="L1220" t="s">
        <v>27</v>
      </c>
      <c r="M1220" s="5">
        <v>8122.5</v>
      </c>
      <c r="N1220" t="s">
        <v>66</v>
      </c>
      <c r="P1220" s="5">
        <v>0</v>
      </c>
      <c r="Q1220" t="s">
        <v>2431</v>
      </c>
      <c r="R1220" t="s">
        <v>2432</v>
      </c>
      <c r="S1220" s="5">
        <v>7.62</v>
      </c>
      <c r="T1220" s="3">
        <v>45625</v>
      </c>
      <c r="U1220" s="3">
        <v>45635</v>
      </c>
      <c r="V1220" t="s">
        <v>74</v>
      </c>
      <c r="W1220">
        <f t="shared" si="97"/>
        <v>7716.375</v>
      </c>
      <c r="X1220">
        <f t="shared" si="98"/>
        <v>8550</v>
      </c>
      <c r="Y1220">
        <f t="shared" si="99"/>
        <v>833.625</v>
      </c>
      <c r="Z1220" s="8" t="str">
        <f t="shared" si="96"/>
        <v>Medium</v>
      </c>
      <c r="AA1220" s="12">
        <f>DATE(YEAR(Table1[[#This Row],[OrderDate]]),MONTH(Table1[[#This Row],[OrderDate]]),1)</f>
        <v>45597</v>
      </c>
    </row>
    <row r="1221" spans="1:27" x14ac:dyDescent="0.3">
      <c r="A1221" s="3">
        <v>45128</v>
      </c>
      <c r="B1221" t="s">
        <v>11</v>
      </c>
      <c r="C1221" t="s">
        <v>32</v>
      </c>
      <c r="D1221" t="str">
        <f>TRIM(Table1[[#This Row],[Product]])</f>
        <v>Monitor</v>
      </c>
      <c r="E1221" t="str">
        <f>PROPER(Table1[[#This Row],[Column1]])</f>
        <v>Monitor</v>
      </c>
      <c r="F1221" s="8" t="str">
        <f t="shared" si="95"/>
        <v>Technology</v>
      </c>
      <c r="G1221" s="5">
        <v>9</v>
      </c>
      <c r="H1221">
        <v>587.79</v>
      </c>
      <c r="I1221" t="s">
        <v>81</v>
      </c>
      <c r="J1221" t="s">
        <v>58</v>
      </c>
      <c r="K1221" s="7">
        <v>0.15</v>
      </c>
      <c r="L1221" t="s">
        <v>19</v>
      </c>
      <c r="M1221" s="5">
        <v>4496.5934999999999</v>
      </c>
      <c r="N1221" t="s">
        <v>59</v>
      </c>
      <c r="P1221" s="5">
        <v>0</v>
      </c>
      <c r="Q1221" t="s">
        <v>2433</v>
      </c>
      <c r="R1221" t="s">
        <v>2434</v>
      </c>
      <c r="S1221" s="5">
        <v>24.64</v>
      </c>
      <c r="T1221" s="3">
        <v>45128</v>
      </c>
      <c r="U1221" s="3">
        <v>45138</v>
      </c>
      <c r="V1221" t="s">
        <v>74</v>
      </c>
      <c r="W1221">
        <f t="shared" si="97"/>
        <v>3822.1044749999996</v>
      </c>
      <c r="X1221">
        <f t="shared" si="98"/>
        <v>5290.11</v>
      </c>
      <c r="Y1221">
        <f t="shared" si="99"/>
        <v>1468.005525</v>
      </c>
      <c r="Z1221" s="8" t="str">
        <f t="shared" si="96"/>
        <v>High</v>
      </c>
      <c r="AA1221" s="12">
        <f>DATE(YEAR(Table1[[#This Row],[OrderDate]]),MONTH(Table1[[#This Row],[OrderDate]]),1)</f>
        <v>45108</v>
      </c>
    </row>
    <row r="1222" spans="1:27" x14ac:dyDescent="0.3">
      <c r="A1222" s="3">
        <v>45030</v>
      </c>
      <c r="B1222" t="s">
        <v>7</v>
      </c>
      <c r="C1222" t="s">
        <v>33</v>
      </c>
      <c r="D1222" t="str">
        <f>TRIM(Table1[[#This Row],[Product]])</f>
        <v>Phone</v>
      </c>
      <c r="E1222" t="str">
        <f>PROPER(Table1[[#This Row],[Column1]])</f>
        <v>Phone</v>
      </c>
      <c r="F1222" s="8" t="str">
        <f t="shared" si="95"/>
        <v>Technology</v>
      </c>
      <c r="G1222" s="5">
        <v>6</v>
      </c>
      <c r="H1222">
        <v>196.31</v>
      </c>
      <c r="I1222" t="s">
        <v>78</v>
      </c>
      <c r="J1222" t="s">
        <v>65</v>
      </c>
      <c r="K1222" s="7">
        <v>0.1</v>
      </c>
      <c r="L1222" t="s">
        <v>21</v>
      </c>
      <c r="M1222" s="5">
        <v>1060.0740000000001</v>
      </c>
      <c r="N1222" t="s">
        <v>59</v>
      </c>
      <c r="O1222" t="s">
        <v>71</v>
      </c>
      <c r="P1222" s="5">
        <v>0</v>
      </c>
      <c r="Q1222" t="s">
        <v>2435</v>
      </c>
      <c r="R1222" t="s">
        <v>2436</v>
      </c>
      <c r="S1222" s="5">
        <v>38.65</v>
      </c>
      <c r="T1222" s="3">
        <v>45030</v>
      </c>
      <c r="U1222" s="3">
        <v>45033</v>
      </c>
      <c r="V1222" t="s">
        <v>77</v>
      </c>
      <c r="W1222">
        <f t="shared" si="97"/>
        <v>954.06660000000011</v>
      </c>
      <c r="X1222">
        <f t="shared" si="98"/>
        <v>1177.8600000000001</v>
      </c>
      <c r="Y1222">
        <f t="shared" si="99"/>
        <v>223.79340000000002</v>
      </c>
      <c r="Z1222" s="8" t="str">
        <f t="shared" si="96"/>
        <v>Medium</v>
      </c>
      <c r="AA1222" s="12">
        <f>DATE(YEAR(Table1[[#This Row],[OrderDate]]),MONTH(Table1[[#This Row],[OrderDate]]),1)</f>
        <v>45017</v>
      </c>
    </row>
    <row r="1223" spans="1:27" x14ac:dyDescent="0.3">
      <c r="A1223" s="3">
        <v>44958</v>
      </c>
      <c r="B1223" t="s">
        <v>11</v>
      </c>
      <c r="C1223" t="s">
        <v>33</v>
      </c>
      <c r="D1223" t="str">
        <f>TRIM(Table1[[#This Row],[Product]])</f>
        <v>Phone</v>
      </c>
      <c r="E1223" t="str">
        <f>PROPER(Table1[[#This Row],[Column1]])</f>
        <v>Phone</v>
      </c>
      <c r="F1223" s="8" t="str">
        <f t="shared" si="95"/>
        <v>Technology</v>
      </c>
      <c r="G1223" s="5">
        <v>8</v>
      </c>
      <c r="H1223">
        <v>430.06</v>
      </c>
      <c r="I1223" t="s">
        <v>57</v>
      </c>
      <c r="J1223" t="s">
        <v>58</v>
      </c>
      <c r="K1223" s="7">
        <v>0.05</v>
      </c>
      <c r="L1223" t="s">
        <v>19</v>
      </c>
      <c r="M1223" s="5">
        <v>3268.4560000000001</v>
      </c>
      <c r="N1223" t="s">
        <v>85</v>
      </c>
      <c r="O1223" t="s">
        <v>67</v>
      </c>
      <c r="P1223" s="5">
        <v>0</v>
      </c>
      <c r="Q1223" t="s">
        <v>2437</v>
      </c>
      <c r="R1223" t="s">
        <v>2438</v>
      </c>
      <c r="S1223" s="5">
        <v>38.450000000000003</v>
      </c>
      <c r="T1223" s="3">
        <v>44958</v>
      </c>
      <c r="U1223" s="3">
        <v>44962</v>
      </c>
      <c r="V1223" t="s">
        <v>74</v>
      </c>
      <c r="W1223">
        <f t="shared" si="97"/>
        <v>3105.0331999999999</v>
      </c>
      <c r="X1223">
        <f t="shared" si="98"/>
        <v>3440.48</v>
      </c>
      <c r="Y1223">
        <f t="shared" si="99"/>
        <v>335.44680000000017</v>
      </c>
      <c r="Z1223" s="8" t="str">
        <f t="shared" si="96"/>
        <v>Medium</v>
      </c>
      <c r="AA1223" s="12">
        <f>DATE(YEAR(Table1[[#This Row],[OrderDate]]),MONTH(Table1[[#This Row],[OrderDate]]),1)</f>
        <v>44958</v>
      </c>
    </row>
    <row r="1224" spans="1:27" x14ac:dyDescent="0.3">
      <c r="A1224" s="3">
        <v>45473</v>
      </c>
      <c r="B1224" t="s">
        <v>9</v>
      </c>
      <c r="C1224" t="s">
        <v>32</v>
      </c>
      <c r="D1224" t="str">
        <f>TRIM(Table1[[#This Row],[Product]])</f>
        <v>Monitor</v>
      </c>
      <c r="E1224" t="str">
        <f>PROPER(Table1[[#This Row],[Column1]])</f>
        <v>Monitor</v>
      </c>
      <c r="F1224" s="8" t="str">
        <f t="shared" si="95"/>
        <v>Technology</v>
      </c>
      <c r="G1224" s="5">
        <v>14</v>
      </c>
      <c r="H1224">
        <v>429.72</v>
      </c>
      <c r="I1224" t="s">
        <v>64</v>
      </c>
      <c r="J1224" t="s">
        <v>65</v>
      </c>
      <c r="K1224" s="7">
        <v>0.1</v>
      </c>
      <c r="L1224" t="s">
        <v>25</v>
      </c>
      <c r="M1224" s="5">
        <v>5414.4719999999998</v>
      </c>
      <c r="N1224" t="s">
        <v>88</v>
      </c>
      <c r="O1224" t="s">
        <v>67</v>
      </c>
      <c r="P1224" s="5">
        <v>0</v>
      </c>
      <c r="Q1224" t="s">
        <v>2439</v>
      </c>
      <c r="R1224" t="s">
        <v>2440</v>
      </c>
      <c r="S1224" s="5">
        <v>45.78</v>
      </c>
      <c r="T1224" s="3">
        <v>45473</v>
      </c>
      <c r="U1224" s="3">
        <v>45478</v>
      </c>
      <c r="V1224" t="s">
        <v>63</v>
      </c>
      <c r="W1224">
        <f t="shared" si="97"/>
        <v>4873.0248000000001</v>
      </c>
      <c r="X1224">
        <f t="shared" si="98"/>
        <v>6016.08</v>
      </c>
      <c r="Y1224">
        <f t="shared" si="99"/>
        <v>1143.0551999999998</v>
      </c>
      <c r="Z1224" s="8" t="str">
        <f t="shared" si="96"/>
        <v>Medium</v>
      </c>
      <c r="AA1224" s="12">
        <f>DATE(YEAR(Table1[[#This Row],[OrderDate]]),MONTH(Table1[[#This Row],[OrderDate]]),1)</f>
        <v>45444</v>
      </c>
    </row>
    <row r="1225" spans="1:27" x14ac:dyDescent="0.3">
      <c r="A1225" s="3">
        <v>45217</v>
      </c>
      <c r="B1225" t="s">
        <v>7</v>
      </c>
      <c r="C1225" t="s">
        <v>33</v>
      </c>
      <c r="D1225" t="str">
        <f>TRIM(Table1[[#This Row],[Product]])</f>
        <v>Phone</v>
      </c>
      <c r="E1225" t="str">
        <f>PROPER(Table1[[#This Row],[Column1]])</f>
        <v>Phone</v>
      </c>
      <c r="F1225" s="8" t="str">
        <f t="shared" si="95"/>
        <v>Technology</v>
      </c>
      <c r="G1225" s="5">
        <v>13</v>
      </c>
      <c r="H1225">
        <v>127.34</v>
      </c>
      <c r="I1225" t="s">
        <v>81</v>
      </c>
      <c r="J1225" t="s">
        <v>58</v>
      </c>
      <c r="K1225" s="7">
        <v>0</v>
      </c>
      <c r="L1225" t="s">
        <v>18</v>
      </c>
      <c r="M1225" s="5">
        <v>1655.42</v>
      </c>
      <c r="N1225" t="s">
        <v>82</v>
      </c>
      <c r="O1225" t="s">
        <v>71</v>
      </c>
      <c r="P1225" s="5">
        <v>0</v>
      </c>
      <c r="Q1225" t="s">
        <v>2441</v>
      </c>
      <c r="R1225" t="s">
        <v>2442</v>
      </c>
      <c r="S1225" s="5">
        <v>6.15</v>
      </c>
      <c r="T1225" s="3">
        <v>45217</v>
      </c>
      <c r="U1225" s="3">
        <v>45220</v>
      </c>
      <c r="V1225" t="s">
        <v>77</v>
      </c>
      <c r="W1225">
        <f t="shared" si="97"/>
        <v>1655.42</v>
      </c>
      <c r="X1225">
        <f t="shared" si="98"/>
        <v>1655.42</v>
      </c>
      <c r="Y1225">
        <f t="shared" si="99"/>
        <v>0</v>
      </c>
      <c r="Z1225" s="8" t="str">
        <f t="shared" si="96"/>
        <v>No Discount</v>
      </c>
      <c r="AA1225" s="12">
        <f>DATE(YEAR(Table1[[#This Row],[OrderDate]]),MONTH(Table1[[#This Row],[OrderDate]]),1)</f>
        <v>45200</v>
      </c>
    </row>
    <row r="1226" spans="1:27" x14ac:dyDescent="0.3">
      <c r="A1226" s="3">
        <v>45477</v>
      </c>
      <c r="B1226" t="s">
        <v>9</v>
      </c>
      <c r="C1226" t="s">
        <v>32</v>
      </c>
      <c r="D1226" t="str">
        <f>TRIM(Table1[[#This Row],[Product]])</f>
        <v>Monitor</v>
      </c>
      <c r="E1226" t="str">
        <f>PROPER(Table1[[#This Row],[Column1]])</f>
        <v>Monitor</v>
      </c>
      <c r="F1226" s="8" t="str">
        <f t="shared" si="95"/>
        <v>Technology</v>
      </c>
      <c r="G1226" s="5">
        <v>6</v>
      </c>
      <c r="H1226">
        <v>421.97</v>
      </c>
      <c r="I1226" t="s">
        <v>57</v>
      </c>
      <c r="J1226" t="s">
        <v>58</v>
      </c>
      <c r="K1226" s="7">
        <v>0.05</v>
      </c>
      <c r="L1226" t="s">
        <v>19</v>
      </c>
      <c r="M1226" s="5">
        <v>2405.2289999999998</v>
      </c>
      <c r="N1226" t="s">
        <v>88</v>
      </c>
      <c r="O1226" t="s">
        <v>71</v>
      </c>
      <c r="P1226" s="5">
        <v>0</v>
      </c>
      <c r="Q1226" t="s">
        <v>2443</v>
      </c>
      <c r="R1226" t="s">
        <v>2444</v>
      </c>
      <c r="S1226" s="5">
        <v>41.31</v>
      </c>
      <c r="T1226" s="3">
        <v>45477</v>
      </c>
      <c r="U1226" s="3">
        <v>45486</v>
      </c>
      <c r="V1226" t="s">
        <v>63</v>
      </c>
      <c r="W1226">
        <f t="shared" si="97"/>
        <v>2284.9675499999998</v>
      </c>
      <c r="X1226">
        <f t="shared" si="98"/>
        <v>2531.8200000000002</v>
      </c>
      <c r="Y1226">
        <f t="shared" si="99"/>
        <v>246.85245000000032</v>
      </c>
      <c r="Z1226" s="8" t="str">
        <f t="shared" si="96"/>
        <v>Medium</v>
      </c>
      <c r="AA1226" s="12">
        <f>DATE(YEAR(Table1[[#This Row],[OrderDate]]),MONTH(Table1[[#This Row],[OrderDate]]),1)</f>
        <v>45474</v>
      </c>
    </row>
    <row r="1227" spans="1:27" x14ac:dyDescent="0.3">
      <c r="A1227" s="3">
        <v>45477</v>
      </c>
      <c r="B1227" t="s">
        <v>9</v>
      </c>
      <c r="C1227" t="s">
        <v>35</v>
      </c>
      <c r="D1227" t="str">
        <f>TRIM(Table1[[#This Row],[Product]])</f>
        <v>Tablet</v>
      </c>
      <c r="E1227" t="str">
        <f>PROPER(Table1[[#This Row],[Column1]])</f>
        <v>Tablet</v>
      </c>
      <c r="F1227" s="8" t="str">
        <f t="shared" si="95"/>
        <v>Technology</v>
      </c>
      <c r="G1227" s="5">
        <v>5</v>
      </c>
      <c r="H1227">
        <v>225.69</v>
      </c>
      <c r="I1227" t="s">
        <v>64</v>
      </c>
      <c r="J1227" t="s">
        <v>58</v>
      </c>
      <c r="K1227" s="7">
        <v>0.15</v>
      </c>
      <c r="L1227" t="s">
        <v>21</v>
      </c>
      <c r="M1227" s="5">
        <v>959.1825</v>
      </c>
      <c r="N1227" t="s">
        <v>66</v>
      </c>
      <c r="O1227" t="s">
        <v>71</v>
      </c>
      <c r="P1227" s="5">
        <v>0</v>
      </c>
      <c r="Q1227" t="s">
        <v>2445</v>
      </c>
      <c r="R1227" t="s">
        <v>2446</v>
      </c>
      <c r="S1227" s="5">
        <v>47.6</v>
      </c>
      <c r="T1227" s="3">
        <v>45477</v>
      </c>
      <c r="U1227" s="3">
        <v>45485</v>
      </c>
      <c r="V1227" t="s">
        <v>63</v>
      </c>
      <c r="W1227">
        <f t="shared" si="97"/>
        <v>815.30512499999998</v>
      </c>
      <c r="X1227">
        <f t="shared" si="98"/>
        <v>1128.45</v>
      </c>
      <c r="Y1227">
        <f t="shared" si="99"/>
        <v>313.14487500000007</v>
      </c>
      <c r="Z1227" s="8" t="str">
        <f t="shared" si="96"/>
        <v>High</v>
      </c>
      <c r="AA1227" s="12">
        <f>DATE(YEAR(Table1[[#This Row],[OrderDate]]),MONTH(Table1[[#This Row],[OrderDate]]),1)</f>
        <v>45474</v>
      </c>
    </row>
    <row r="1228" spans="1:27" x14ac:dyDescent="0.3">
      <c r="A1228" s="3">
        <v>45134</v>
      </c>
      <c r="B1228" t="s">
        <v>11</v>
      </c>
      <c r="C1228" t="s">
        <v>32</v>
      </c>
      <c r="D1228" t="str">
        <f>TRIM(Table1[[#This Row],[Product]])</f>
        <v>Monitor</v>
      </c>
      <c r="E1228" t="str">
        <f>PROPER(Table1[[#This Row],[Column1]])</f>
        <v>Monitor</v>
      </c>
      <c r="F1228" s="8" t="str">
        <f t="shared" si="95"/>
        <v>Technology</v>
      </c>
      <c r="G1228" s="5">
        <v>10</v>
      </c>
      <c r="H1228">
        <v>322.11</v>
      </c>
      <c r="I1228" t="s">
        <v>64</v>
      </c>
      <c r="J1228" t="s">
        <v>65</v>
      </c>
      <c r="K1228" s="7">
        <v>0.15</v>
      </c>
      <c r="L1228" t="s">
        <v>23</v>
      </c>
      <c r="M1228" s="5">
        <v>2737.9349999999999</v>
      </c>
      <c r="N1228" t="s">
        <v>85</v>
      </c>
      <c r="O1228" t="s">
        <v>71</v>
      </c>
      <c r="P1228" s="5">
        <v>0</v>
      </c>
      <c r="Q1228" t="s">
        <v>2447</v>
      </c>
      <c r="R1228" t="s">
        <v>2448</v>
      </c>
      <c r="S1228" s="5">
        <v>28.72</v>
      </c>
      <c r="T1228" s="3">
        <v>45134</v>
      </c>
      <c r="U1228" s="3">
        <v>45140</v>
      </c>
      <c r="V1228" t="s">
        <v>74</v>
      </c>
      <c r="W1228">
        <f t="shared" si="97"/>
        <v>2327.2447499999998</v>
      </c>
      <c r="X1228">
        <f t="shared" si="98"/>
        <v>3221.1000000000004</v>
      </c>
      <c r="Y1228">
        <f t="shared" si="99"/>
        <v>893.85525000000052</v>
      </c>
      <c r="Z1228" s="8" t="str">
        <f t="shared" si="96"/>
        <v>High</v>
      </c>
      <c r="AA1228" s="12">
        <f>DATE(YEAR(Table1[[#This Row],[OrderDate]]),MONTH(Table1[[#This Row],[OrderDate]]),1)</f>
        <v>45108</v>
      </c>
    </row>
    <row r="1229" spans="1:27" x14ac:dyDescent="0.3">
      <c r="A1229" s="3">
        <v>45717</v>
      </c>
      <c r="B1229" t="s">
        <v>16</v>
      </c>
      <c r="C1229" t="s">
        <v>30</v>
      </c>
      <c r="D1229" t="str">
        <f>TRIM(Table1[[#This Row],[Product]])</f>
        <v>Desk</v>
      </c>
      <c r="E1229" t="str">
        <f>PROPER(Table1[[#This Row],[Column1]])</f>
        <v>Desk</v>
      </c>
      <c r="F1229" s="8" t="str">
        <f t="shared" si="95"/>
        <v>Furniture</v>
      </c>
      <c r="G1229" s="5">
        <v>4</v>
      </c>
      <c r="H1229">
        <v>209.3</v>
      </c>
      <c r="I1229" t="s">
        <v>57</v>
      </c>
      <c r="J1229" t="s">
        <v>65</v>
      </c>
      <c r="K1229" s="7">
        <v>0.05</v>
      </c>
      <c r="L1229" t="s">
        <v>18</v>
      </c>
      <c r="M1229" s="5">
        <v>795.34</v>
      </c>
      <c r="N1229" t="s">
        <v>66</v>
      </c>
      <c r="P1229" s="5">
        <v>0</v>
      </c>
      <c r="Q1229" t="s">
        <v>2449</v>
      </c>
      <c r="R1229" t="s">
        <v>2450</v>
      </c>
      <c r="S1229" s="5">
        <v>6.89</v>
      </c>
      <c r="T1229" s="3">
        <v>45717</v>
      </c>
      <c r="U1229" s="3">
        <v>45722</v>
      </c>
      <c r="V1229" t="s">
        <v>95</v>
      </c>
      <c r="W1229">
        <f t="shared" si="97"/>
        <v>755.57299999999998</v>
      </c>
      <c r="X1229">
        <f t="shared" si="98"/>
        <v>837.2</v>
      </c>
      <c r="Y1229">
        <f t="shared" si="99"/>
        <v>81.627000000000066</v>
      </c>
      <c r="Z1229" s="8" t="str">
        <f t="shared" si="96"/>
        <v>Medium</v>
      </c>
      <c r="AA1229" s="12">
        <f>DATE(YEAR(Table1[[#This Row],[OrderDate]]),MONTH(Table1[[#This Row],[OrderDate]]),1)</f>
        <v>45717</v>
      </c>
    </row>
    <row r="1230" spans="1:27" x14ac:dyDescent="0.3">
      <c r="A1230" s="3">
        <v>44980</v>
      </c>
      <c r="B1230" t="s">
        <v>7</v>
      </c>
      <c r="C1230" t="s">
        <v>30</v>
      </c>
      <c r="D1230" t="str">
        <f>TRIM(Table1[[#This Row],[Product]])</f>
        <v>Desk</v>
      </c>
      <c r="E1230" t="str">
        <f>PROPER(Table1[[#This Row],[Column1]])</f>
        <v>Desk</v>
      </c>
      <c r="F1230" s="8" t="str">
        <f t="shared" si="95"/>
        <v>Furniture</v>
      </c>
      <c r="G1230" s="5">
        <v>16</v>
      </c>
      <c r="H1230">
        <v>326.16000000000003</v>
      </c>
      <c r="I1230" t="s">
        <v>78</v>
      </c>
      <c r="J1230" t="s">
        <v>58</v>
      </c>
      <c r="K1230" s="7">
        <v>0.1</v>
      </c>
      <c r="L1230" t="s">
        <v>27</v>
      </c>
      <c r="M1230" s="5">
        <v>4696.7040000000006</v>
      </c>
      <c r="N1230" t="s">
        <v>82</v>
      </c>
      <c r="P1230" s="5">
        <v>0</v>
      </c>
      <c r="Q1230" t="s">
        <v>2451</v>
      </c>
      <c r="R1230" t="s">
        <v>2452</v>
      </c>
      <c r="S1230" s="5">
        <v>44.3</v>
      </c>
      <c r="T1230" s="3">
        <v>44980</v>
      </c>
      <c r="U1230" s="3">
        <v>44982</v>
      </c>
      <c r="V1230" t="s">
        <v>77</v>
      </c>
      <c r="W1230">
        <f t="shared" si="97"/>
        <v>4227.0336000000007</v>
      </c>
      <c r="X1230">
        <f t="shared" si="98"/>
        <v>5218.5600000000004</v>
      </c>
      <c r="Y1230">
        <f t="shared" si="99"/>
        <v>991.52639999999974</v>
      </c>
      <c r="Z1230" s="8" t="str">
        <f t="shared" si="96"/>
        <v>Medium</v>
      </c>
      <c r="AA1230" s="12">
        <f>DATE(YEAR(Table1[[#This Row],[OrderDate]]),MONTH(Table1[[#This Row],[OrderDate]]),1)</f>
        <v>44958</v>
      </c>
    </row>
    <row r="1231" spans="1:27" x14ac:dyDescent="0.3">
      <c r="A1231" s="3">
        <v>44937</v>
      </c>
      <c r="B1231" t="s">
        <v>9</v>
      </c>
      <c r="C1231" t="s">
        <v>32</v>
      </c>
      <c r="D1231" t="str">
        <f>TRIM(Table1[[#This Row],[Product]])</f>
        <v>Monitor</v>
      </c>
      <c r="E1231" t="str">
        <f>PROPER(Table1[[#This Row],[Column1]])</f>
        <v>Monitor</v>
      </c>
      <c r="F1231" s="8" t="str">
        <f t="shared" si="95"/>
        <v>Technology</v>
      </c>
      <c r="G1231" s="5">
        <v>13</v>
      </c>
      <c r="H1231">
        <v>515.41999999999996</v>
      </c>
      <c r="I1231" t="s">
        <v>81</v>
      </c>
      <c r="J1231" t="s">
        <v>65</v>
      </c>
      <c r="K1231" s="7">
        <v>0</v>
      </c>
      <c r="L1231" t="s">
        <v>19</v>
      </c>
      <c r="M1231" s="5">
        <v>6700.4599999999991</v>
      </c>
      <c r="N1231" t="s">
        <v>59</v>
      </c>
      <c r="O1231" t="s">
        <v>60</v>
      </c>
      <c r="P1231" s="5">
        <v>0</v>
      </c>
      <c r="Q1231" t="s">
        <v>2453</v>
      </c>
      <c r="R1231" t="s">
        <v>2454</v>
      </c>
      <c r="S1231" s="5">
        <v>43.37</v>
      </c>
      <c r="T1231" s="3">
        <v>44937</v>
      </c>
      <c r="U1231" s="3">
        <v>44946</v>
      </c>
      <c r="V1231" t="s">
        <v>63</v>
      </c>
      <c r="W1231">
        <f t="shared" si="97"/>
        <v>6700.4599999999991</v>
      </c>
      <c r="X1231">
        <f t="shared" si="98"/>
        <v>6700.4599999999991</v>
      </c>
      <c r="Y1231">
        <f t="shared" si="99"/>
        <v>0</v>
      </c>
      <c r="Z1231" s="8" t="str">
        <f t="shared" si="96"/>
        <v>No Discount</v>
      </c>
      <c r="AA1231" s="12">
        <f>DATE(YEAR(Table1[[#This Row],[OrderDate]]),MONTH(Table1[[#This Row],[OrderDate]]),1)</f>
        <v>44927</v>
      </c>
    </row>
    <row r="1232" spans="1:27" x14ac:dyDescent="0.3">
      <c r="A1232" s="3">
        <v>45398</v>
      </c>
      <c r="B1232" t="s">
        <v>16</v>
      </c>
      <c r="C1232" t="s">
        <v>35</v>
      </c>
      <c r="D1232" t="str">
        <f>TRIM(Table1[[#This Row],[Product]])</f>
        <v>Tablet</v>
      </c>
      <c r="E1232" t="str">
        <f>PROPER(Table1[[#This Row],[Column1]])</f>
        <v>Tablet</v>
      </c>
      <c r="F1232" s="8" t="str">
        <f t="shared" si="95"/>
        <v>Technology</v>
      </c>
      <c r="G1232" s="5">
        <v>7</v>
      </c>
      <c r="H1232">
        <v>129.83000000000001</v>
      </c>
      <c r="I1232" t="s">
        <v>64</v>
      </c>
      <c r="J1232" t="s">
        <v>58</v>
      </c>
      <c r="K1232" s="7">
        <v>0</v>
      </c>
      <c r="L1232" t="s">
        <v>21</v>
      </c>
      <c r="M1232" s="5">
        <v>908.81000000000006</v>
      </c>
      <c r="N1232" t="s">
        <v>66</v>
      </c>
      <c r="O1232" t="s">
        <v>71</v>
      </c>
      <c r="P1232" s="5">
        <v>0</v>
      </c>
      <c r="Q1232" t="s">
        <v>2455</v>
      </c>
      <c r="R1232" t="s">
        <v>2456</v>
      </c>
      <c r="S1232" s="5">
        <v>13.12</v>
      </c>
      <c r="T1232" s="3">
        <v>45398</v>
      </c>
      <c r="U1232" s="3">
        <v>45402</v>
      </c>
      <c r="V1232" t="s">
        <v>95</v>
      </c>
      <c r="W1232">
        <f t="shared" si="97"/>
        <v>908.81000000000006</v>
      </c>
      <c r="X1232">
        <f t="shared" si="98"/>
        <v>908.81000000000006</v>
      </c>
      <c r="Y1232">
        <f t="shared" si="99"/>
        <v>0</v>
      </c>
      <c r="Z1232" s="8" t="str">
        <f t="shared" si="96"/>
        <v>No Discount</v>
      </c>
      <c r="AA1232" s="12">
        <f>DATE(YEAR(Table1[[#This Row],[OrderDate]]),MONTH(Table1[[#This Row],[OrderDate]]),1)</f>
        <v>45383</v>
      </c>
    </row>
    <row r="1233" spans="1:27" x14ac:dyDescent="0.3">
      <c r="A1233" s="3">
        <v>45360</v>
      </c>
      <c r="B1233" t="s">
        <v>7</v>
      </c>
      <c r="C1233" t="s">
        <v>32</v>
      </c>
      <c r="D1233" t="str">
        <f>TRIM(Table1[[#This Row],[Product]])</f>
        <v>Monitor</v>
      </c>
      <c r="E1233" t="str">
        <f>PROPER(Table1[[#This Row],[Column1]])</f>
        <v>Monitor</v>
      </c>
      <c r="F1233" s="8" t="str">
        <f t="shared" si="95"/>
        <v>Technology</v>
      </c>
      <c r="G1233" s="5">
        <v>17</v>
      </c>
      <c r="H1233">
        <v>376.15</v>
      </c>
      <c r="I1233" t="s">
        <v>78</v>
      </c>
      <c r="J1233" t="s">
        <v>65</v>
      </c>
      <c r="K1233" s="7">
        <v>0.05</v>
      </c>
      <c r="L1233" t="s">
        <v>23</v>
      </c>
      <c r="M1233" s="5">
        <v>6074.8224999999993</v>
      </c>
      <c r="N1233" t="s">
        <v>66</v>
      </c>
      <c r="O1233" t="s">
        <v>71</v>
      </c>
      <c r="P1233" s="5">
        <v>1</v>
      </c>
      <c r="Q1233" t="s">
        <v>2457</v>
      </c>
      <c r="R1233" t="s">
        <v>2458</v>
      </c>
      <c r="S1233" s="5">
        <v>31.96</v>
      </c>
      <c r="T1233" s="3">
        <v>45360</v>
      </c>
      <c r="U1233" s="3">
        <v>45363</v>
      </c>
      <c r="V1233" t="s">
        <v>77</v>
      </c>
      <c r="W1233">
        <f t="shared" si="97"/>
        <v>5771.0813749999988</v>
      </c>
      <c r="X1233">
        <f t="shared" si="98"/>
        <v>6394.5499999999993</v>
      </c>
      <c r="Y1233">
        <f t="shared" si="99"/>
        <v>623.46862500000043</v>
      </c>
      <c r="Z1233" s="8" t="str">
        <f t="shared" si="96"/>
        <v>Medium</v>
      </c>
      <c r="AA1233" s="12">
        <f>DATE(YEAR(Table1[[#This Row],[OrderDate]]),MONTH(Table1[[#This Row],[OrderDate]]),1)</f>
        <v>45352</v>
      </c>
    </row>
    <row r="1234" spans="1:27" x14ac:dyDescent="0.3">
      <c r="A1234" s="3">
        <v>45572</v>
      </c>
      <c r="B1234" t="s">
        <v>13</v>
      </c>
      <c r="C1234" t="s">
        <v>29</v>
      </c>
      <c r="D1234" t="str">
        <f>TRIM(Table1[[#This Row],[Product]])</f>
        <v>Chair</v>
      </c>
      <c r="E1234" t="str">
        <f>PROPER(Table1[[#This Row],[Column1]])</f>
        <v>Chair</v>
      </c>
      <c r="F1234" s="8" t="str">
        <f t="shared" si="95"/>
        <v>Furniture</v>
      </c>
      <c r="G1234" s="5">
        <v>8</v>
      </c>
      <c r="H1234">
        <v>385.46</v>
      </c>
      <c r="I1234" t="s">
        <v>64</v>
      </c>
      <c r="J1234" t="s">
        <v>58</v>
      </c>
      <c r="K1234" s="7">
        <v>0</v>
      </c>
      <c r="L1234" t="s">
        <v>19</v>
      </c>
      <c r="M1234" s="5">
        <v>3083.68</v>
      </c>
      <c r="N1234" t="s">
        <v>88</v>
      </c>
      <c r="O1234" t="s">
        <v>67</v>
      </c>
      <c r="P1234" s="5">
        <v>0</v>
      </c>
      <c r="Q1234" t="s">
        <v>2459</v>
      </c>
      <c r="R1234" t="s">
        <v>2460</v>
      </c>
      <c r="S1234" s="5">
        <v>8.89</v>
      </c>
      <c r="T1234" s="3">
        <v>45572</v>
      </c>
      <c r="U1234" s="3">
        <v>45576</v>
      </c>
      <c r="V1234" t="s">
        <v>70</v>
      </c>
      <c r="W1234">
        <f t="shared" si="97"/>
        <v>3083.68</v>
      </c>
      <c r="X1234">
        <f t="shared" si="98"/>
        <v>3083.68</v>
      </c>
      <c r="Y1234">
        <f t="shared" si="99"/>
        <v>0</v>
      </c>
      <c r="Z1234" s="8" t="str">
        <f t="shared" si="96"/>
        <v>No Discount</v>
      </c>
      <c r="AA1234" s="12">
        <f>DATE(YEAR(Table1[[#This Row],[OrderDate]]),MONTH(Table1[[#This Row],[OrderDate]]),1)</f>
        <v>45566</v>
      </c>
    </row>
    <row r="1235" spans="1:27" x14ac:dyDescent="0.3">
      <c r="A1235" s="3">
        <v>45205</v>
      </c>
      <c r="B1235" t="s">
        <v>16</v>
      </c>
      <c r="C1235" t="s">
        <v>34</v>
      </c>
      <c r="D1235" t="str">
        <f>TRIM(Table1[[#This Row],[Product]])</f>
        <v>Printer</v>
      </c>
      <c r="E1235" t="str">
        <f>PROPER(Table1[[#This Row],[Column1]])</f>
        <v>Printer</v>
      </c>
      <c r="F1235" s="8" t="str">
        <f t="shared" si="95"/>
        <v>Office Supplies</v>
      </c>
      <c r="G1235" s="5">
        <v>2</v>
      </c>
      <c r="H1235">
        <v>474.13</v>
      </c>
      <c r="I1235" t="s">
        <v>81</v>
      </c>
      <c r="J1235" t="s">
        <v>58</v>
      </c>
      <c r="K1235" s="7">
        <v>0</v>
      </c>
      <c r="L1235" t="s">
        <v>21</v>
      </c>
      <c r="M1235" s="5">
        <v>948.26</v>
      </c>
      <c r="N1235" t="s">
        <v>66</v>
      </c>
      <c r="O1235" t="s">
        <v>60</v>
      </c>
      <c r="P1235" s="5">
        <v>1</v>
      </c>
      <c r="Q1235" t="s">
        <v>2461</v>
      </c>
      <c r="R1235" t="s">
        <v>2462</v>
      </c>
      <c r="S1235" s="5">
        <v>14.41</v>
      </c>
      <c r="T1235" s="3">
        <v>45205</v>
      </c>
      <c r="U1235" s="3">
        <v>45214</v>
      </c>
      <c r="V1235" t="s">
        <v>95</v>
      </c>
      <c r="W1235">
        <f t="shared" si="97"/>
        <v>948.26</v>
      </c>
      <c r="X1235">
        <f t="shared" si="98"/>
        <v>948.26</v>
      </c>
      <c r="Y1235">
        <f t="shared" si="99"/>
        <v>0</v>
      </c>
      <c r="Z1235" s="8" t="str">
        <f t="shared" si="96"/>
        <v>No Discount</v>
      </c>
      <c r="AA1235" s="12">
        <f>DATE(YEAR(Table1[[#This Row],[OrderDate]]),MONTH(Table1[[#This Row],[OrderDate]]),1)</f>
        <v>45200</v>
      </c>
    </row>
    <row r="1236" spans="1:27" x14ac:dyDescent="0.3">
      <c r="A1236" s="3">
        <v>45024</v>
      </c>
      <c r="B1236" t="s">
        <v>16</v>
      </c>
      <c r="C1236" t="s">
        <v>32</v>
      </c>
      <c r="D1236" t="str">
        <f>TRIM(Table1[[#This Row],[Product]])</f>
        <v>Monitor</v>
      </c>
      <c r="E1236" t="str">
        <f>PROPER(Table1[[#This Row],[Column1]])</f>
        <v>Monitor</v>
      </c>
      <c r="F1236" s="8" t="str">
        <f t="shared" si="95"/>
        <v>Technology</v>
      </c>
      <c r="G1236" s="5">
        <v>15</v>
      </c>
      <c r="H1236">
        <v>506.17</v>
      </c>
      <c r="I1236" t="s">
        <v>57</v>
      </c>
      <c r="J1236" t="s">
        <v>58</v>
      </c>
      <c r="K1236" s="7">
        <v>0.05</v>
      </c>
      <c r="L1236" t="s">
        <v>18</v>
      </c>
      <c r="M1236" s="5">
        <v>7212.9224999999997</v>
      </c>
      <c r="N1236" t="s">
        <v>59</v>
      </c>
      <c r="P1236" s="5">
        <v>0</v>
      </c>
      <c r="Q1236" t="s">
        <v>2463</v>
      </c>
      <c r="R1236" t="s">
        <v>2464</v>
      </c>
      <c r="S1236" s="5">
        <v>41.73</v>
      </c>
      <c r="T1236" s="3">
        <v>45024</v>
      </c>
      <c r="U1236" s="3">
        <v>45029</v>
      </c>
      <c r="V1236" t="s">
        <v>95</v>
      </c>
      <c r="W1236">
        <f t="shared" si="97"/>
        <v>6852.2763749999995</v>
      </c>
      <c r="X1236">
        <f t="shared" si="98"/>
        <v>7592.55</v>
      </c>
      <c r="Y1236">
        <f t="shared" si="99"/>
        <v>740.27362500000072</v>
      </c>
      <c r="Z1236" s="8" t="str">
        <f t="shared" si="96"/>
        <v>Medium</v>
      </c>
      <c r="AA1236" s="12">
        <f>DATE(YEAR(Table1[[#This Row],[OrderDate]]),MONTH(Table1[[#This Row],[OrderDate]]),1)</f>
        <v>45017</v>
      </c>
    </row>
    <row r="1237" spans="1:27" x14ac:dyDescent="0.3">
      <c r="A1237" s="3">
        <v>45342</v>
      </c>
      <c r="B1237" t="s">
        <v>13</v>
      </c>
      <c r="C1237" t="s">
        <v>33</v>
      </c>
      <c r="D1237" t="str">
        <f>TRIM(Table1[[#This Row],[Product]])</f>
        <v>Phone</v>
      </c>
      <c r="E1237" t="str">
        <f>PROPER(Table1[[#This Row],[Column1]])</f>
        <v>Phone</v>
      </c>
      <c r="F1237" s="8" t="str">
        <f t="shared" si="95"/>
        <v>Technology</v>
      </c>
      <c r="G1237" s="5">
        <v>1</v>
      </c>
      <c r="H1237">
        <v>67.38</v>
      </c>
      <c r="I1237" t="s">
        <v>81</v>
      </c>
      <c r="J1237" t="s">
        <v>65</v>
      </c>
      <c r="K1237" s="7">
        <v>0.15</v>
      </c>
      <c r="L1237" t="s">
        <v>18</v>
      </c>
      <c r="M1237" s="5">
        <v>57.273000000000003</v>
      </c>
      <c r="N1237" t="s">
        <v>82</v>
      </c>
      <c r="O1237" t="s">
        <v>71</v>
      </c>
      <c r="P1237" s="5">
        <v>0</v>
      </c>
      <c r="Q1237" t="s">
        <v>2465</v>
      </c>
      <c r="R1237" t="s">
        <v>2466</v>
      </c>
      <c r="S1237" s="5">
        <v>6.14</v>
      </c>
      <c r="T1237" s="3">
        <v>45342</v>
      </c>
      <c r="U1237" s="3">
        <v>45349</v>
      </c>
      <c r="V1237" t="s">
        <v>70</v>
      </c>
      <c r="W1237">
        <f t="shared" si="97"/>
        <v>48.682050000000004</v>
      </c>
      <c r="X1237">
        <f t="shared" si="98"/>
        <v>67.38</v>
      </c>
      <c r="Y1237">
        <f t="shared" si="99"/>
        <v>18.697949999999992</v>
      </c>
      <c r="Z1237" s="8" t="str">
        <f t="shared" si="96"/>
        <v>High</v>
      </c>
      <c r="AA1237" s="12">
        <f>DATE(YEAR(Table1[[#This Row],[OrderDate]]),MONTH(Table1[[#This Row],[OrderDate]]),1)</f>
        <v>45323</v>
      </c>
    </row>
    <row r="1238" spans="1:27" x14ac:dyDescent="0.3">
      <c r="A1238" s="3">
        <v>44956</v>
      </c>
      <c r="B1238" t="s">
        <v>16</v>
      </c>
      <c r="C1238" t="s">
        <v>29</v>
      </c>
      <c r="D1238" t="str">
        <f>TRIM(Table1[[#This Row],[Product]])</f>
        <v>Chair</v>
      </c>
      <c r="E1238" t="str">
        <f>PROPER(Table1[[#This Row],[Column1]])</f>
        <v>Chair</v>
      </c>
      <c r="F1238" s="8" t="str">
        <f t="shared" si="95"/>
        <v>Furniture</v>
      </c>
      <c r="G1238" s="5">
        <v>15</v>
      </c>
      <c r="H1238">
        <v>274.3</v>
      </c>
      <c r="I1238" t="s">
        <v>57</v>
      </c>
      <c r="J1238" t="s">
        <v>65</v>
      </c>
      <c r="K1238" s="7">
        <v>0.15</v>
      </c>
      <c r="L1238" t="s">
        <v>27</v>
      </c>
      <c r="M1238" s="5">
        <v>3497.3249999999998</v>
      </c>
      <c r="N1238" t="s">
        <v>82</v>
      </c>
      <c r="P1238" s="5">
        <v>0</v>
      </c>
      <c r="Q1238" t="s">
        <v>2467</v>
      </c>
      <c r="R1238" t="s">
        <v>2468</v>
      </c>
      <c r="S1238" s="5">
        <v>21.56</v>
      </c>
      <c r="T1238" s="3">
        <v>44956</v>
      </c>
      <c r="U1238" s="3">
        <v>44965</v>
      </c>
      <c r="V1238" t="s">
        <v>95</v>
      </c>
      <c r="W1238">
        <f t="shared" si="97"/>
        <v>2972.7262499999997</v>
      </c>
      <c r="X1238">
        <f t="shared" si="98"/>
        <v>4114.5</v>
      </c>
      <c r="Y1238">
        <f t="shared" si="99"/>
        <v>1141.7737500000003</v>
      </c>
      <c r="Z1238" s="8" t="str">
        <f t="shared" si="96"/>
        <v>High</v>
      </c>
      <c r="AA1238" s="12">
        <f>DATE(YEAR(Table1[[#This Row],[OrderDate]]),MONTH(Table1[[#This Row],[OrderDate]]),1)</f>
        <v>44927</v>
      </c>
    </row>
    <row r="1239" spans="1:27" x14ac:dyDescent="0.3">
      <c r="A1239" s="3">
        <v>45058</v>
      </c>
      <c r="B1239" t="s">
        <v>13</v>
      </c>
      <c r="C1239" t="s">
        <v>32</v>
      </c>
      <c r="D1239" t="str">
        <f>TRIM(Table1[[#This Row],[Product]])</f>
        <v>Monitor</v>
      </c>
      <c r="E1239" t="str">
        <f>PROPER(Table1[[#This Row],[Column1]])</f>
        <v>Monitor</v>
      </c>
      <c r="F1239" s="8" t="str">
        <f t="shared" si="95"/>
        <v>Technology</v>
      </c>
      <c r="G1239" s="5">
        <v>2</v>
      </c>
      <c r="H1239">
        <v>334.48</v>
      </c>
      <c r="I1239" t="s">
        <v>57</v>
      </c>
      <c r="J1239" t="s">
        <v>58</v>
      </c>
      <c r="K1239" s="7">
        <v>0</v>
      </c>
      <c r="L1239" t="s">
        <v>18</v>
      </c>
      <c r="M1239" s="5">
        <v>668.96</v>
      </c>
      <c r="N1239" t="s">
        <v>85</v>
      </c>
      <c r="P1239" s="5">
        <v>0</v>
      </c>
      <c r="Q1239" t="s">
        <v>2469</v>
      </c>
      <c r="R1239" t="s">
        <v>2470</v>
      </c>
      <c r="S1239" s="5">
        <v>31.53</v>
      </c>
      <c r="T1239" s="3">
        <v>45058</v>
      </c>
      <c r="U1239" s="3">
        <v>45066</v>
      </c>
      <c r="V1239" t="s">
        <v>70</v>
      </c>
      <c r="W1239">
        <f t="shared" si="97"/>
        <v>668.96</v>
      </c>
      <c r="X1239">
        <f t="shared" si="98"/>
        <v>668.96</v>
      </c>
      <c r="Y1239">
        <f t="shared" si="99"/>
        <v>0</v>
      </c>
      <c r="Z1239" s="8" t="str">
        <f t="shared" si="96"/>
        <v>No Discount</v>
      </c>
      <c r="AA1239" s="12">
        <f>DATE(YEAR(Table1[[#This Row],[OrderDate]]),MONTH(Table1[[#This Row],[OrderDate]]),1)</f>
        <v>45047</v>
      </c>
    </row>
    <row r="1240" spans="1:27" x14ac:dyDescent="0.3">
      <c r="A1240" s="3">
        <v>45299</v>
      </c>
      <c r="B1240" t="s">
        <v>13</v>
      </c>
      <c r="C1240" t="s">
        <v>29</v>
      </c>
      <c r="D1240" t="str">
        <f>TRIM(Table1[[#This Row],[Product]])</f>
        <v>Chair</v>
      </c>
      <c r="E1240" t="str">
        <f>PROPER(Table1[[#This Row],[Column1]])</f>
        <v>Chair</v>
      </c>
      <c r="F1240" s="8" t="str">
        <f t="shared" si="95"/>
        <v>Furniture</v>
      </c>
      <c r="G1240" s="5">
        <v>7</v>
      </c>
      <c r="H1240">
        <v>562.6</v>
      </c>
      <c r="I1240" t="s">
        <v>64</v>
      </c>
      <c r="J1240" t="s">
        <v>65</v>
      </c>
      <c r="K1240" s="7">
        <v>0.15</v>
      </c>
      <c r="L1240" t="s">
        <v>25</v>
      </c>
      <c r="M1240" s="5">
        <v>3347.47</v>
      </c>
      <c r="N1240" t="s">
        <v>59</v>
      </c>
      <c r="O1240" t="s">
        <v>71</v>
      </c>
      <c r="P1240" s="5">
        <v>0</v>
      </c>
      <c r="Q1240" t="s">
        <v>2471</v>
      </c>
      <c r="R1240" t="s">
        <v>2472</v>
      </c>
      <c r="S1240" s="5">
        <v>19.95</v>
      </c>
      <c r="T1240" s="3">
        <v>45299</v>
      </c>
      <c r="U1240" s="3">
        <v>45303</v>
      </c>
      <c r="V1240" t="s">
        <v>70</v>
      </c>
      <c r="W1240">
        <f t="shared" si="97"/>
        <v>2845.3494999999998</v>
      </c>
      <c r="X1240">
        <f t="shared" si="98"/>
        <v>3938.2000000000003</v>
      </c>
      <c r="Y1240">
        <f t="shared" si="99"/>
        <v>1092.8505000000005</v>
      </c>
      <c r="Z1240" s="8" t="str">
        <f t="shared" si="96"/>
        <v>High</v>
      </c>
      <c r="AA1240" s="12">
        <f>DATE(YEAR(Table1[[#This Row],[OrderDate]]),MONTH(Table1[[#This Row],[OrderDate]]),1)</f>
        <v>45292</v>
      </c>
    </row>
    <row r="1241" spans="1:27" x14ac:dyDescent="0.3">
      <c r="A1241" s="3">
        <v>45448</v>
      </c>
      <c r="B1241" t="s">
        <v>11</v>
      </c>
      <c r="C1241" t="s">
        <v>32</v>
      </c>
      <c r="D1241" t="str">
        <f>TRIM(Table1[[#This Row],[Product]])</f>
        <v>Monitor</v>
      </c>
      <c r="E1241" t="str">
        <f>PROPER(Table1[[#This Row],[Column1]])</f>
        <v>Monitor</v>
      </c>
      <c r="F1241" s="8" t="str">
        <f t="shared" si="95"/>
        <v>Technology</v>
      </c>
      <c r="G1241" s="5">
        <v>7</v>
      </c>
      <c r="H1241">
        <v>14.34</v>
      </c>
      <c r="I1241" t="s">
        <v>81</v>
      </c>
      <c r="J1241" t="s">
        <v>65</v>
      </c>
      <c r="K1241" s="7">
        <v>0.05</v>
      </c>
      <c r="L1241" t="s">
        <v>18</v>
      </c>
      <c r="M1241" s="5">
        <v>95.36099999999999</v>
      </c>
      <c r="N1241" t="s">
        <v>85</v>
      </c>
      <c r="O1241" t="s">
        <v>71</v>
      </c>
      <c r="P1241" s="5">
        <v>0</v>
      </c>
      <c r="Q1241" t="s">
        <v>2473</v>
      </c>
      <c r="R1241" t="s">
        <v>171</v>
      </c>
      <c r="S1241" s="5">
        <v>19.45</v>
      </c>
      <c r="T1241" s="3">
        <v>45448</v>
      </c>
      <c r="U1241" s="3">
        <v>45451</v>
      </c>
      <c r="V1241" t="s">
        <v>74</v>
      </c>
      <c r="W1241">
        <f t="shared" si="97"/>
        <v>90.592949999999988</v>
      </c>
      <c r="X1241">
        <f t="shared" si="98"/>
        <v>100.38</v>
      </c>
      <c r="Y1241">
        <f t="shared" si="99"/>
        <v>9.7870500000000078</v>
      </c>
      <c r="Z1241" s="8" t="str">
        <f t="shared" si="96"/>
        <v>Medium</v>
      </c>
      <c r="AA1241" s="12">
        <f>DATE(YEAR(Table1[[#This Row],[OrderDate]]),MONTH(Table1[[#This Row],[OrderDate]]),1)</f>
        <v>45444</v>
      </c>
    </row>
    <row r="1242" spans="1:27" x14ac:dyDescent="0.3">
      <c r="A1242" s="3">
        <v>45798</v>
      </c>
      <c r="B1242" t="s">
        <v>9</v>
      </c>
      <c r="C1242" t="s">
        <v>33</v>
      </c>
      <c r="D1242" t="str">
        <f>TRIM(Table1[[#This Row],[Product]])</f>
        <v>Phone</v>
      </c>
      <c r="E1242" t="str">
        <f>PROPER(Table1[[#This Row],[Column1]])</f>
        <v>Phone</v>
      </c>
      <c r="F1242" s="8" t="str">
        <f t="shared" si="95"/>
        <v>Technology</v>
      </c>
      <c r="G1242" s="5">
        <v>11</v>
      </c>
      <c r="H1242">
        <v>34.72</v>
      </c>
      <c r="I1242" t="s">
        <v>57</v>
      </c>
      <c r="J1242" t="s">
        <v>58</v>
      </c>
      <c r="K1242" s="7">
        <v>0.1</v>
      </c>
      <c r="L1242" t="s">
        <v>23</v>
      </c>
      <c r="M1242" s="5">
        <v>343.72800000000001</v>
      </c>
      <c r="N1242" t="s">
        <v>66</v>
      </c>
      <c r="O1242" t="s">
        <v>60</v>
      </c>
      <c r="P1242" s="5">
        <v>0</v>
      </c>
      <c r="Q1242" t="s">
        <v>2474</v>
      </c>
      <c r="R1242" t="s">
        <v>2475</v>
      </c>
      <c r="S1242" s="5">
        <v>9.31</v>
      </c>
      <c r="T1242" s="3">
        <v>45798</v>
      </c>
      <c r="U1242" s="3">
        <v>45800</v>
      </c>
      <c r="V1242" t="s">
        <v>63</v>
      </c>
      <c r="W1242">
        <f t="shared" si="97"/>
        <v>309.35520000000002</v>
      </c>
      <c r="X1242">
        <f t="shared" si="98"/>
        <v>381.91999999999996</v>
      </c>
      <c r="Y1242">
        <f t="shared" si="99"/>
        <v>72.564799999999934</v>
      </c>
      <c r="Z1242" s="8" t="str">
        <f t="shared" si="96"/>
        <v>Medium</v>
      </c>
      <c r="AA1242" s="12">
        <f>DATE(YEAR(Table1[[#This Row],[OrderDate]]),MONTH(Table1[[#This Row],[OrderDate]]),1)</f>
        <v>45778</v>
      </c>
    </row>
    <row r="1243" spans="1:27" x14ac:dyDescent="0.3">
      <c r="A1243" s="3">
        <v>45798</v>
      </c>
      <c r="B1243" t="s">
        <v>9</v>
      </c>
      <c r="C1243" t="s">
        <v>29</v>
      </c>
      <c r="D1243" t="str">
        <f>TRIM(Table1[[#This Row],[Product]])</f>
        <v>Chair</v>
      </c>
      <c r="E1243" t="str">
        <f>PROPER(Table1[[#This Row],[Column1]])</f>
        <v>Chair</v>
      </c>
      <c r="F1243" s="8" t="str">
        <f t="shared" si="95"/>
        <v>Furniture</v>
      </c>
      <c r="G1243" s="5">
        <v>7</v>
      </c>
      <c r="H1243">
        <v>15.06</v>
      </c>
      <c r="I1243" t="s">
        <v>64</v>
      </c>
      <c r="J1243" t="s">
        <v>65</v>
      </c>
      <c r="K1243" s="7">
        <v>0</v>
      </c>
      <c r="L1243" t="s">
        <v>18</v>
      </c>
      <c r="M1243" s="5">
        <v>105.42</v>
      </c>
      <c r="N1243" t="s">
        <v>88</v>
      </c>
      <c r="P1243" s="5">
        <v>1</v>
      </c>
      <c r="Q1243" t="s">
        <v>2476</v>
      </c>
      <c r="R1243" t="s">
        <v>2477</v>
      </c>
      <c r="S1243" s="5">
        <v>46.57</v>
      </c>
      <c r="T1243" s="3">
        <v>45798</v>
      </c>
      <c r="U1243" s="3">
        <v>45803</v>
      </c>
      <c r="V1243" t="s">
        <v>63</v>
      </c>
      <c r="W1243">
        <f t="shared" si="97"/>
        <v>105.42</v>
      </c>
      <c r="X1243">
        <f t="shared" si="98"/>
        <v>105.42</v>
      </c>
      <c r="Y1243">
        <f t="shared" si="99"/>
        <v>0</v>
      </c>
      <c r="Z1243" s="8" t="str">
        <f t="shared" si="96"/>
        <v>No Discount</v>
      </c>
      <c r="AA1243" s="12">
        <f>DATE(YEAR(Table1[[#This Row],[OrderDate]]),MONTH(Table1[[#This Row],[OrderDate]]),1)</f>
        <v>45778</v>
      </c>
    </row>
    <row r="1244" spans="1:27" x14ac:dyDescent="0.3">
      <c r="A1244" s="3">
        <v>44990</v>
      </c>
      <c r="B1244" t="s">
        <v>9</v>
      </c>
      <c r="C1244" t="s">
        <v>34</v>
      </c>
      <c r="D1244" t="str">
        <f>TRIM(Table1[[#This Row],[Product]])</f>
        <v>Printer</v>
      </c>
      <c r="E1244" t="str">
        <f>PROPER(Table1[[#This Row],[Column1]])</f>
        <v>Printer</v>
      </c>
      <c r="F1244" s="8" t="str">
        <f t="shared" si="95"/>
        <v>Office Supplies</v>
      </c>
      <c r="G1244" s="5">
        <v>11</v>
      </c>
      <c r="H1244">
        <v>488.17</v>
      </c>
      <c r="I1244" t="s">
        <v>57</v>
      </c>
      <c r="J1244" t="s">
        <v>58</v>
      </c>
      <c r="K1244" s="7">
        <v>0.05</v>
      </c>
      <c r="L1244" t="s">
        <v>19</v>
      </c>
      <c r="M1244" s="5">
        <v>5101.3764999999994</v>
      </c>
      <c r="N1244" t="s">
        <v>88</v>
      </c>
      <c r="O1244" t="s">
        <v>71</v>
      </c>
      <c r="P1244" s="5">
        <v>1</v>
      </c>
      <c r="Q1244" t="s">
        <v>2478</v>
      </c>
      <c r="R1244" t="s">
        <v>2479</v>
      </c>
      <c r="S1244" s="5">
        <v>37.47</v>
      </c>
      <c r="T1244" s="3">
        <v>44990</v>
      </c>
      <c r="U1244" s="3">
        <v>44996</v>
      </c>
      <c r="V1244" t="s">
        <v>63</v>
      </c>
      <c r="W1244">
        <f t="shared" si="97"/>
        <v>4846.3076749999991</v>
      </c>
      <c r="X1244">
        <f t="shared" si="98"/>
        <v>5369.87</v>
      </c>
      <c r="Y1244">
        <f t="shared" si="99"/>
        <v>523.56232500000078</v>
      </c>
      <c r="Z1244" s="8" t="str">
        <f t="shared" si="96"/>
        <v>Medium</v>
      </c>
      <c r="AA1244" s="12">
        <f>DATE(YEAR(Table1[[#This Row],[OrderDate]]),MONTH(Table1[[#This Row],[OrderDate]]),1)</f>
        <v>44986</v>
      </c>
    </row>
    <row r="1245" spans="1:27" x14ac:dyDescent="0.3">
      <c r="A1245" s="3">
        <v>45592</v>
      </c>
      <c r="B1245" t="s">
        <v>13</v>
      </c>
      <c r="C1245" t="s">
        <v>35</v>
      </c>
      <c r="D1245" t="str">
        <f>TRIM(Table1[[#This Row],[Product]])</f>
        <v>Tablet</v>
      </c>
      <c r="E1245" t="str">
        <f>PROPER(Table1[[#This Row],[Column1]])</f>
        <v>Tablet</v>
      </c>
      <c r="F1245" s="8" t="str">
        <f t="shared" si="95"/>
        <v>Technology</v>
      </c>
      <c r="G1245" s="5">
        <v>10</v>
      </c>
      <c r="H1245">
        <v>268.39</v>
      </c>
      <c r="I1245" t="s">
        <v>57</v>
      </c>
      <c r="J1245" t="s">
        <v>65</v>
      </c>
      <c r="K1245" s="7">
        <v>0.05</v>
      </c>
      <c r="L1245" t="s">
        <v>18</v>
      </c>
      <c r="M1245" s="5">
        <v>2549.704999999999</v>
      </c>
      <c r="N1245" t="s">
        <v>82</v>
      </c>
      <c r="O1245" t="s">
        <v>67</v>
      </c>
      <c r="P1245" s="5">
        <v>0</v>
      </c>
      <c r="Q1245" t="s">
        <v>2480</v>
      </c>
      <c r="R1245" t="s">
        <v>1892</v>
      </c>
      <c r="S1245" s="5">
        <v>25.86</v>
      </c>
      <c r="T1245" s="3">
        <v>45592</v>
      </c>
      <c r="U1245" s="3">
        <v>45598</v>
      </c>
      <c r="V1245" t="s">
        <v>70</v>
      </c>
      <c r="W1245">
        <f t="shared" si="97"/>
        <v>2422.2197499999988</v>
      </c>
      <c r="X1245">
        <f t="shared" si="98"/>
        <v>2683.8999999999996</v>
      </c>
      <c r="Y1245">
        <f t="shared" si="99"/>
        <v>261.6802500000008</v>
      </c>
      <c r="Z1245" s="8" t="str">
        <f t="shared" si="96"/>
        <v>Medium</v>
      </c>
      <c r="AA1245" s="12">
        <f>DATE(YEAR(Table1[[#This Row],[OrderDate]]),MONTH(Table1[[#This Row],[OrderDate]]),1)</f>
        <v>45566</v>
      </c>
    </row>
    <row r="1246" spans="1:27" x14ac:dyDescent="0.3">
      <c r="A1246" s="3">
        <v>45740</v>
      </c>
      <c r="B1246" t="s">
        <v>11</v>
      </c>
      <c r="C1246" t="s">
        <v>35</v>
      </c>
      <c r="D1246" t="str">
        <f>TRIM(Table1[[#This Row],[Product]])</f>
        <v>Tablet</v>
      </c>
      <c r="E1246" t="str">
        <f>PROPER(Table1[[#This Row],[Column1]])</f>
        <v>Tablet</v>
      </c>
      <c r="F1246" s="8" t="str">
        <f t="shared" si="95"/>
        <v>Technology</v>
      </c>
      <c r="G1246" s="5">
        <v>5</v>
      </c>
      <c r="H1246">
        <v>64.180000000000007</v>
      </c>
      <c r="I1246" t="s">
        <v>78</v>
      </c>
      <c r="J1246" t="s">
        <v>65</v>
      </c>
      <c r="K1246" s="7">
        <v>0.1</v>
      </c>
      <c r="L1246" t="s">
        <v>25</v>
      </c>
      <c r="M1246" s="5">
        <v>288.81000000000012</v>
      </c>
      <c r="N1246" t="s">
        <v>66</v>
      </c>
      <c r="O1246" t="s">
        <v>67</v>
      </c>
      <c r="P1246" s="5">
        <v>0</v>
      </c>
      <c r="Q1246" t="s">
        <v>2481</v>
      </c>
      <c r="R1246" t="s">
        <v>2482</v>
      </c>
      <c r="S1246" s="5">
        <v>21.17</v>
      </c>
      <c r="T1246" s="3">
        <v>45740</v>
      </c>
      <c r="U1246" s="3">
        <v>45745</v>
      </c>
      <c r="V1246" t="s">
        <v>74</v>
      </c>
      <c r="W1246">
        <f t="shared" si="97"/>
        <v>259.92900000000009</v>
      </c>
      <c r="X1246">
        <f t="shared" si="98"/>
        <v>320.90000000000003</v>
      </c>
      <c r="Y1246">
        <f t="shared" si="99"/>
        <v>60.970999999999947</v>
      </c>
      <c r="Z1246" s="8" t="str">
        <f t="shared" si="96"/>
        <v>Medium</v>
      </c>
      <c r="AA1246" s="12">
        <f>DATE(YEAR(Table1[[#This Row],[OrderDate]]),MONTH(Table1[[#This Row],[OrderDate]]),1)</f>
        <v>45717</v>
      </c>
    </row>
    <row r="1247" spans="1:27" x14ac:dyDescent="0.3">
      <c r="A1247" s="3">
        <v>45556</v>
      </c>
      <c r="B1247" t="s">
        <v>16</v>
      </c>
      <c r="C1247" t="s">
        <v>33</v>
      </c>
      <c r="D1247" t="str">
        <f>TRIM(Table1[[#This Row],[Product]])</f>
        <v>Phone</v>
      </c>
      <c r="E1247" t="str">
        <f>PROPER(Table1[[#This Row],[Column1]])</f>
        <v>Phone</v>
      </c>
      <c r="F1247" s="8" t="str">
        <f t="shared" si="95"/>
        <v>Technology</v>
      </c>
      <c r="G1247" s="5">
        <v>15</v>
      </c>
      <c r="H1247">
        <v>466.55</v>
      </c>
      <c r="I1247" t="s">
        <v>64</v>
      </c>
      <c r="J1247" t="s">
        <v>65</v>
      </c>
      <c r="K1247" s="7">
        <v>0.05</v>
      </c>
      <c r="L1247" t="s">
        <v>18</v>
      </c>
      <c r="M1247" s="5">
        <v>6648.3374999999996</v>
      </c>
      <c r="N1247" t="s">
        <v>88</v>
      </c>
      <c r="O1247" t="s">
        <v>67</v>
      </c>
      <c r="P1247" s="5">
        <v>1</v>
      </c>
      <c r="Q1247" t="s">
        <v>2483</v>
      </c>
      <c r="R1247" t="s">
        <v>2484</v>
      </c>
      <c r="S1247" s="5">
        <v>36.68</v>
      </c>
      <c r="T1247" s="3">
        <v>45556</v>
      </c>
      <c r="U1247" s="3">
        <v>45562</v>
      </c>
      <c r="V1247" t="s">
        <v>95</v>
      </c>
      <c r="W1247">
        <f t="shared" si="97"/>
        <v>6315.9206249999997</v>
      </c>
      <c r="X1247">
        <f t="shared" si="98"/>
        <v>6998.25</v>
      </c>
      <c r="Y1247">
        <f t="shared" si="99"/>
        <v>682.32937500000025</v>
      </c>
      <c r="Z1247" s="8" t="str">
        <f t="shared" si="96"/>
        <v>Medium</v>
      </c>
      <c r="AA1247" s="12">
        <f>DATE(YEAR(Table1[[#This Row],[OrderDate]]),MONTH(Table1[[#This Row],[OrderDate]]),1)</f>
        <v>45536</v>
      </c>
    </row>
    <row r="1248" spans="1:27" x14ac:dyDescent="0.3">
      <c r="A1248" s="3">
        <v>45795</v>
      </c>
      <c r="B1248" t="s">
        <v>11</v>
      </c>
      <c r="C1248" t="s">
        <v>30</v>
      </c>
      <c r="D1248" t="str">
        <f>TRIM(Table1[[#This Row],[Product]])</f>
        <v>Desk</v>
      </c>
      <c r="E1248" t="str">
        <f>PROPER(Table1[[#This Row],[Column1]])</f>
        <v>Desk</v>
      </c>
      <c r="F1248" s="8" t="str">
        <f t="shared" si="95"/>
        <v>Furniture</v>
      </c>
      <c r="G1248" s="5">
        <v>8</v>
      </c>
      <c r="H1248">
        <v>505.34</v>
      </c>
      <c r="I1248" t="s">
        <v>57</v>
      </c>
      <c r="J1248" t="s">
        <v>65</v>
      </c>
      <c r="K1248" s="7">
        <v>0.05</v>
      </c>
      <c r="L1248" t="s">
        <v>19</v>
      </c>
      <c r="M1248" s="5">
        <v>3840.5839999999998</v>
      </c>
      <c r="N1248" t="s">
        <v>85</v>
      </c>
      <c r="P1248" s="5">
        <v>0</v>
      </c>
      <c r="Q1248" t="s">
        <v>2485</v>
      </c>
      <c r="R1248" t="s">
        <v>2486</v>
      </c>
      <c r="S1248" s="5">
        <v>22.88</v>
      </c>
      <c r="T1248" s="3">
        <v>45795</v>
      </c>
      <c r="U1248" s="3">
        <v>45804</v>
      </c>
      <c r="V1248" t="s">
        <v>74</v>
      </c>
      <c r="W1248">
        <f t="shared" si="97"/>
        <v>3648.5547999999999</v>
      </c>
      <c r="X1248">
        <f t="shared" si="98"/>
        <v>4042.72</v>
      </c>
      <c r="Y1248">
        <f t="shared" si="99"/>
        <v>394.16519999999991</v>
      </c>
      <c r="Z1248" s="8" t="str">
        <f t="shared" si="96"/>
        <v>Medium</v>
      </c>
      <c r="AA1248" s="12">
        <f>DATE(YEAR(Table1[[#This Row],[OrderDate]]),MONTH(Table1[[#This Row],[OrderDate]]),1)</f>
        <v>45778</v>
      </c>
    </row>
    <row r="1249" spans="1:27" x14ac:dyDescent="0.3">
      <c r="A1249" s="3">
        <v>45484</v>
      </c>
      <c r="B1249" t="s">
        <v>9</v>
      </c>
      <c r="C1249" t="s">
        <v>32</v>
      </c>
      <c r="D1249" t="str">
        <f>TRIM(Table1[[#This Row],[Product]])</f>
        <v>Monitor</v>
      </c>
      <c r="E1249" t="str">
        <f>PROPER(Table1[[#This Row],[Column1]])</f>
        <v>Monitor</v>
      </c>
      <c r="F1249" s="8" t="str">
        <f t="shared" si="95"/>
        <v>Technology</v>
      </c>
      <c r="G1249" s="5">
        <v>6</v>
      </c>
      <c r="H1249">
        <v>100.75</v>
      </c>
      <c r="I1249" t="s">
        <v>64</v>
      </c>
      <c r="J1249" t="s">
        <v>58</v>
      </c>
      <c r="K1249" s="7">
        <v>0.1</v>
      </c>
      <c r="L1249" t="s">
        <v>27</v>
      </c>
      <c r="M1249" s="5">
        <v>544.05000000000007</v>
      </c>
      <c r="N1249" t="s">
        <v>82</v>
      </c>
      <c r="O1249" t="s">
        <v>60</v>
      </c>
      <c r="P1249" s="5">
        <v>0</v>
      </c>
      <c r="Q1249" t="s">
        <v>2487</v>
      </c>
      <c r="R1249" t="s">
        <v>2488</v>
      </c>
      <c r="S1249" s="5">
        <v>12.98</v>
      </c>
      <c r="T1249" s="3">
        <v>45484</v>
      </c>
      <c r="U1249" s="3">
        <v>45487</v>
      </c>
      <c r="V1249" t="s">
        <v>63</v>
      </c>
      <c r="W1249">
        <f t="shared" si="97"/>
        <v>489.6450000000001</v>
      </c>
      <c r="X1249">
        <f t="shared" si="98"/>
        <v>604.5</v>
      </c>
      <c r="Y1249">
        <f t="shared" si="99"/>
        <v>114.8549999999999</v>
      </c>
      <c r="Z1249" s="8" t="str">
        <f t="shared" si="96"/>
        <v>Medium</v>
      </c>
      <c r="AA1249" s="12">
        <f>DATE(YEAR(Table1[[#This Row],[OrderDate]]),MONTH(Table1[[#This Row],[OrderDate]]),1)</f>
        <v>45474</v>
      </c>
    </row>
    <row r="1250" spans="1:27" x14ac:dyDescent="0.3">
      <c r="A1250" s="3">
        <v>45684</v>
      </c>
      <c r="B1250" t="s">
        <v>11</v>
      </c>
      <c r="C1250" t="s">
        <v>35</v>
      </c>
      <c r="D1250" t="str">
        <f>TRIM(Table1[[#This Row],[Product]])</f>
        <v>Tablet</v>
      </c>
      <c r="E1250" t="str">
        <f>PROPER(Table1[[#This Row],[Column1]])</f>
        <v>Tablet</v>
      </c>
      <c r="F1250" s="8" t="str">
        <f t="shared" si="95"/>
        <v>Technology</v>
      </c>
      <c r="G1250" s="5">
        <v>8</v>
      </c>
      <c r="H1250">
        <v>352.72</v>
      </c>
      <c r="I1250" t="s">
        <v>78</v>
      </c>
      <c r="J1250" t="s">
        <v>65</v>
      </c>
      <c r="K1250" s="7">
        <v>0.05</v>
      </c>
      <c r="L1250" t="s">
        <v>21</v>
      </c>
      <c r="M1250" s="5">
        <v>2680.672</v>
      </c>
      <c r="N1250" t="s">
        <v>88</v>
      </c>
      <c r="P1250" s="5">
        <v>0</v>
      </c>
      <c r="Q1250" t="s">
        <v>2489</v>
      </c>
      <c r="R1250" t="s">
        <v>2490</v>
      </c>
      <c r="S1250" s="5">
        <v>30.8</v>
      </c>
      <c r="T1250" s="3">
        <v>45684</v>
      </c>
      <c r="U1250" s="3">
        <v>45692</v>
      </c>
      <c r="V1250" t="s">
        <v>74</v>
      </c>
      <c r="W1250">
        <f t="shared" si="97"/>
        <v>2546.6383999999998</v>
      </c>
      <c r="X1250">
        <f t="shared" si="98"/>
        <v>2821.76</v>
      </c>
      <c r="Y1250">
        <f t="shared" si="99"/>
        <v>275.1216000000004</v>
      </c>
      <c r="Z1250" s="8" t="str">
        <f t="shared" si="96"/>
        <v>Medium</v>
      </c>
      <c r="AA1250" s="12">
        <f>DATE(YEAR(Table1[[#This Row],[OrderDate]]),MONTH(Table1[[#This Row],[OrderDate]]),1)</f>
        <v>45658</v>
      </c>
    </row>
    <row r="1251" spans="1:27" x14ac:dyDescent="0.3">
      <c r="A1251" s="3">
        <v>45256</v>
      </c>
      <c r="B1251" t="s">
        <v>9</v>
      </c>
      <c r="C1251" t="s">
        <v>31</v>
      </c>
      <c r="D1251" t="str">
        <f>TRIM(Table1[[#This Row],[Product]])</f>
        <v>Laptop</v>
      </c>
      <c r="E1251" t="str">
        <f>PROPER(Table1[[#This Row],[Column1]])</f>
        <v>Laptop</v>
      </c>
      <c r="F1251" s="8" t="str">
        <f t="shared" si="95"/>
        <v>Technology</v>
      </c>
      <c r="G1251" s="5">
        <v>9</v>
      </c>
      <c r="H1251">
        <v>526.26</v>
      </c>
      <c r="I1251" t="s">
        <v>57</v>
      </c>
      <c r="J1251" t="s">
        <v>65</v>
      </c>
      <c r="K1251" s="7">
        <v>0</v>
      </c>
      <c r="L1251" t="s">
        <v>19</v>
      </c>
      <c r="M1251" s="5">
        <v>4736.34</v>
      </c>
      <c r="N1251" t="s">
        <v>88</v>
      </c>
      <c r="O1251" t="s">
        <v>60</v>
      </c>
      <c r="P1251" s="5">
        <v>0</v>
      </c>
      <c r="Q1251" t="s">
        <v>2491</v>
      </c>
      <c r="R1251" t="s">
        <v>1433</v>
      </c>
      <c r="S1251" s="5">
        <v>15.47</v>
      </c>
      <c r="T1251" s="3">
        <v>45256</v>
      </c>
      <c r="U1251" s="3">
        <v>45266</v>
      </c>
      <c r="V1251" t="s">
        <v>63</v>
      </c>
      <c r="W1251">
        <f t="shared" si="97"/>
        <v>4736.34</v>
      </c>
      <c r="X1251">
        <f t="shared" si="98"/>
        <v>4736.34</v>
      </c>
      <c r="Y1251">
        <f t="shared" si="99"/>
        <v>0</v>
      </c>
      <c r="Z1251" s="8" t="str">
        <f t="shared" si="96"/>
        <v>No Discount</v>
      </c>
      <c r="AA1251" s="12">
        <f>DATE(YEAR(Table1[[#This Row],[OrderDate]]),MONTH(Table1[[#This Row],[OrderDate]]),1)</f>
        <v>45231</v>
      </c>
    </row>
    <row r="1252" spans="1:27" x14ac:dyDescent="0.3">
      <c r="A1252" s="3">
        <v>45445</v>
      </c>
      <c r="B1252" t="s">
        <v>7</v>
      </c>
      <c r="C1252" t="s">
        <v>34</v>
      </c>
      <c r="D1252" t="str">
        <f>TRIM(Table1[[#This Row],[Product]])</f>
        <v>Printer</v>
      </c>
      <c r="E1252" t="str">
        <f>PROPER(Table1[[#This Row],[Column1]])</f>
        <v>Printer</v>
      </c>
      <c r="F1252" s="8" t="str">
        <f t="shared" si="95"/>
        <v>Office Supplies</v>
      </c>
      <c r="G1252" s="5">
        <v>18</v>
      </c>
      <c r="H1252">
        <v>519.41999999999996</v>
      </c>
      <c r="I1252" t="s">
        <v>78</v>
      </c>
      <c r="J1252" t="s">
        <v>65</v>
      </c>
      <c r="K1252" s="7">
        <v>0.15</v>
      </c>
      <c r="L1252" t="s">
        <v>25</v>
      </c>
      <c r="M1252" s="5">
        <v>7947.1259999999993</v>
      </c>
      <c r="N1252" t="s">
        <v>88</v>
      </c>
      <c r="O1252" t="s">
        <v>71</v>
      </c>
      <c r="P1252" s="5">
        <v>0</v>
      </c>
      <c r="Q1252" t="s">
        <v>2492</v>
      </c>
      <c r="R1252" t="s">
        <v>2493</v>
      </c>
      <c r="S1252" s="5">
        <v>32.96</v>
      </c>
      <c r="T1252" s="3">
        <v>45445</v>
      </c>
      <c r="U1252" s="3">
        <v>45447</v>
      </c>
      <c r="V1252" t="s">
        <v>77</v>
      </c>
      <c r="W1252">
        <f t="shared" si="97"/>
        <v>6755.0570999999991</v>
      </c>
      <c r="X1252">
        <f t="shared" si="98"/>
        <v>9349.56</v>
      </c>
      <c r="Y1252">
        <f t="shared" si="99"/>
        <v>2594.5029000000004</v>
      </c>
      <c r="Z1252" s="8" t="str">
        <f t="shared" si="96"/>
        <v>High</v>
      </c>
      <c r="AA1252" s="12">
        <f>DATE(YEAR(Table1[[#This Row],[OrderDate]]),MONTH(Table1[[#This Row],[OrderDate]]),1)</f>
        <v>45444</v>
      </c>
    </row>
    <row r="1253" spans="1:27" x14ac:dyDescent="0.3">
      <c r="A1253" s="3">
        <v>44943</v>
      </c>
      <c r="B1253" t="s">
        <v>11</v>
      </c>
      <c r="C1253" t="s">
        <v>29</v>
      </c>
      <c r="D1253" t="str">
        <f>TRIM(Table1[[#This Row],[Product]])</f>
        <v>Chair</v>
      </c>
      <c r="E1253" t="str">
        <f>PROPER(Table1[[#This Row],[Column1]])</f>
        <v>Chair</v>
      </c>
      <c r="F1253" s="8" t="str">
        <f t="shared" si="95"/>
        <v>Furniture</v>
      </c>
      <c r="G1253" s="5">
        <v>18</v>
      </c>
      <c r="H1253">
        <v>108.46</v>
      </c>
      <c r="I1253" t="s">
        <v>81</v>
      </c>
      <c r="J1253" t="s">
        <v>58</v>
      </c>
      <c r="K1253" s="7">
        <v>0.05</v>
      </c>
      <c r="L1253" t="s">
        <v>27</v>
      </c>
      <c r="M1253" s="5">
        <v>1854.6659999999999</v>
      </c>
      <c r="N1253" t="s">
        <v>59</v>
      </c>
      <c r="O1253" t="s">
        <v>67</v>
      </c>
      <c r="P1253" s="5">
        <v>0</v>
      </c>
      <c r="Q1253" t="s">
        <v>2494</v>
      </c>
      <c r="R1253" t="s">
        <v>2495</v>
      </c>
      <c r="S1253" s="5">
        <v>10.72</v>
      </c>
      <c r="T1253" s="3">
        <v>44943</v>
      </c>
      <c r="U1253" s="3">
        <v>44950</v>
      </c>
      <c r="V1253" t="s">
        <v>74</v>
      </c>
      <c r="W1253">
        <f t="shared" si="97"/>
        <v>1761.9326999999998</v>
      </c>
      <c r="X1253">
        <f t="shared" si="98"/>
        <v>1952.28</v>
      </c>
      <c r="Y1253">
        <f t="shared" si="99"/>
        <v>190.34730000000013</v>
      </c>
      <c r="Z1253" s="8" t="str">
        <f t="shared" si="96"/>
        <v>Medium</v>
      </c>
      <c r="AA1253" s="12">
        <f>DATE(YEAR(Table1[[#This Row],[OrderDate]]),MONTH(Table1[[#This Row],[OrderDate]]),1)</f>
        <v>44927</v>
      </c>
    </row>
    <row r="1254" spans="1:27" x14ac:dyDescent="0.3">
      <c r="A1254" s="3">
        <v>45780</v>
      </c>
      <c r="B1254" t="s">
        <v>11</v>
      </c>
      <c r="C1254" t="s">
        <v>30</v>
      </c>
      <c r="D1254" t="str">
        <f>TRIM(Table1[[#This Row],[Product]])</f>
        <v>Desk</v>
      </c>
      <c r="E1254" t="str">
        <f>PROPER(Table1[[#This Row],[Column1]])</f>
        <v>Desk</v>
      </c>
      <c r="F1254" s="8" t="str">
        <f t="shared" si="95"/>
        <v>Furniture</v>
      </c>
      <c r="G1254" s="5">
        <v>13</v>
      </c>
      <c r="H1254">
        <v>420.68</v>
      </c>
      <c r="I1254" t="s">
        <v>81</v>
      </c>
      <c r="J1254" t="s">
        <v>58</v>
      </c>
      <c r="K1254" s="7">
        <v>0.05</v>
      </c>
      <c r="L1254" t="s">
        <v>27</v>
      </c>
      <c r="M1254" s="5">
        <v>5195.3980000000001</v>
      </c>
      <c r="N1254" t="s">
        <v>59</v>
      </c>
      <c r="P1254" s="5">
        <v>0</v>
      </c>
      <c r="Q1254" t="s">
        <v>2496</v>
      </c>
      <c r="R1254" t="s">
        <v>2497</v>
      </c>
      <c r="S1254" s="5">
        <v>24.51</v>
      </c>
      <c r="T1254" s="3">
        <v>45780</v>
      </c>
      <c r="U1254" s="3">
        <v>45788</v>
      </c>
      <c r="V1254" t="s">
        <v>74</v>
      </c>
      <c r="W1254">
        <f t="shared" si="97"/>
        <v>4935.6280999999999</v>
      </c>
      <c r="X1254">
        <f t="shared" si="98"/>
        <v>5468.84</v>
      </c>
      <c r="Y1254">
        <f t="shared" si="99"/>
        <v>533.21190000000024</v>
      </c>
      <c r="Z1254" s="8" t="str">
        <f t="shared" si="96"/>
        <v>Medium</v>
      </c>
      <c r="AA1254" s="12">
        <f>DATE(YEAR(Table1[[#This Row],[OrderDate]]),MONTH(Table1[[#This Row],[OrderDate]]),1)</f>
        <v>45778</v>
      </c>
    </row>
    <row r="1255" spans="1:27" x14ac:dyDescent="0.3">
      <c r="A1255" s="3">
        <v>45662</v>
      </c>
      <c r="B1255" t="s">
        <v>11</v>
      </c>
      <c r="C1255" t="s">
        <v>34</v>
      </c>
      <c r="D1255" t="str">
        <f>TRIM(Table1[[#This Row],[Product]])</f>
        <v>Printer</v>
      </c>
      <c r="E1255" t="str">
        <f>PROPER(Table1[[#This Row],[Column1]])</f>
        <v>Printer</v>
      </c>
      <c r="F1255" s="8" t="str">
        <f t="shared" si="95"/>
        <v>Office Supplies</v>
      </c>
      <c r="G1255" s="5">
        <v>17</v>
      </c>
      <c r="H1255">
        <v>5.91</v>
      </c>
      <c r="I1255" t="s">
        <v>64</v>
      </c>
      <c r="J1255" t="s">
        <v>58</v>
      </c>
      <c r="K1255" s="7">
        <v>0.15</v>
      </c>
      <c r="L1255" t="s">
        <v>25</v>
      </c>
      <c r="M1255" s="5">
        <v>85.399500000000003</v>
      </c>
      <c r="N1255" t="s">
        <v>59</v>
      </c>
      <c r="O1255" t="s">
        <v>67</v>
      </c>
      <c r="P1255" s="5">
        <v>0</v>
      </c>
      <c r="Q1255" t="s">
        <v>2498</v>
      </c>
      <c r="R1255" t="s">
        <v>2499</v>
      </c>
      <c r="S1255" s="5">
        <v>44.85</v>
      </c>
      <c r="T1255" s="3">
        <v>45662</v>
      </c>
      <c r="U1255" s="3">
        <v>45670</v>
      </c>
      <c r="V1255" t="s">
        <v>74</v>
      </c>
      <c r="W1255">
        <f t="shared" si="97"/>
        <v>72.589574999999996</v>
      </c>
      <c r="X1255">
        <f t="shared" si="98"/>
        <v>100.47</v>
      </c>
      <c r="Y1255">
        <f t="shared" si="99"/>
        <v>27.880425000000002</v>
      </c>
      <c r="Z1255" s="8" t="str">
        <f t="shared" si="96"/>
        <v>High</v>
      </c>
      <c r="AA1255" s="12">
        <f>DATE(YEAR(Table1[[#This Row],[OrderDate]]),MONTH(Table1[[#This Row],[OrderDate]]),1)</f>
        <v>45658</v>
      </c>
    </row>
    <row r="1256" spans="1:27" x14ac:dyDescent="0.3">
      <c r="A1256" s="3">
        <v>45342</v>
      </c>
      <c r="B1256" t="s">
        <v>9</v>
      </c>
      <c r="C1256" t="s">
        <v>33</v>
      </c>
      <c r="D1256" t="str">
        <f>TRIM(Table1[[#This Row],[Product]])</f>
        <v>Phone</v>
      </c>
      <c r="E1256" t="str">
        <f>PROPER(Table1[[#This Row],[Column1]])</f>
        <v>Phone</v>
      </c>
      <c r="F1256" s="8" t="str">
        <f t="shared" si="95"/>
        <v>Technology</v>
      </c>
      <c r="G1256" s="5">
        <v>4</v>
      </c>
      <c r="H1256">
        <v>452.77</v>
      </c>
      <c r="I1256" t="s">
        <v>57</v>
      </c>
      <c r="J1256" t="s">
        <v>65</v>
      </c>
      <c r="K1256" s="7">
        <v>0</v>
      </c>
      <c r="L1256" t="s">
        <v>23</v>
      </c>
      <c r="M1256" s="5">
        <v>1811.08</v>
      </c>
      <c r="N1256" t="s">
        <v>85</v>
      </c>
      <c r="O1256" t="s">
        <v>67</v>
      </c>
      <c r="P1256" s="5">
        <v>0</v>
      </c>
      <c r="Q1256" t="s">
        <v>2500</v>
      </c>
      <c r="R1256" t="s">
        <v>2501</v>
      </c>
      <c r="S1256" s="5">
        <v>32.01</v>
      </c>
      <c r="T1256" s="3">
        <v>45342</v>
      </c>
      <c r="U1256" s="3">
        <v>45352</v>
      </c>
      <c r="V1256" t="s">
        <v>63</v>
      </c>
      <c r="W1256">
        <f t="shared" si="97"/>
        <v>1811.08</v>
      </c>
      <c r="X1256">
        <f t="shared" si="98"/>
        <v>1811.08</v>
      </c>
      <c r="Y1256">
        <f t="shared" si="99"/>
        <v>0</v>
      </c>
      <c r="Z1256" s="8" t="str">
        <f t="shared" si="96"/>
        <v>No Discount</v>
      </c>
      <c r="AA1256" s="12">
        <f>DATE(YEAR(Table1[[#This Row],[OrderDate]]),MONTH(Table1[[#This Row],[OrderDate]]),1)</f>
        <v>45323</v>
      </c>
    </row>
    <row r="1257" spans="1:27" x14ac:dyDescent="0.3">
      <c r="A1257" s="3">
        <v>45286</v>
      </c>
      <c r="B1257" t="s">
        <v>11</v>
      </c>
      <c r="C1257" t="s">
        <v>32</v>
      </c>
      <c r="D1257" t="str">
        <f>TRIM(Table1[[#This Row],[Product]])</f>
        <v>Monitor</v>
      </c>
      <c r="E1257" t="str">
        <f>PROPER(Table1[[#This Row],[Column1]])</f>
        <v>Monitor</v>
      </c>
      <c r="F1257" s="8" t="str">
        <f t="shared" si="95"/>
        <v>Technology</v>
      </c>
      <c r="G1257" s="5">
        <v>7</v>
      </c>
      <c r="H1257">
        <v>157</v>
      </c>
      <c r="I1257" t="s">
        <v>64</v>
      </c>
      <c r="J1257" t="s">
        <v>58</v>
      </c>
      <c r="K1257" s="7">
        <v>0.15</v>
      </c>
      <c r="L1257" t="s">
        <v>18</v>
      </c>
      <c r="M1257" s="5">
        <v>934.15</v>
      </c>
      <c r="N1257" t="s">
        <v>59</v>
      </c>
      <c r="O1257" t="s">
        <v>67</v>
      </c>
      <c r="P1257" s="5">
        <v>1</v>
      </c>
      <c r="Q1257" t="s">
        <v>2502</v>
      </c>
      <c r="R1257" t="s">
        <v>890</v>
      </c>
      <c r="S1257" s="5">
        <v>39.72</v>
      </c>
      <c r="T1257" s="3">
        <v>45286</v>
      </c>
      <c r="U1257" s="3">
        <v>45295</v>
      </c>
      <c r="V1257" t="s">
        <v>74</v>
      </c>
      <c r="W1257">
        <f t="shared" si="97"/>
        <v>794.02749999999992</v>
      </c>
      <c r="X1257">
        <f t="shared" si="98"/>
        <v>1099</v>
      </c>
      <c r="Y1257">
        <f t="shared" si="99"/>
        <v>304.97250000000008</v>
      </c>
      <c r="Z1257" s="8" t="str">
        <f t="shared" si="96"/>
        <v>High</v>
      </c>
      <c r="AA1257" s="12">
        <f>DATE(YEAR(Table1[[#This Row],[OrderDate]]),MONTH(Table1[[#This Row],[OrderDate]]),1)</f>
        <v>45261</v>
      </c>
    </row>
    <row r="1258" spans="1:27" x14ac:dyDescent="0.3">
      <c r="A1258" s="3">
        <v>44992</v>
      </c>
      <c r="B1258" t="s">
        <v>11</v>
      </c>
      <c r="C1258" t="s">
        <v>34</v>
      </c>
      <c r="D1258" t="str">
        <f>TRIM(Table1[[#This Row],[Product]])</f>
        <v>Printer</v>
      </c>
      <c r="E1258" t="str">
        <f>PROPER(Table1[[#This Row],[Column1]])</f>
        <v>Printer</v>
      </c>
      <c r="F1258" s="8" t="str">
        <f t="shared" si="95"/>
        <v>Office Supplies</v>
      </c>
      <c r="G1258" s="5">
        <v>11</v>
      </c>
      <c r="H1258">
        <v>550.86</v>
      </c>
      <c r="I1258" t="s">
        <v>78</v>
      </c>
      <c r="J1258" t="s">
        <v>65</v>
      </c>
      <c r="K1258" s="7">
        <v>0.1</v>
      </c>
      <c r="L1258" t="s">
        <v>19</v>
      </c>
      <c r="M1258" s="5">
        <v>5453.5140000000001</v>
      </c>
      <c r="N1258" t="s">
        <v>59</v>
      </c>
      <c r="O1258" t="s">
        <v>60</v>
      </c>
      <c r="P1258" s="5">
        <v>0</v>
      </c>
      <c r="Q1258" t="s">
        <v>2503</v>
      </c>
      <c r="R1258" t="s">
        <v>2504</v>
      </c>
      <c r="S1258" s="5">
        <v>21.82</v>
      </c>
      <c r="T1258" s="3">
        <v>44992</v>
      </c>
      <c r="U1258" s="3">
        <v>44997</v>
      </c>
      <c r="V1258" t="s">
        <v>74</v>
      </c>
      <c r="W1258">
        <f t="shared" si="97"/>
        <v>4908.1626000000006</v>
      </c>
      <c r="X1258">
        <f t="shared" si="98"/>
        <v>6059.46</v>
      </c>
      <c r="Y1258">
        <f t="shared" si="99"/>
        <v>1151.2973999999995</v>
      </c>
      <c r="Z1258" s="8" t="str">
        <f t="shared" si="96"/>
        <v>Medium</v>
      </c>
      <c r="AA1258" s="12">
        <f>DATE(YEAR(Table1[[#This Row],[OrderDate]]),MONTH(Table1[[#This Row],[OrderDate]]),1)</f>
        <v>44986</v>
      </c>
    </row>
    <row r="1259" spans="1:27" x14ac:dyDescent="0.3">
      <c r="A1259" s="3">
        <v>45548</v>
      </c>
      <c r="B1259" t="s">
        <v>11</v>
      </c>
      <c r="C1259" t="s">
        <v>29</v>
      </c>
      <c r="D1259" t="str">
        <f>TRIM(Table1[[#This Row],[Product]])</f>
        <v>Chair</v>
      </c>
      <c r="E1259" t="str">
        <f>PROPER(Table1[[#This Row],[Column1]])</f>
        <v>Chair</v>
      </c>
      <c r="F1259" s="8" t="str">
        <f t="shared" si="95"/>
        <v>Furniture</v>
      </c>
      <c r="G1259" s="5">
        <v>5</v>
      </c>
      <c r="H1259">
        <v>172.65</v>
      </c>
      <c r="I1259" t="s">
        <v>78</v>
      </c>
      <c r="J1259" t="s">
        <v>58</v>
      </c>
      <c r="K1259" s="7">
        <v>0.15</v>
      </c>
      <c r="L1259" t="s">
        <v>18</v>
      </c>
      <c r="M1259" s="5">
        <v>733.76249999999993</v>
      </c>
      <c r="N1259" t="s">
        <v>88</v>
      </c>
      <c r="O1259" t="s">
        <v>67</v>
      </c>
      <c r="P1259" s="5">
        <v>0</v>
      </c>
      <c r="Q1259" t="s">
        <v>2505</v>
      </c>
      <c r="R1259" t="s">
        <v>2506</v>
      </c>
      <c r="S1259" s="5">
        <v>28.3</v>
      </c>
      <c r="T1259" s="3">
        <v>45548</v>
      </c>
      <c r="U1259" s="3">
        <v>45557</v>
      </c>
      <c r="V1259" t="s">
        <v>74</v>
      </c>
      <c r="W1259">
        <f t="shared" si="97"/>
        <v>623.69812499999989</v>
      </c>
      <c r="X1259">
        <f t="shared" si="98"/>
        <v>863.25</v>
      </c>
      <c r="Y1259">
        <f t="shared" si="99"/>
        <v>239.55187500000011</v>
      </c>
      <c r="Z1259" s="8" t="str">
        <f t="shared" si="96"/>
        <v>High</v>
      </c>
      <c r="AA1259" s="12">
        <f>DATE(YEAR(Table1[[#This Row],[OrderDate]]),MONTH(Table1[[#This Row],[OrderDate]]),1)</f>
        <v>45536</v>
      </c>
    </row>
    <row r="1260" spans="1:27" x14ac:dyDescent="0.3">
      <c r="A1260" s="3">
        <v>45293</v>
      </c>
      <c r="B1260" t="s">
        <v>9</v>
      </c>
      <c r="C1260" t="s">
        <v>35</v>
      </c>
      <c r="D1260" t="str">
        <f>TRIM(Table1[[#This Row],[Product]])</f>
        <v>Tablet</v>
      </c>
      <c r="E1260" t="str">
        <f>PROPER(Table1[[#This Row],[Column1]])</f>
        <v>Tablet</v>
      </c>
      <c r="F1260" s="8" t="str">
        <f t="shared" si="95"/>
        <v>Technology</v>
      </c>
      <c r="G1260" s="5">
        <v>16</v>
      </c>
      <c r="H1260">
        <v>145.30000000000001</v>
      </c>
      <c r="I1260" t="s">
        <v>57</v>
      </c>
      <c r="J1260" t="s">
        <v>58</v>
      </c>
      <c r="K1260" s="7">
        <v>0</v>
      </c>
      <c r="L1260" t="s">
        <v>25</v>
      </c>
      <c r="M1260" s="5">
        <v>2324.8000000000002</v>
      </c>
      <c r="N1260" t="s">
        <v>82</v>
      </c>
      <c r="O1260" t="s">
        <v>60</v>
      </c>
      <c r="P1260" s="5">
        <v>1</v>
      </c>
      <c r="Q1260" t="s">
        <v>2507</v>
      </c>
      <c r="R1260" t="s">
        <v>2508</v>
      </c>
      <c r="S1260" s="5">
        <v>29.64</v>
      </c>
      <c r="T1260" s="3">
        <v>45293</v>
      </c>
      <c r="U1260" s="3">
        <v>45303</v>
      </c>
      <c r="V1260" t="s">
        <v>63</v>
      </c>
      <c r="W1260">
        <f t="shared" si="97"/>
        <v>2324.8000000000002</v>
      </c>
      <c r="X1260">
        <f t="shared" si="98"/>
        <v>2324.8000000000002</v>
      </c>
      <c r="Y1260">
        <f t="shared" si="99"/>
        <v>0</v>
      </c>
      <c r="Z1260" s="8" t="str">
        <f t="shared" si="96"/>
        <v>No Discount</v>
      </c>
      <c r="AA1260" s="12">
        <f>DATE(YEAR(Table1[[#This Row],[OrderDate]]),MONTH(Table1[[#This Row],[OrderDate]]),1)</f>
        <v>45292</v>
      </c>
    </row>
    <row r="1261" spans="1:27" x14ac:dyDescent="0.3">
      <c r="A1261" s="3">
        <v>45696</v>
      </c>
      <c r="B1261" t="s">
        <v>13</v>
      </c>
      <c r="C1261" t="s">
        <v>34</v>
      </c>
      <c r="D1261" t="str">
        <f>TRIM(Table1[[#This Row],[Product]])</f>
        <v>Printer</v>
      </c>
      <c r="E1261" t="str">
        <f>PROPER(Table1[[#This Row],[Column1]])</f>
        <v>Printer</v>
      </c>
      <c r="F1261" s="8" t="str">
        <f t="shared" si="95"/>
        <v>Office Supplies</v>
      </c>
      <c r="G1261" s="5">
        <v>10</v>
      </c>
      <c r="H1261">
        <v>67.38</v>
      </c>
      <c r="I1261" t="s">
        <v>78</v>
      </c>
      <c r="J1261" t="s">
        <v>65</v>
      </c>
      <c r="K1261" s="7">
        <v>0.1</v>
      </c>
      <c r="L1261" t="s">
        <v>23</v>
      </c>
      <c r="M1261" s="5">
        <v>606.41999999999996</v>
      </c>
      <c r="N1261" t="s">
        <v>66</v>
      </c>
      <c r="O1261" t="s">
        <v>60</v>
      </c>
      <c r="P1261" s="5">
        <v>1</v>
      </c>
      <c r="Q1261" t="s">
        <v>2509</v>
      </c>
      <c r="R1261" t="s">
        <v>157</v>
      </c>
      <c r="S1261" s="5">
        <v>20.58</v>
      </c>
      <c r="T1261" s="3">
        <v>45696</v>
      </c>
      <c r="U1261" s="3">
        <v>45706</v>
      </c>
      <c r="V1261" t="s">
        <v>70</v>
      </c>
      <c r="W1261">
        <f t="shared" si="97"/>
        <v>545.77800000000002</v>
      </c>
      <c r="X1261">
        <f t="shared" si="98"/>
        <v>673.8</v>
      </c>
      <c r="Y1261">
        <f t="shared" si="99"/>
        <v>128.02199999999993</v>
      </c>
      <c r="Z1261" s="8" t="str">
        <f t="shared" si="96"/>
        <v>Medium</v>
      </c>
      <c r="AA1261" s="12">
        <f>DATE(YEAR(Table1[[#This Row],[OrderDate]]),MONTH(Table1[[#This Row],[OrderDate]]),1)</f>
        <v>45689</v>
      </c>
    </row>
    <row r="1262" spans="1:27" x14ac:dyDescent="0.3">
      <c r="A1262" s="3">
        <v>45720</v>
      </c>
      <c r="B1262" t="s">
        <v>13</v>
      </c>
      <c r="C1262" t="s">
        <v>34</v>
      </c>
      <c r="D1262" t="str">
        <f>TRIM(Table1[[#This Row],[Product]])</f>
        <v>Printer</v>
      </c>
      <c r="E1262" t="str">
        <f>PROPER(Table1[[#This Row],[Column1]])</f>
        <v>Printer</v>
      </c>
      <c r="F1262" s="8" t="str">
        <f t="shared" si="95"/>
        <v>Office Supplies</v>
      </c>
      <c r="G1262" s="5">
        <v>15</v>
      </c>
      <c r="H1262">
        <v>141.13</v>
      </c>
      <c r="I1262" t="s">
        <v>81</v>
      </c>
      <c r="J1262" t="s">
        <v>58</v>
      </c>
      <c r="K1262" s="7">
        <v>0</v>
      </c>
      <c r="L1262" t="s">
        <v>21</v>
      </c>
      <c r="M1262" s="5">
        <v>2116.9499999999998</v>
      </c>
      <c r="N1262" t="s">
        <v>88</v>
      </c>
      <c r="O1262" t="s">
        <v>67</v>
      </c>
      <c r="P1262" s="5">
        <v>0</v>
      </c>
      <c r="Q1262" t="s">
        <v>2510</v>
      </c>
      <c r="R1262" t="s">
        <v>2511</v>
      </c>
      <c r="S1262" s="5">
        <v>19.63</v>
      </c>
      <c r="T1262" s="3">
        <v>45720</v>
      </c>
      <c r="U1262" s="3">
        <v>45728</v>
      </c>
      <c r="V1262" t="s">
        <v>70</v>
      </c>
      <c r="W1262">
        <f t="shared" si="97"/>
        <v>2116.9499999999998</v>
      </c>
      <c r="X1262">
        <f t="shared" si="98"/>
        <v>2116.9499999999998</v>
      </c>
      <c r="Y1262">
        <f t="shared" si="99"/>
        <v>0</v>
      </c>
      <c r="Z1262" s="8" t="str">
        <f t="shared" si="96"/>
        <v>No Discount</v>
      </c>
      <c r="AA1262" s="12">
        <f>DATE(YEAR(Table1[[#This Row],[OrderDate]]),MONTH(Table1[[#This Row],[OrderDate]]),1)</f>
        <v>45717</v>
      </c>
    </row>
    <row r="1263" spans="1:27" x14ac:dyDescent="0.3">
      <c r="A1263" s="3">
        <v>45363</v>
      </c>
      <c r="B1263" t="s">
        <v>7</v>
      </c>
      <c r="C1263" t="s">
        <v>35</v>
      </c>
      <c r="D1263" t="str">
        <f>TRIM(Table1[[#This Row],[Product]])</f>
        <v>Tablet</v>
      </c>
      <c r="E1263" t="str">
        <f>PROPER(Table1[[#This Row],[Column1]])</f>
        <v>Tablet</v>
      </c>
      <c r="F1263" s="8" t="str">
        <f t="shared" si="95"/>
        <v>Technology</v>
      </c>
      <c r="G1263" s="5">
        <v>1</v>
      </c>
      <c r="H1263">
        <v>534.61</v>
      </c>
      <c r="I1263" t="s">
        <v>81</v>
      </c>
      <c r="J1263" t="s">
        <v>65</v>
      </c>
      <c r="K1263" s="7">
        <v>0.05</v>
      </c>
      <c r="L1263" t="s">
        <v>27</v>
      </c>
      <c r="M1263" s="5">
        <v>507.87950000000001</v>
      </c>
      <c r="N1263" t="s">
        <v>59</v>
      </c>
      <c r="O1263" t="s">
        <v>67</v>
      </c>
      <c r="P1263" s="5">
        <v>0</v>
      </c>
      <c r="Q1263" t="s">
        <v>2512</v>
      </c>
      <c r="R1263" t="s">
        <v>2513</v>
      </c>
      <c r="S1263" s="5">
        <v>22.68</v>
      </c>
      <c r="T1263" s="3">
        <v>45363</v>
      </c>
      <c r="U1263" s="3">
        <v>45372</v>
      </c>
      <c r="V1263" t="s">
        <v>77</v>
      </c>
      <c r="W1263">
        <f t="shared" si="97"/>
        <v>482.485525</v>
      </c>
      <c r="X1263">
        <f t="shared" si="98"/>
        <v>534.61</v>
      </c>
      <c r="Y1263">
        <f t="shared" si="99"/>
        <v>52.124475000000018</v>
      </c>
      <c r="Z1263" s="8" t="str">
        <f t="shared" si="96"/>
        <v>Medium</v>
      </c>
      <c r="AA1263" s="12">
        <f>DATE(YEAR(Table1[[#This Row],[OrderDate]]),MONTH(Table1[[#This Row],[OrderDate]]),1)</f>
        <v>45352</v>
      </c>
    </row>
    <row r="1264" spans="1:27" x14ac:dyDescent="0.3">
      <c r="A1264" s="3">
        <v>45476</v>
      </c>
      <c r="B1264" t="s">
        <v>9</v>
      </c>
      <c r="C1264" t="s">
        <v>33</v>
      </c>
      <c r="D1264" t="str">
        <f>TRIM(Table1[[#This Row],[Product]])</f>
        <v>Phone</v>
      </c>
      <c r="E1264" t="str">
        <f>PROPER(Table1[[#This Row],[Column1]])</f>
        <v>Phone</v>
      </c>
      <c r="F1264" s="8" t="str">
        <f t="shared" si="95"/>
        <v>Technology</v>
      </c>
      <c r="G1264" s="5">
        <v>9</v>
      </c>
      <c r="H1264">
        <v>560.04</v>
      </c>
      <c r="I1264" t="s">
        <v>81</v>
      </c>
      <c r="J1264" t="s">
        <v>65</v>
      </c>
      <c r="K1264" s="7">
        <v>0.05</v>
      </c>
      <c r="L1264" t="s">
        <v>21</v>
      </c>
      <c r="M1264" s="5">
        <v>4788.3419999999996</v>
      </c>
      <c r="N1264" t="s">
        <v>66</v>
      </c>
      <c r="O1264" t="s">
        <v>71</v>
      </c>
      <c r="P1264" s="5">
        <v>0</v>
      </c>
      <c r="Q1264" t="s">
        <v>2514</v>
      </c>
      <c r="R1264" t="s">
        <v>2515</v>
      </c>
      <c r="S1264" s="5">
        <v>22.81</v>
      </c>
      <c r="T1264" s="3">
        <v>45476</v>
      </c>
      <c r="U1264" s="3">
        <v>45480</v>
      </c>
      <c r="V1264" t="s">
        <v>63</v>
      </c>
      <c r="W1264">
        <f t="shared" si="97"/>
        <v>4548.9248999999991</v>
      </c>
      <c r="X1264">
        <f t="shared" si="98"/>
        <v>5040.3599999999997</v>
      </c>
      <c r="Y1264">
        <f t="shared" si="99"/>
        <v>491.4351000000006</v>
      </c>
      <c r="Z1264" s="8" t="str">
        <f t="shared" si="96"/>
        <v>Medium</v>
      </c>
      <c r="AA1264" s="12">
        <f>DATE(YEAR(Table1[[#This Row],[OrderDate]]),MONTH(Table1[[#This Row],[OrderDate]]),1)</f>
        <v>45474</v>
      </c>
    </row>
    <row r="1265" spans="1:27" x14ac:dyDescent="0.3">
      <c r="A1265" s="3">
        <v>45662</v>
      </c>
      <c r="B1265" t="s">
        <v>11</v>
      </c>
      <c r="C1265" t="s">
        <v>31</v>
      </c>
      <c r="D1265" t="str">
        <f>TRIM(Table1[[#This Row],[Product]])</f>
        <v>Laptop</v>
      </c>
      <c r="E1265" t="str">
        <f>PROPER(Table1[[#This Row],[Column1]])</f>
        <v>Laptop</v>
      </c>
      <c r="F1265" s="8" t="str">
        <f t="shared" si="95"/>
        <v>Technology</v>
      </c>
      <c r="G1265" s="5">
        <v>8</v>
      </c>
      <c r="H1265">
        <v>275.32</v>
      </c>
      <c r="I1265" t="s">
        <v>81</v>
      </c>
      <c r="J1265" t="s">
        <v>65</v>
      </c>
      <c r="K1265" s="7">
        <v>0.1</v>
      </c>
      <c r="L1265" t="s">
        <v>23</v>
      </c>
      <c r="M1265" s="5">
        <v>1982.3040000000001</v>
      </c>
      <c r="N1265" t="s">
        <v>88</v>
      </c>
      <c r="O1265" t="s">
        <v>67</v>
      </c>
      <c r="P1265" s="5">
        <v>0</v>
      </c>
      <c r="Q1265" t="s">
        <v>2516</v>
      </c>
      <c r="R1265" t="s">
        <v>2517</v>
      </c>
      <c r="S1265" s="5">
        <v>18.260000000000002</v>
      </c>
      <c r="T1265" s="3">
        <v>45662</v>
      </c>
      <c r="U1265" s="3">
        <v>45670</v>
      </c>
      <c r="V1265" t="s">
        <v>74</v>
      </c>
      <c r="W1265">
        <f t="shared" si="97"/>
        <v>1784.0736000000002</v>
      </c>
      <c r="X1265">
        <f t="shared" si="98"/>
        <v>2202.56</v>
      </c>
      <c r="Y1265">
        <f t="shared" si="99"/>
        <v>418.48639999999978</v>
      </c>
      <c r="Z1265" s="8" t="str">
        <f t="shared" si="96"/>
        <v>Medium</v>
      </c>
      <c r="AA1265" s="12">
        <f>DATE(YEAR(Table1[[#This Row],[OrderDate]]),MONTH(Table1[[#This Row],[OrderDate]]),1)</f>
        <v>45658</v>
      </c>
    </row>
    <row r="1266" spans="1:27" x14ac:dyDescent="0.3">
      <c r="A1266" s="3">
        <v>45372</v>
      </c>
      <c r="B1266" t="s">
        <v>9</v>
      </c>
      <c r="C1266" t="s">
        <v>33</v>
      </c>
      <c r="D1266" t="str">
        <f>TRIM(Table1[[#This Row],[Product]])</f>
        <v>Phone</v>
      </c>
      <c r="E1266" t="str">
        <f>PROPER(Table1[[#This Row],[Column1]])</f>
        <v>Phone</v>
      </c>
      <c r="F1266" s="8" t="str">
        <f t="shared" si="95"/>
        <v>Technology</v>
      </c>
      <c r="G1266" s="5">
        <v>3</v>
      </c>
      <c r="H1266">
        <v>105.73</v>
      </c>
      <c r="I1266" t="s">
        <v>81</v>
      </c>
      <c r="J1266" t="s">
        <v>65</v>
      </c>
      <c r="K1266" s="7">
        <v>0.05</v>
      </c>
      <c r="L1266" t="s">
        <v>19</v>
      </c>
      <c r="M1266" s="5">
        <v>301.33049999999997</v>
      </c>
      <c r="N1266" t="s">
        <v>85</v>
      </c>
      <c r="O1266" t="s">
        <v>60</v>
      </c>
      <c r="P1266" s="5">
        <v>1</v>
      </c>
      <c r="Q1266" t="s">
        <v>2518</v>
      </c>
      <c r="R1266" t="s">
        <v>2519</v>
      </c>
      <c r="S1266" s="5">
        <v>12.12</v>
      </c>
      <c r="T1266" s="3">
        <v>45372</v>
      </c>
      <c r="U1266" s="3">
        <v>45379</v>
      </c>
      <c r="V1266" t="s">
        <v>63</v>
      </c>
      <c r="W1266">
        <f t="shared" si="97"/>
        <v>286.26397499999996</v>
      </c>
      <c r="X1266">
        <f t="shared" si="98"/>
        <v>317.19</v>
      </c>
      <c r="Y1266">
        <f t="shared" si="99"/>
        <v>30.926025000000038</v>
      </c>
      <c r="Z1266" s="8" t="str">
        <f t="shared" si="96"/>
        <v>Medium</v>
      </c>
      <c r="AA1266" s="12">
        <f>DATE(YEAR(Table1[[#This Row],[OrderDate]]),MONTH(Table1[[#This Row],[OrderDate]]),1)</f>
        <v>45352</v>
      </c>
    </row>
    <row r="1267" spans="1:27" x14ac:dyDescent="0.3">
      <c r="A1267" s="3">
        <v>45744</v>
      </c>
      <c r="B1267" t="s">
        <v>7</v>
      </c>
      <c r="C1267" t="s">
        <v>32</v>
      </c>
      <c r="D1267" t="str">
        <f>TRIM(Table1[[#This Row],[Product]])</f>
        <v>Monitor</v>
      </c>
      <c r="E1267" t="str">
        <f>PROPER(Table1[[#This Row],[Column1]])</f>
        <v>Monitor</v>
      </c>
      <c r="F1267" s="8" t="str">
        <f t="shared" si="95"/>
        <v>Technology</v>
      </c>
      <c r="G1267" s="5">
        <v>15</v>
      </c>
      <c r="H1267">
        <v>568.80999999999995</v>
      </c>
      <c r="I1267" t="s">
        <v>81</v>
      </c>
      <c r="J1267" t="s">
        <v>65</v>
      </c>
      <c r="K1267" s="7">
        <v>0.1</v>
      </c>
      <c r="L1267" t="s">
        <v>27</v>
      </c>
      <c r="M1267" s="5">
        <v>7678.9349999999986</v>
      </c>
      <c r="N1267" t="s">
        <v>66</v>
      </c>
      <c r="P1267" s="5">
        <v>0</v>
      </c>
      <c r="Q1267" t="s">
        <v>2520</v>
      </c>
      <c r="R1267" t="s">
        <v>2521</v>
      </c>
      <c r="S1267" s="5">
        <v>8.5399999999999991</v>
      </c>
      <c r="T1267" s="3">
        <v>45744</v>
      </c>
      <c r="U1267" s="3">
        <v>45750</v>
      </c>
      <c r="V1267" t="s">
        <v>77</v>
      </c>
      <c r="W1267">
        <f t="shared" si="97"/>
        <v>6911.0414999999985</v>
      </c>
      <c r="X1267">
        <f t="shared" si="98"/>
        <v>8532.15</v>
      </c>
      <c r="Y1267">
        <f t="shared" si="99"/>
        <v>1621.1085000000012</v>
      </c>
      <c r="Z1267" s="8" t="str">
        <f t="shared" si="96"/>
        <v>Medium</v>
      </c>
      <c r="AA1267" s="12">
        <f>DATE(YEAR(Table1[[#This Row],[OrderDate]]),MONTH(Table1[[#This Row],[OrderDate]]),1)</f>
        <v>45717</v>
      </c>
    </row>
    <row r="1268" spans="1:27" x14ac:dyDescent="0.3">
      <c r="A1268" s="3">
        <v>45760</v>
      </c>
      <c r="B1268" t="s">
        <v>7</v>
      </c>
      <c r="C1268" t="s">
        <v>31</v>
      </c>
      <c r="D1268" t="str">
        <f>TRIM(Table1[[#This Row],[Product]])</f>
        <v>Laptop</v>
      </c>
      <c r="E1268" t="str">
        <f>PROPER(Table1[[#This Row],[Column1]])</f>
        <v>Laptop</v>
      </c>
      <c r="F1268" s="8" t="str">
        <f t="shared" si="95"/>
        <v>Technology</v>
      </c>
      <c r="G1268" s="5">
        <v>20</v>
      </c>
      <c r="H1268">
        <v>190.39</v>
      </c>
      <c r="I1268" t="s">
        <v>57</v>
      </c>
      <c r="J1268" t="s">
        <v>65</v>
      </c>
      <c r="K1268" s="7">
        <v>0.1</v>
      </c>
      <c r="L1268" t="s">
        <v>19</v>
      </c>
      <c r="M1268" s="5">
        <v>3427.02</v>
      </c>
      <c r="N1268" t="s">
        <v>66</v>
      </c>
      <c r="O1268" t="s">
        <v>67</v>
      </c>
      <c r="P1268" s="5">
        <v>0</v>
      </c>
      <c r="Q1268" t="s">
        <v>2522</v>
      </c>
      <c r="R1268" t="s">
        <v>2523</v>
      </c>
      <c r="S1268" s="5">
        <v>49.93</v>
      </c>
      <c r="T1268" s="3">
        <v>45760</v>
      </c>
      <c r="U1268" s="3">
        <v>45765</v>
      </c>
      <c r="V1268" t="s">
        <v>77</v>
      </c>
      <c r="W1268">
        <f t="shared" si="97"/>
        <v>3084.3180000000002</v>
      </c>
      <c r="X1268">
        <f t="shared" si="98"/>
        <v>3807.7999999999997</v>
      </c>
      <c r="Y1268">
        <f t="shared" si="99"/>
        <v>723.48199999999952</v>
      </c>
      <c r="Z1268" s="8" t="str">
        <f t="shared" si="96"/>
        <v>Medium</v>
      </c>
      <c r="AA1268" s="12">
        <f>DATE(YEAR(Table1[[#This Row],[OrderDate]]),MONTH(Table1[[#This Row],[OrderDate]]),1)</f>
        <v>45748</v>
      </c>
    </row>
    <row r="1269" spans="1:27" x14ac:dyDescent="0.3">
      <c r="A1269" s="3">
        <v>45412</v>
      </c>
      <c r="B1269" t="s">
        <v>16</v>
      </c>
      <c r="C1269" t="s">
        <v>29</v>
      </c>
      <c r="D1269" t="str">
        <f>TRIM(Table1[[#This Row],[Product]])</f>
        <v>Chair</v>
      </c>
      <c r="E1269" t="str">
        <f>PROPER(Table1[[#This Row],[Column1]])</f>
        <v>Chair</v>
      </c>
      <c r="F1269" s="8" t="str">
        <f t="shared" si="95"/>
        <v>Furniture</v>
      </c>
      <c r="G1269" s="5">
        <v>19</v>
      </c>
      <c r="H1269">
        <v>433.39</v>
      </c>
      <c r="I1269" t="s">
        <v>78</v>
      </c>
      <c r="J1269" t="s">
        <v>65</v>
      </c>
      <c r="K1269" s="7">
        <v>0.05</v>
      </c>
      <c r="L1269" t="s">
        <v>19</v>
      </c>
      <c r="M1269" s="5">
        <v>7822.6894999999986</v>
      </c>
      <c r="N1269" t="s">
        <v>59</v>
      </c>
      <c r="O1269" t="s">
        <v>71</v>
      </c>
      <c r="P1269" s="5">
        <v>0</v>
      </c>
      <c r="Q1269" t="s">
        <v>2524</v>
      </c>
      <c r="R1269" t="s">
        <v>2525</v>
      </c>
      <c r="S1269" s="5">
        <v>7.59</v>
      </c>
      <c r="T1269" s="3">
        <v>45412</v>
      </c>
      <c r="U1269" s="3">
        <v>45421</v>
      </c>
      <c r="V1269" t="s">
        <v>95</v>
      </c>
      <c r="W1269">
        <f t="shared" si="97"/>
        <v>7431.5550249999987</v>
      </c>
      <c r="X1269">
        <f t="shared" si="98"/>
        <v>8234.41</v>
      </c>
      <c r="Y1269">
        <f t="shared" si="99"/>
        <v>802.8549750000011</v>
      </c>
      <c r="Z1269" s="8" t="str">
        <f t="shared" si="96"/>
        <v>Medium</v>
      </c>
      <c r="AA1269" s="12">
        <f>DATE(YEAR(Table1[[#This Row],[OrderDate]]),MONTH(Table1[[#This Row],[OrderDate]]),1)</f>
        <v>45383</v>
      </c>
    </row>
    <row r="1270" spans="1:27" x14ac:dyDescent="0.3">
      <c r="A1270" s="3">
        <v>45703</v>
      </c>
      <c r="B1270" t="s">
        <v>13</v>
      </c>
      <c r="C1270" t="s">
        <v>33</v>
      </c>
      <c r="D1270" t="str">
        <f>TRIM(Table1[[#This Row],[Product]])</f>
        <v>Phone</v>
      </c>
      <c r="E1270" t="str">
        <f>PROPER(Table1[[#This Row],[Column1]])</f>
        <v>Phone</v>
      </c>
      <c r="F1270" s="8" t="str">
        <f t="shared" si="95"/>
        <v>Technology</v>
      </c>
      <c r="G1270" s="5">
        <v>1</v>
      </c>
      <c r="H1270">
        <v>92.72</v>
      </c>
      <c r="I1270" t="s">
        <v>78</v>
      </c>
      <c r="J1270" t="s">
        <v>58</v>
      </c>
      <c r="K1270" s="7">
        <v>0.15</v>
      </c>
      <c r="L1270" t="s">
        <v>25</v>
      </c>
      <c r="M1270" s="5">
        <v>78.811999999999998</v>
      </c>
      <c r="N1270" t="s">
        <v>85</v>
      </c>
      <c r="O1270" t="s">
        <v>71</v>
      </c>
      <c r="P1270" s="5">
        <v>0</v>
      </c>
      <c r="Q1270" t="s">
        <v>2526</v>
      </c>
      <c r="R1270" t="s">
        <v>2527</v>
      </c>
      <c r="S1270" s="5">
        <v>48.46</v>
      </c>
      <c r="T1270" s="3">
        <v>45703</v>
      </c>
      <c r="U1270" s="3">
        <v>45707</v>
      </c>
      <c r="V1270" t="s">
        <v>70</v>
      </c>
      <c r="W1270">
        <f t="shared" si="97"/>
        <v>66.990200000000002</v>
      </c>
      <c r="X1270">
        <f t="shared" si="98"/>
        <v>92.72</v>
      </c>
      <c r="Y1270">
        <f t="shared" si="99"/>
        <v>25.729799999999997</v>
      </c>
      <c r="Z1270" s="8" t="str">
        <f t="shared" si="96"/>
        <v>High</v>
      </c>
      <c r="AA1270" s="12">
        <f>DATE(YEAR(Table1[[#This Row],[OrderDate]]),MONTH(Table1[[#This Row],[OrderDate]]),1)</f>
        <v>45689</v>
      </c>
    </row>
    <row r="1271" spans="1:27" x14ac:dyDescent="0.3">
      <c r="A1271" s="3">
        <v>45706</v>
      </c>
      <c r="B1271" t="s">
        <v>16</v>
      </c>
      <c r="C1271" t="s">
        <v>31</v>
      </c>
      <c r="D1271" t="str">
        <f>TRIM(Table1[[#This Row],[Product]])</f>
        <v>Laptop</v>
      </c>
      <c r="E1271" t="str">
        <f>PROPER(Table1[[#This Row],[Column1]])</f>
        <v>Laptop</v>
      </c>
      <c r="F1271" s="8" t="str">
        <f t="shared" si="95"/>
        <v>Technology</v>
      </c>
      <c r="G1271" s="5">
        <v>1</v>
      </c>
      <c r="H1271">
        <v>263.27999999999997</v>
      </c>
      <c r="I1271" t="s">
        <v>81</v>
      </c>
      <c r="J1271" t="s">
        <v>58</v>
      </c>
      <c r="K1271" s="7">
        <v>0.1</v>
      </c>
      <c r="L1271" t="s">
        <v>25</v>
      </c>
      <c r="M1271" s="5">
        <v>236.952</v>
      </c>
      <c r="N1271" t="s">
        <v>82</v>
      </c>
      <c r="O1271" t="s">
        <v>67</v>
      </c>
      <c r="P1271" s="5">
        <v>0</v>
      </c>
      <c r="Q1271" t="s">
        <v>2528</v>
      </c>
      <c r="R1271" t="s">
        <v>2529</v>
      </c>
      <c r="S1271" s="5">
        <v>36.28</v>
      </c>
      <c r="T1271" s="3">
        <v>45706</v>
      </c>
      <c r="U1271" s="3">
        <v>45711</v>
      </c>
      <c r="V1271" t="s">
        <v>95</v>
      </c>
      <c r="W1271">
        <f t="shared" si="97"/>
        <v>213.2568</v>
      </c>
      <c r="X1271">
        <f t="shared" si="98"/>
        <v>263.27999999999997</v>
      </c>
      <c r="Y1271">
        <f t="shared" si="99"/>
        <v>50.023199999999974</v>
      </c>
      <c r="Z1271" s="8" t="str">
        <f t="shared" si="96"/>
        <v>Medium</v>
      </c>
      <c r="AA1271" s="12">
        <f>DATE(YEAR(Table1[[#This Row],[OrderDate]]),MONTH(Table1[[#This Row],[OrderDate]]),1)</f>
        <v>45689</v>
      </c>
    </row>
    <row r="1272" spans="1:27" x14ac:dyDescent="0.3">
      <c r="A1272" s="3">
        <v>45177</v>
      </c>
      <c r="B1272" t="s">
        <v>16</v>
      </c>
      <c r="C1272" t="s">
        <v>33</v>
      </c>
      <c r="D1272" t="str">
        <f>TRIM(Table1[[#This Row],[Product]])</f>
        <v>Phone</v>
      </c>
      <c r="E1272" t="str">
        <f>PROPER(Table1[[#This Row],[Column1]])</f>
        <v>Phone</v>
      </c>
      <c r="F1272" s="8" t="str">
        <f t="shared" si="95"/>
        <v>Technology</v>
      </c>
      <c r="G1272" s="5">
        <v>11</v>
      </c>
      <c r="H1272">
        <v>358.59</v>
      </c>
      <c r="I1272" t="s">
        <v>57</v>
      </c>
      <c r="J1272" t="s">
        <v>58</v>
      </c>
      <c r="K1272" s="7">
        <v>0</v>
      </c>
      <c r="L1272" t="s">
        <v>27</v>
      </c>
      <c r="M1272" s="5">
        <v>3944.49</v>
      </c>
      <c r="N1272" t="s">
        <v>82</v>
      </c>
      <c r="P1272" s="5">
        <v>0</v>
      </c>
      <c r="Q1272" t="s">
        <v>2530</v>
      </c>
      <c r="R1272" t="s">
        <v>2531</v>
      </c>
      <c r="S1272" s="5">
        <v>29.19</v>
      </c>
      <c r="T1272" s="3">
        <v>45177</v>
      </c>
      <c r="U1272" s="3">
        <v>45179</v>
      </c>
      <c r="V1272" t="s">
        <v>95</v>
      </c>
      <c r="W1272">
        <f t="shared" si="97"/>
        <v>3944.49</v>
      </c>
      <c r="X1272">
        <f t="shared" si="98"/>
        <v>3944.49</v>
      </c>
      <c r="Y1272">
        <f t="shared" si="99"/>
        <v>0</v>
      </c>
      <c r="Z1272" s="8" t="str">
        <f t="shared" si="96"/>
        <v>No Discount</v>
      </c>
      <c r="AA1272" s="12">
        <f>DATE(YEAR(Table1[[#This Row],[OrderDate]]),MONTH(Table1[[#This Row],[OrderDate]]),1)</f>
        <v>45170</v>
      </c>
    </row>
    <row r="1273" spans="1:27" x14ac:dyDescent="0.3">
      <c r="A1273" s="3">
        <v>45326</v>
      </c>
      <c r="B1273" t="s">
        <v>7</v>
      </c>
      <c r="C1273" t="s">
        <v>35</v>
      </c>
      <c r="D1273" t="str">
        <f>TRIM(Table1[[#This Row],[Product]])</f>
        <v>Tablet</v>
      </c>
      <c r="E1273" t="str">
        <f>PROPER(Table1[[#This Row],[Column1]])</f>
        <v>Tablet</v>
      </c>
      <c r="F1273" s="8" t="str">
        <f t="shared" si="95"/>
        <v>Technology</v>
      </c>
      <c r="G1273" s="5">
        <v>18</v>
      </c>
      <c r="H1273">
        <v>595.53</v>
      </c>
      <c r="I1273" t="s">
        <v>57</v>
      </c>
      <c r="J1273" t="s">
        <v>65</v>
      </c>
      <c r="K1273" s="7">
        <v>0</v>
      </c>
      <c r="L1273" t="s">
        <v>27</v>
      </c>
      <c r="M1273" s="5">
        <v>10719.54</v>
      </c>
      <c r="N1273" t="s">
        <v>88</v>
      </c>
      <c r="O1273" t="s">
        <v>71</v>
      </c>
      <c r="P1273" s="5">
        <v>0</v>
      </c>
      <c r="Q1273" t="s">
        <v>2532</v>
      </c>
      <c r="R1273" t="s">
        <v>2533</v>
      </c>
      <c r="S1273" s="5">
        <v>42.91</v>
      </c>
      <c r="T1273" s="3">
        <v>45326</v>
      </c>
      <c r="U1273" s="3">
        <v>45328</v>
      </c>
      <c r="V1273" t="s">
        <v>77</v>
      </c>
      <c r="W1273">
        <f t="shared" si="97"/>
        <v>10719.54</v>
      </c>
      <c r="X1273">
        <f t="shared" si="98"/>
        <v>10719.539999999999</v>
      </c>
      <c r="Y1273">
        <f t="shared" si="99"/>
        <v>0</v>
      </c>
      <c r="Z1273" s="8" t="str">
        <f t="shared" si="96"/>
        <v>No Discount</v>
      </c>
      <c r="AA1273" s="12">
        <f>DATE(YEAR(Table1[[#This Row],[OrderDate]]),MONTH(Table1[[#This Row],[OrderDate]]),1)</f>
        <v>45323</v>
      </c>
    </row>
    <row r="1274" spans="1:27" x14ac:dyDescent="0.3">
      <c r="A1274" s="3">
        <v>45621</v>
      </c>
      <c r="B1274" t="s">
        <v>11</v>
      </c>
      <c r="C1274" t="s">
        <v>32</v>
      </c>
      <c r="D1274" t="str">
        <f>TRIM(Table1[[#This Row],[Product]])</f>
        <v>Monitor</v>
      </c>
      <c r="E1274" t="str">
        <f>PROPER(Table1[[#This Row],[Column1]])</f>
        <v>Monitor</v>
      </c>
      <c r="F1274" s="8" t="str">
        <f t="shared" si="95"/>
        <v>Technology</v>
      </c>
      <c r="G1274" s="5">
        <v>14</v>
      </c>
      <c r="H1274">
        <v>574.32000000000005</v>
      </c>
      <c r="I1274" t="s">
        <v>81</v>
      </c>
      <c r="J1274" t="s">
        <v>58</v>
      </c>
      <c r="K1274" s="7">
        <v>0.15</v>
      </c>
      <c r="L1274" t="s">
        <v>23</v>
      </c>
      <c r="M1274" s="5">
        <v>6834.4080000000004</v>
      </c>
      <c r="N1274" t="s">
        <v>82</v>
      </c>
      <c r="O1274" t="s">
        <v>67</v>
      </c>
      <c r="P1274" s="5">
        <v>0</v>
      </c>
      <c r="Q1274" t="s">
        <v>2534</v>
      </c>
      <c r="R1274" t="s">
        <v>2535</v>
      </c>
      <c r="S1274" s="5">
        <v>12.07</v>
      </c>
      <c r="T1274" s="3">
        <v>45621</v>
      </c>
      <c r="U1274" s="3">
        <v>45631</v>
      </c>
      <c r="V1274" t="s">
        <v>74</v>
      </c>
      <c r="W1274">
        <f t="shared" si="97"/>
        <v>5809.2467999999999</v>
      </c>
      <c r="X1274">
        <f t="shared" si="98"/>
        <v>8040.4800000000005</v>
      </c>
      <c r="Y1274">
        <f t="shared" si="99"/>
        <v>2231.2332000000006</v>
      </c>
      <c r="Z1274" s="8" t="str">
        <f t="shared" si="96"/>
        <v>High</v>
      </c>
      <c r="AA1274" s="12">
        <f>DATE(YEAR(Table1[[#This Row],[OrderDate]]),MONTH(Table1[[#This Row],[OrderDate]]),1)</f>
        <v>45597</v>
      </c>
    </row>
    <row r="1275" spans="1:27" x14ac:dyDescent="0.3">
      <c r="A1275" s="3">
        <v>45656</v>
      </c>
      <c r="B1275" t="s">
        <v>11</v>
      </c>
      <c r="C1275" t="s">
        <v>31</v>
      </c>
      <c r="D1275" t="str">
        <f>TRIM(Table1[[#This Row],[Product]])</f>
        <v>Laptop</v>
      </c>
      <c r="E1275" t="str">
        <f>PROPER(Table1[[#This Row],[Column1]])</f>
        <v>Laptop</v>
      </c>
      <c r="F1275" s="8" t="str">
        <f t="shared" si="95"/>
        <v>Technology</v>
      </c>
      <c r="G1275" s="5">
        <v>18</v>
      </c>
      <c r="H1275">
        <v>444.13</v>
      </c>
      <c r="I1275" t="s">
        <v>81</v>
      </c>
      <c r="J1275" t="s">
        <v>65</v>
      </c>
      <c r="K1275" s="7">
        <v>0</v>
      </c>
      <c r="L1275" t="s">
        <v>27</v>
      </c>
      <c r="M1275" s="5">
        <v>7994.34</v>
      </c>
      <c r="N1275" t="s">
        <v>88</v>
      </c>
      <c r="O1275" t="s">
        <v>67</v>
      </c>
      <c r="P1275" s="5">
        <v>0</v>
      </c>
      <c r="Q1275" t="s">
        <v>2536</v>
      </c>
      <c r="R1275" t="s">
        <v>2537</v>
      </c>
      <c r="S1275" s="5">
        <v>5.41</v>
      </c>
      <c r="T1275" s="3">
        <v>45656</v>
      </c>
      <c r="U1275" s="3">
        <v>45659</v>
      </c>
      <c r="V1275" t="s">
        <v>74</v>
      </c>
      <c r="W1275">
        <f t="shared" si="97"/>
        <v>7994.34</v>
      </c>
      <c r="X1275">
        <f t="shared" si="98"/>
        <v>7994.34</v>
      </c>
      <c r="Y1275">
        <f t="shared" si="99"/>
        <v>0</v>
      </c>
      <c r="Z1275" s="8" t="str">
        <f t="shared" si="96"/>
        <v>No Discount</v>
      </c>
      <c r="AA1275" s="12">
        <f>DATE(YEAR(Table1[[#This Row],[OrderDate]]),MONTH(Table1[[#This Row],[OrderDate]]),1)</f>
        <v>45627</v>
      </c>
    </row>
    <row r="1276" spans="1:27" x14ac:dyDescent="0.3">
      <c r="A1276" s="3">
        <v>45174</v>
      </c>
      <c r="B1276" t="s">
        <v>16</v>
      </c>
      <c r="C1276" t="s">
        <v>35</v>
      </c>
      <c r="D1276" t="str">
        <f>TRIM(Table1[[#This Row],[Product]])</f>
        <v>Tablet</v>
      </c>
      <c r="E1276" t="str">
        <f>PROPER(Table1[[#This Row],[Column1]])</f>
        <v>Tablet</v>
      </c>
      <c r="F1276" s="8" t="str">
        <f t="shared" si="95"/>
        <v>Technology</v>
      </c>
      <c r="G1276" s="5">
        <v>19</v>
      </c>
      <c r="H1276">
        <v>431.47</v>
      </c>
      <c r="I1276" t="s">
        <v>64</v>
      </c>
      <c r="J1276" t="s">
        <v>65</v>
      </c>
      <c r="K1276" s="7">
        <v>0.1</v>
      </c>
      <c r="L1276" t="s">
        <v>25</v>
      </c>
      <c r="M1276" s="5">
        <v>7378.1370000000006</v>
      </c>
      <c r="N1276" t="s">
        <v>66</v>
      </c>
      <c r="O1276" t="s">
        <v>71</v>
      </c>
      <c r="P1276" s="5">
        <v>0</v>
      </c>
      <c r="Q1276" t="s">
        <v>2538</v>
      </c>
      <c r="R1276" t="s">
        <v>2539</v>
      </c>
      <c r="S1276" s="5">
        <v>49.23</v>
      </c>
      <c r="T1276" s="3">
        <v>45174</v>
      </c>
      <c r="U1276" s="3">
        <v>45179</v>
      </c>
      <c r="V1276" t="s">
        <v>95</v>
      </c>
      <c r="W1276">
        <f t="shared" si="97"/>
        <v>6640.3233000000009</v>
      </c>
      <c r="X1276">
        <f t="shared" si="98"/>
        <v>8197.93</v>
      </c>
      <c r="Y1276">
        <f t="shared" si="99"/>
        <v>1557.6066999999994</v>
      </c>
      <c r="Z1276" s="8" t="str">
        <f t="shared" si="96"/>
        <v>Medium</v>
      </c>
      <c r="AA1276" s="12">
        <f>DATE(YEAR(Table1[[#This Row],[OrderDate]]),MONTH(Table1[[#This Row],[OrderDate]]),1)</f>
        <v>45170</v>
      </c>
    </row>
    <row r="1277" spans="1:27" x14ac:dyDescent="0.3">
      <c r="A1277" s="3">
        <v>45139</v>
      </c>
      <c r="B1277" t="s">
        <v>16</v>
      </c>
      <c r="C1277" t="s">
        <v>34</v>
      </c>
      <c r="D1277" t="str">
        <f>TRIM(Table1[[#This Row],[Product]])</f>
        <v>Printer</v>
      </c>
      <c r="E1277" t="str">
        <f>PROPER(Table1[[#This Row],[Column1]])</f>
        <v>Printer</v>
      </c>
      <c r="F1277" s="8" t="str">
        <f t="shared" si="95"/>
        <v>Office Supplies</v>
      </c>
      <c r="G1277" s="5">
        <v>19</v>
      </c>
      <c r="H1277">
        <v>67.489999999999995</v>
      </c>
      <c r="I1277" t="s">
        <v>78</v>
      </c>
      <c r="J1277" t="s">
        <v>65</v>
      </c>
      <c r="K1277" s="7">
        <v>0</v>
      </c>
      <c r="L1277" t="s">
        <v>27</v>
      </c>
      <c r="M1277" s="5">
        <v>1282.31</v>
      </c>
      <c r="N1277" t="s">
        <v>85</v>
      </c>
      <c r="O1277" t="s">
        <v>67</v>
      </c>
      <c r="P1277" s="5">
        <v>0</v>
      </c>
      <c r="Q1277" t="s">
        <v>2540</v>
      </c>
      <c r="R1277" t="s">
        <v>2541</v>
      </c>
      <c r="S1277" s="5">
        <v>32.04</v>
      </c>
      <c r="T1277" s="3">
        <v>45139</v>
      </c>
      <c r="U1277" s="3">
        <v>45149</v>
      </c>
      <c r="V1277" t="s">
        <v>95</v>
      </c>
      <c r="W1277">
        <f t="shared" si="97"/>
        <v>1282.31</v>
      </c>
      <c r="X1277">
        <f t="shared" si="98"/>
        <v>1282.31</v>
      </c>
      <c r="Y1277">
        <f t="shared" si="99"/>
        <v>0</v>
      </c>
      <c r="Z1277" s="8" t="str">
        <f t="shared" si="96"/>
        <v>No Discount</v>
      </c>
      <c r="AA1277" s="12">
        <f>DATE(YEAR(Table1[[#This Row],[OrderDate]]),MONTH(Table1[[#This Row],[OrderDate]]),1)</f>
        <v>45139</v>
      </c>
    </row>
    <row r="1278" spans="1:27" x14ac:dyDescent="0.3">
      <c r="A1278" s="3">
        <v>44932</v>
      </c>
      <c r="B1278" t="s">
        <v>7</v>
      </c>
      <c r="C1278" t="s">
        <v>35</v>
      </c>
      <c r="D1278" t="str">
        <f>TRIM(Table1[[#This Row],[Product]])</f>
        <v>Tablet</v>
      </c>
      <c r="E1278" t="str">
        <f>PROPER(Table1[[#This Row],[Column1]])</f>
        <v>Tablet</v>
      </c>
      <c r="F1278" s="8" t="str">
        <f t="shared" si="95"/>
        <v>Technology</v>
      </c>
      <c r="G1278" s="5">
        <v>11</v>
      </c>
      <c r="H1278">
        <v>25.67</v>
      </c>
      <c r="I1278" t="s">
        <v>78</v>
      </c>
      <c r="J1278" t="s">
        <v>65</v>
      </c>
      <c r="K1278" s="7">
        <v>0.15</v>
      </c>
      <c r="L1278" t="s">
        <v>21</v>
      </c>
      <c r="M1278" s="5">
        <v>240.0145</v>
      </c>
      <c r="N1278" t="s">
        <v>82</v>
      </c>
      <c r="O1278" t="s">
        <v>67</v>
      </c>
      <c r="P1278" s="5">
        <v>0</v>
      </c>
      <c r="Q1278" t="s">
        <v>2542</v>
      </c>
      <c r="R1278" t="s">
        <v>2543</v>
      </c>
      <c r="S1278" s="5">
        <v>30.12</v>
      </c>
      <c r="T1278" s="3">
        <v>44932</v>
      </c>
      <c r="U1278" s="3">
        <v>44934</v>
      </c>
      <c r="V1278" t="s">
        <v>77</v>
      </c>
      <c r="W1278">
        <f t="shared" si="97"/>
        <v>204.012325</v>
      </c>
      <c r="X1278">
        <f t="shared" si="98"/>
        <v>282.37</v>
      </c>
      <c r="Y1278">
        <f t="shared" si="99"/>
        <v>78.357675</v>
      </c>
      <c r="Z1278" s="8" t="str">
        <f t="shared" si="96"/>
        <v>High</v>
      </c>
      <c r="AA1278" s="12">
        <f>DATE(YEAR(Table1[[#This Row],[OrderDate]]),MONTH(Table1[[#This Row],[OrderDate]]),1)</f>
        <v>44927</v>
      </c>
    </row>
    <row r="1279" spans="1:27" x14ac:dyDescent="0.3">
      <c r="A1279" s="3">
        <v>45779</v>
      </c>
      <c r="B1279" t="s">
        <v>7</v>
      </c>
      <c r="C1279" t="s">
        <v>33</v>
      </c>
      <c r="D1279" t="str">
        <f>TRIM(Table1[[#This Row],[Product]])</f>
        <v>Phone</v>
      </c>
      <c r="E1279" t="str">
        <f>PROPER(Table1[[#This Row],[Column1]])</f>
        <v>Phone</v>
      </c>
      <c r="F1279" s="8" t="str">
        <f t="shared" si="95"/>
        <v>Technology</v>
      </c>
      <c r="G1279" s="5">
        <v>4</v>
      </c>
      <c r="H1279">
        <v>368.69</v>
      </c>
      <c r="I1279" t="s">
        <v>81</v>
      </c>
      <c r="J1279" t="s">
        <v>58</v>
      </c>
      <c r="K1279" s="7">
        <v>0</v>
      </c>
      <c r="L1279" t="s">
        <v>23</v>
      </c>
      <c r="M1279" s="5">
        <v>1474.76</v>
      </c>
      <c r="N1279" t="s">
        <v>66</v>
      </c>
      <c r="O1279" t="s">
        <v>71</v>
      </c>
      <c r="P1279" s="5">
        <v>0</v>
      </c>
      <c r="Q1279" t="s">
        <v>2544</v>
      </c>
      <c r="R1279" t="s">
        <v>2545</v>
      </c>
      <c r="S1279" s="5">
        <v>48.57</v>
      </c>
      <c r="T1279" s="3">
        <v>45779</v>
      </c>
      <c r="U1279" s="3">
        <v>45783</v>
      </c>
      <c r="V1279" t="s">
        <v>77</v>
      </c>
      <c r="W1279">
        <f t="shared" si="97"/>
        <v>1474.76</v>
      </c>
      <c r="X1279">
        <f t="shared" si="98"/>
        <v>1474.76</v>
      </c>
      <c r="Y1279">
        <f t="shared" si="99"/>
        <v>0</v>
      </c>
      <c r="Z1279" s="8" t="str">
        <f t="shared" si="96"/>
        <v>No Discount</v>
      </c>
      <c r="AA1279" s="12">
        <f>DATE(YEAR(Table1[[#This Row],[OrderDate]]),MONTH(Table1[[#This Row],[OrderDate]]),1)</f>
        <v>45778</v>
      </c>
    </row>
    <row r="1280" spans="1:27" x14ac:dyDescent="0.3">
      <c r="A1280" s="3">
        <v>45281</v>
      </c>
      <c r="B1280" t="s">
        <v>16</v>
      </c>
      <c r="C1280" t="s">
        <v>32</v>
      </c>
      <c r="D1280" t="str">
        <f>TRIM(Table1[[#This Row],[Product]])</f>
        <v>Monitor</v>
      </c>
      <c r="E1280" t="str">
        <f>PROPER(Table1[[#This Row],[Column1]])</f>
        <v>Monitor</v>
      </c>
      <c r="F1280" s="8" t="str">
        <f t="shared" si="95"/>
        <v>Technology</v>
      </c>
      <c r="G1280" s="5">
        <v>7</v>
      </c>
      <c r="H1280">
        <v>257.01</v>
      </c>
      <c r="I1280" t="s">
        <v>81</v>
      </c>
      <c r="J1280" t="s">
        <v>65</v>
      </c>
      <c r="K1280" s="7">
        <v>0.05</v>
      </c>
      <c r="L1280" t="s">
        <v>25</v>
      </c>
      <c r="M1280" s="5">
        <v>1709.1165000000001</v>
      </c>
      <c r="N1280" t="s">
        <v>82</v>
      </c>
      <c r="P1280" s="5">
        <v>0</v>
      </c>
      <c r="Q1280" t="s">
        <v>2546</v>
      </c>
      <c r="R1280" t="s">
        <v>2547</v>
      </c>
      <c r="S1280" s="5">
        <v>35.520000000000003</v>
      </c>
      <c r="T1280" s="3">
        <v>45281</v>
      </c>
      <c r="U1280" s="3">
        <v>45288</v>
      </c>
      <c r="V1280" t="s">
        <v>95</v>
      </c>
      <c r="W1280">
        <f t="shared" si="97"/>
        <v>1623.6606750000001</v>
      </c>
      <c r="X1280">
        <f t="shared" si="98"/>
        <v>1799.07</v>
      </c>
      <c r="Y1280">
        <f t="shared" si="99"/>
        <v>175.40932499999985</v>
      </c>
      <c r="Z1280" s="8" t="str">
        <f t="shared" si="96"/>
        <v>Medium</v>
      </c>
      <c r="AA1280" s="12">
        <f>DATE(YEAR(Table1[[#This Row],[OrderDate]]),MONTH(Table1[[#This Row],[OrderDate]]),1)</f>
        <v>45261</v>
      </c>
    </row>
    <row r="1281" spans="1:27" x14ac:dyDescent="0.3">
      <c r="A1281" s="3">
        <v>45545</v>
      </c>
      <c r="B1281" t="s">
        <v>9</v>
      </c>
      <c r="C1281" t="s">
        <v>31</v>
      </c>
      <c r="D1281" t="str">
        <f>TRIM(Table1[[#This Row],[Product]])</f>
        <v>Laptop</v>
      </c>
      <c r="E1281" t="str">
        <f>PROPER(Table1[[#This Row],[Column1]])</f>
        <v>Laptop</v>
      </c>
      <c r="F1281" s="8" t="str">
        <f t="shared" si="95"/>
        <v>Technology</v>
      </c>
      <c r="G1281" s="5">
        <v>14</v>
      </c>
      <c r="H1281">
        <v>85.54</v>
      </c>
      <c r="I1281" t="s">
        <v>57</v>
      </c>
      <c r="J1281" t="s">
        <v>58</v>
      </c>
      <c r="K1281" s="7">
        <v>0</v>
      </c>
      <c r="L1281" t="s">
        <v>27</v>
      </c>
      <c r="M1281" s="5">
        <v>1197.56</v>
      </c>
      <c r="N1281" t="s">
        <v>66</v>
      </c>
      <c r="O1281" t="s">
        <v>60</v>
      </c>
      <c r="P1281" s="5">
        <v>0</v>
      </c>
      <c r="Q1281" t="s">
        <v>2548</v>
      </c>
      <c r="R1281" t="s">
        <v>2549</v>
      </c>
      <c r="S1281" s="5">
        <v>16.079999999999998</v>
      </c>
      <c r="T1281" s="3">
        <v>45545</v>
      </c>
      <c r="U1281" s="3">
        <v>45549</v>
      </c>
      <c r="V1281" t="s">
        <v>63</v>
      </c>
      <c r="W1281">
        <f t="shared" si="97"/>
        <v>1197.56</v>
      </c>
      <c r="X1281">
        <f t="shared" si="98"/>
        <v>1197.5600000000002</v>
      </c>
      <c r="Y1281">
        <f t="shared" si="99"/>
        <v>0</v>
      </c>
      <c r="Z1281" s="8" t="str">
        <f t="shared" si="96"/>
        <v>No Discount</v>
      </c>
      <c r="AA1281" s="12">
        <f>DATE(YEAR(Table1[[#This Row],[OrderDate]]),MONTH(Table1[[#This Row],[OrderDate]]),1)</f>
        <v>45536</v>
      </c>
    </row>
    <row r="1282" spans="1:27" x14ac:dyDescent="0.3">
      <c r="A1282" s="3">
        <v>45387</v>
      </c>
      <c r="B1282" t="s">
        <v>7</v>
      </c>
      <c r="C1282" t="s">
        <v>29</v>
      </c>
      <c r="D1282" t="str">
        <f>TRIM(Table1[[#This Row],[Product]])</f>
        <v>Chair</v>
      </c>
      <c r="E1282" t="str">
        <f>PROPER(Table1[[#This Row],[Column1]])</f>
        <v>Chair</v>
      </c>
      <c r="F1282" s="8" t="str">
        <f t="shared" ref="F1282:F1345" si="100">IF(OR(E1282="Chair",E1282="Desk"),"Furniture",IF(OR(E1282="Laptop",E1282="Monitor",E1282="Phone",E1282="Tablet"),"Technology",IF(E1282="Printer","Office Supplies","Other")))</f>
        <v>Furniture</v>
      </c>
      <c r="G1282" s="5">
        <v>9</v>
      </c>
      <c r="H1282">
        <v>267.60000000000002</v>
      </c>
      <c r="I1282" t="s">
        <v>81</v>
      </c>
      <c r="J1282" t="s">
        <v>65</v>
      </c>
      <c r="K1282" s="7">
        <v>0.15</v>
      </c>
      <c r="L1282" t="s">
        <v>25</v>
      </c>
      <c r="M1282" s="5">
        <v>2047.14</v>
      </c>
      <c r="N1282" t="s">
        <v>82</v>
      </c>
      <c r="O1282" t="s">
        <v>60</v>
      </c>
      <c r="P1282" s="5">
        <v>0</v>
      </c>
      <c r="Q1282" t="s">
        <v>2550</v>
      </c>
      <c r="R1282" t="s">
        <v>2551</v>
      </c>
      <c r="S1282" s="5">
        <v>8.48</v>
      </c>
      <c r="T1282" s="3">
        <v>45387</v>
      </c>
      <c r="U1282" s="3">
        <v>45392</v>
      </c>
      <c r="V1282" t="s">
        <v>77</v>
      </c>
      <c r="W1282">
        <f t="shared" si="97"/>
        <v>1740.069</v>
      </c>
      <c r="X1282">
        <f t="shared" si="98"/>
        <v>2408.4</v>
      </c>
      <c r="Y1282">
        <f t="shared" si="99"/>
        <v>668.33100000000013</v>
      </c>
      <c r="Z1282" s="8" t="str">
        <f t="shared" ref="Z1282:Z1345" si="101">IF(K1282=0,"No Discount",IF(K1282&lt;5%,"Low",IF(K1282&lt;15%,"Medium","High")))</f>
        <v>High</v>
      </c>
      <c r="AA1282" s="12">
        <f>DATE(YEAR(Table1[[#This Row],[OrderDate]]),MONTH(Table1[[#This Row],[OrderDate]]),1)</f>
        <v>45383</v>
      </c>
    </row>
    <row r="1283" spans="1:27" x14ac:dyDescent="0.3">
      <c r="A1283" s="3">
        <v>45133</v>
      </c>
      <c r="B1283" t="s">
        <v>9</v>
      </c>
      <c r="C1283" t="s">
        <v>30</v>
      </c>
      <c r="D1283" t="str">
        <f>TRIM(Table1[[#This Row],[Product]])</f>
        <v>Desk</v>
      </c>
      <c r="E1283" t="str">
        <f>PROPER(Table1[[#This Row],[Column1]])</f>
        <v>Desk</v>
      </c>
      <c r="F1283" s="8" t="str">
        <f t="shared" si="100"/>
        <v>Furniture</v>
      </c>
      <c r="G1283" s="5">
        <v>15</v>
      </c>
      <c r="H1283">
        <v>261.85000000000002</v>
      </c>
      <c r="I1283" t="s">
        <v>81</v>
      </c>
      <c r="J1283" t="s">
        <v>58</v>
      </c>
      <c r="K1283" s="7">
        <v>0.15</v>
      </c>
      <c r="L1283" t="s">
        <v>23</v>
      </c>
      <c r="M1283" s="5">
        <v>3338.5875000000001</v>
      </c>
      <c r="N1283" t="s">
        <v>59</v>
      </c>
      <c r="O1283" t="s">
        <v>67</v>
      </c>
      <c r="P1283" s="5">
        <v>0</v>
      </c>
      <c r="Q1283" t="s">
        <v>2552</v>
      </c>
      <c r="R1283" t="s">
        <v>2553</v>
      </c>
      <c r="S1283" s="5">
        <v>40.68</v>
      </c>
      <c r="T1283" s="3">
        <v>45133</v>
      </c>
      <c r="U1283" s="3">
        <v>45138</v>
      </c>
      <c r="V1283" t="s">
        <v>63</v>
      </c>
      <c r="W1283">
        <f t="shared" ref="W1283:W1346" si="102">M1283*(1-K1283)</f>
        <v>2837.7993750000001</v>
      </c>
      <c r="X1283">
        <f t="shared" ref="X1283:X1346" si="103">G1283*H1283</f>
        <v>3927.7500000000005</v>
      </c>
      <c r="Y1283">
        <f t="shared" ref="Y1283:Y1346" si="104">X1283-W1283</f>
        <v>1089.9506250000004</v>
      </c>
      <c r="Z1283" s="8" t="str">
        <f t="shared" si="101"/>
        <v>High</v>
      </c>
      <c r="AA1283" s="12">
        <f>DATE(YEAR(Table1[[#This Row],[OrderDate]]),MONTH(Table1[[#This Row],[OrderDate]]),1)</f>
        <v>45108</v>
      </c>
    </row>
    <row r="1284" spans="1:27" x14ac:dyDescent="0.3">
      <c r="A1284" s="3">
        <v>45242</v>
      </c>
      <c r="B1284" t="s">
        <v>9</v>
      </c>
      <c r="C1284" t="s">
        <v>34</v>
      </c>
      <c r="D1284" t="str">
        <f>TRIM(Table1[[#This Row],[Product]])</f>
        <v>Printer</v>
      </c>
      <c r="E1284" t="str">
        <f>PROPER(Table1[[#This Row],[Column1]])</f>
        <v>Printer</v>
      </c>
      <c r="F1284" s="8" t="str">
        <f t="shared" si="100"/>
        <v>Office Supplies</v>
      </c>
      <c r="G1284" s="5">
        <v>11</v>
      </c>
      <c r="H1284">
        <v>199.57</v>
      </c>
      <c r="I1284" t="s">
        <v>64</v>
      </c>
      <c r="J1284" t="s">
        <v>65</v>
      </c>
      <c r="K1284" s="7">
        <v>0.05</v>
      </c>
      <c r="L1284" t="s">
        <v>19</v>
      </c>
      <c r="M1284" s="5">
        <v>2085.5065</v>
      </c>
      <c r="N1284" t="s">
        <v>85</v>
      </c>
      <c r="O1284" t="s">
        <v>67</v>
      </c>
      <c r="P1284" s="5">
        <v>0</v>
      </c>
      <c r="Q1284" t="s">
        <v>2554</v>
      </c>
      <c r="R1284" t="s">
        <v>2511</v>
      </c>
      <c r="S1284" s="5">
        <v>48.94</v>
      </c>
      <c r="T1284" s="3">
        <v>45242</v>
      </c>
      <c r="U1284" s="3">
        <v>45244</v>
      </c>
      <c r="V1284" t="s">
        <v>63</v>
      </c>
      <c r="W1284">
        <f t="shared" si="102"/>
        <v>1981.2311749999999</v>
      </c>
      <c r="X1284">
        <f t="shared" si="103"/>
        <v>2195.27</v>
      </c>
      <c r="Y1284">
        <f t="shared" si="104"/>
        <v>214.03882500000009</v>
      </c>
      <c r="Z1284" s="8" t="str">
        <f t="shared" si="101"/>
        <v>Medium</v>
      </c>
      <c r="AA1284" s="12">
        <f>DATE(YEAR(Table1[[#This Row],[OrderDate]]),MONTH(Table1[[#This Row],[OrderDate]]),1)</f>
        <v>45231</v>
      </c>
    </row>
    <row r="1285" spans="1:27" x14ac:dyDescent="0.3">
      <c r="A1285" s="3">
        <v>45765</v>
      </c>
      <c r="B1285" t="s">
        <v>7</v>
      </c>
      <c r="C1285" t="s">
        <v>33</v>
      </c>
      <c r="D1285" t="str">
        <f>TRIM(Table1[[#This Row],[Product]])</f>
        <v>Phone</v>
      </c>
      <c r="E1285" t="str">
        <f>PROPER(Table1[[#This Row],[Column1]])</f>
        <v>Phone</v>
      </c>
      <c r="F1285" s="8" t="str">
        <f t="shared" si="100"/>
        <v>Technology</v>
      </c>
      <c r="G1285" s="5">
        <v>5</v>
      </c>
      <c r="H1285">
        <v>504.96</v>
      </c>
      <c r="I1285" t="s">
        <v>78</v>
      </c>
      <c r="J1285" t="s">
        <v>65</v>
      </c>
      <c r="K1285" s="7">
        <v>0.05</v>
      </c>
      <c r="L1285" t="s">
        <v>23</v>
      </c>
      <c r="M1285" s="5">
        <v>2398.559999999999</v>
      </c>
      <c r="N1285" t="s">
        <v>66</v>
      </c>
      <c r="O1285" t="s">
        <v>60</v>
      </c>
      <c r="P1285" s="5">
        <v>0</v>
      </c>
      <c r="Q1285" t="s">
        <v>2555</v>
      </c>
      <c r="R1285" t="s">
        <v>2556</v>
      </c>
      <c r="S1285" s="5">
        <v>22.12</v>
      </c>
      <c r="T1285" s="3">
        <v>45765</v>
      </c>
      <c r="U1285" s="3">
        <v>45767</v>
      </c>
      <c r="V1285" t="s">
        <v>77</v>
      </c>
      <c r="W1285">
        <f t="shared" si="102"/>
        <v>2278.6319999999992</v>
      </c>
      <c r="X1285">
        <f t="shared" si="103"/>
        <v>2524.7999999999997</v>
      </c>
      <c r="Y1285">
        <f t="shared" si="104"/>
        <v>246.16800000000057</v>
      </c>
      <c r="Z1285" s="8" t="str">
        <f t="shared" si="101"/>
        <v>Medium</v>
      </c>
      <c r="AA1285" s="12">
        <f>DATE(YEAR(Table1[[#This Row],[OrderDate]]),MONTH(Table1[[#This Row],[OrderDate]]),1)</f>
        <v>45748</v>
      </c>
    </row>
    <row r="1286" spans="1:27" x14ac:dyDescent="0.3">
      <c r="A1286" s="3">
        <v>45150</v>
      </c>
      <c r="B1286" t="s">
        <v>13</v>
      </c>
      <c r="C1286" t="s">
        <v>29</v>
      </c>
      <c r="D1286" t="str">
        <f>TRIM(Table1[[#This Row],[Product]])</f>
        <v>Chair</v>
      </c>
      <c r="E1286" t="str">
        <f>PROPER(Table1[[#This Row],[Column1]])</f>
        <v>Chair</v>
      </c>
      <c r="F1286" s="8" t="str">
        <f t="shared" si="100"/>
        <v>Furniture</v>
      </c>
      <c r="G1286" s="5">
        <v>8</v>
      </c>
      <c r="H1286">
        <v>28.34</v>
      </c>
      <c r="I1286" t="s">
        <v>78</v>
      </c>
      <c r="J1286" t="s">
        <v>58</v>
      </c>
      <c r="K1286" s="7">
        <v>0.05</v>
      </c>
      <c r="L1286" t="s">
        <v>18</v>
      </c>
      <c r="M1286" s="5">
        <v>215.38399999999999</v>
      </c>
      <c r="N1286" t="s">
        <v>88</v>
      </c>
      <c r="P1286" s="5">
        <v>1</v>
      </c>
      <c r="Q1286" t="s">
        <v>2557</v>
      </c>
      <c r="R1286" t="s">
        <v>2558</v>
      </c>
      <c r="S1286" s="5">
        <v>23.19</v>
      </c>
      <c r="T1286" s="3">
        <v>45150</v>
      </c>
      <c r="U1286" s="3">
        <v>45157</v>
      </c>
      <c r="V1286" t="s">
        <v>70</v>
      </c>
      <c r="W1286">
        <f t="shared" si="102"/>
        <v>204.61479999999997</v>
      </c>
      <c r="X1286">
        <f t="shared" si="103"/>
        <v>226.72</v>
      </c>
      <c r="Y1286">
        <f t="shared" si="104"/>
        <v>22.105200000000025</v>
      </c>
      <c r="Z1286" s="8" t="str">
        <f t="shared" si="101"/>
        <v>Medium</v>
      </c>
      <c r="AA1286" s="12">
        <f>DATE(YEAR(Table1[[#This Row],[OrderDate]]),MONTH(Table1[[#This Row],[OrderDate]]),1)</f>
        <v>45139</v>
      </c>
    </row>
    <row r="1287" spans="1:27" x14ac:dyDescent="0.3">
      <c r="A1287" s="3">
        <v>45638</v>
      </c>
      <c r="B1287" t="s">
        <v>16</v>
      </c>
      <c r="C1287" t="s">
        <v>34</v>
      </c>
      <c r="D1287" t="str">
        <f>TRIM(Table1[[#This Row],[Product]])</f>
        <v>Printer</v>
      </c>
      <c r="E1287" t="str">
        <f>PROPER(Table1[[#This Row],[Column1]])</f>
        <v>Printer</v>
      </c>
      <c r="F1287" s="8" t="str">
        <f t="shared" si="100"/>
        <v>Office Supplies</v>
      </c>
      <c r="G1287" s="5">
        <v>17</v>
      </c>
      <c r="H1287">
        <v>495.13</v>
      </c>
      <c r="I1287" t="s">
        <v>81</v>
      </c>
      <c r="J1287" t="s">
        <v>58</v>
      </c>
      <c r="K1287" s="7">
        <v>0.1</v>
      </c>
      <c r="L1287" t="s">
        <v>18</v>
      </c>
      <c r="M1287" s="5">
        <v>7575.4889999999996</v>
      </c>
      <c r="N1287" t="s">
        <v>59</v>
      </c>
      <c r="O1287" t="s">
        <v>60</v>
      </c>
      <c r="P1287" s="5">
        <v>1</v>
      </c>
      <c r="Q1287" t="s">
        <v>2559</v>
      </c>
      <c r="R1287" t="s">
        <v>2560</v>
      </c>
      <c r="S1287" s="5">
        <v>26.37</v>
      </c>
      <c r="T1287" s="3">
        <v>45638</v>
      </c>
      <c r="U1287" s="3">
        <v>45647</v>
      </c>
      <c r="V1287" t="s">
        <v>95</v>
      </c>
      <c r="W1287">
        <f t="shared" si="102"/>
        <v>6817.9400999999998</v>
      </c>
      <c r="X1287">
        <f t="shared" si="103"/>
        <v>8417.2099999999991</v>
      </c>
      <c r="Y1287">
        <f t="shared" si="104"/>
        <v>1599.2698999999993</v>
      </c>
      <c r="Z1287" s="8" t="str">
        <f t="shared" si="101"/>
        <v>Medium</v>
      </c>
      <c r="AA1287" s="12">
        <f>DATE(YEAR(Table1[[#This Row],[OrderDate]]),MONTH(Table1[[#This Row],[OrderDate]]),1)</f>
        <v>45627</v>
      </c>
    </row>
    <row r="1288" spans="1:27" x14ac:dyDescent="0.3">
      <c r="A1288" s="3">
        <v>45784</v>
      </c>
      <c r="B1288" t="s">
        <v>16</v>
      </c>
      <c r="C1288" t="s">
        <v>33</v>
      </c>
      <c r="D1288" t="str">
        <f>TRIM(Table1[[#This Row],[Product]])</f>
        <v>Phone</v>
      </c>
      <c r="E1288" t="str">
        <f>PROPER(Table1[[#This Row],[Column1]])</f>
        <v>Phone</v>
      </c>
      <c r="F1288" s="8" t="str">
        <f t="shared" si="100"/>
        <v>Technology</v>
      </c>
      <c r="G1288" s="5">
        <v>14</v>
      </c>
      <c r="H1288">
        <v>142.05000000000001</v>
      </c>
      <c r="I1288" t="s">
        <v>81</v>
      </c>
      <c r="J1288" t="s">
        <v>65</v>
      </c>
      <c r="K1288" s="7">
        <v>0.05</v>
      </c>
      <c r="L1288" t="s">
        <v>27</v>
      </c>
      <c r="M1288" s="5">
        <v>1889.2650000000001</v>
      </c>
      <c r="N1288" t="s">
        <v>66</v>
      </c>
      <c r="O1288" t="s">
        <v>67</v>
      </c>
      <c r="P1288" s="5">
        <v>0</v>
      </c>
      <c r="Q1288" t="s">
        <v>2561</v>
      </c>
      <c r="R1288" t="s">
        <v>2562</v>
      </c>
      <c r="S1288" s="5">
        <v>33.65</v>
      </c>
      <c r="T1288" s="3">
        <v>45784</v>
      </c>
      <c r="U1288" s="3">
        <v>45790</v>
      </c>
      <c r="V1288" t="s">
        <v>95</v>
      </c>
      <c r="W1288">
        <f t="shared" si="102"/>
        <v>1794.8017500000001</v>
      </c>
      <c r="X1288">
        <f t="shared" si="103"/>
        <v>1988.7000000000003</v>
      </c>
      <c r="Y1288">
        <f t="shared" si="104"/>
        <v>193.89825000000019</v>
      </c>
      <c r="Z1288" s="8" t="str">
        <f t="shared" si="101"/>
        <v>Medium</v>
      </c>
      <c r="AA1288" s="12">
        <f>DATE(YEAR(Table1[[#This Row],[OrderDate]]),MONTH(Table1[[#This Row],[OrderDate]]),1)</f>
        <v>45778</v>
      </c>
    </row>
    <row r="1289" spans="1:27" x14ac:dyDescent="0.3">
      <c r="A1289" s="3">
        <v>45726</v>
      </c>
      <c r="B1289" t="s">
        <v>9</v>
      </c>
      <c r="C1289" t="s">
        <v>29</v>
      </c>
      <c r="D1289" t="str">
        <f>TRIM(Table1[[#This Row],[Product]])</f>
        <v>Chair</v>
      </c>
      <c r="E1289" t="str">
        <f>PROPER(Table1[[#This Row],[Column1]])</f>
        <v>Chair</v>
      </c>
      <c r="F1289" s="8" t="str">
        <f t="shared" si="100"/>
        <v>Furniture</v>
      </c>
      <c r="G1289" s="5">
        <v>16</v>
      </c>
      <c r="H1289">
        <v>504.36</v>
      </c>
      <c r="I1289" t="s">
        <v>81</v>
      </c>
      <c r="J1289" t="s">
        <v>58</v>
      </c>
      <c r="K1289" s="7">
        <v>0</v>
      </c>
      <c r="L1289" t="s">
        <v>19</v>
      </c>
      <c r="M1289" s="5">
        <v>8069.76</v>
      </c>
      <c r="N1289" t="s">
        <v>85</v>
      </c>
      <c r="P1289" s="5">
        <v>1</v>
      </c>
      <c r="Q1289" t="s">
        <v>2563</v>
      </c>
      <c r="R1289" t="s">
        <v>581</v>
      </c>
      <c r="S1289" s="5">
        <v>11.67</v>
      </c>
      <c r="T1289" s="3">
        <v>45726</v>
      </c>
      <c r="U1289" s="3">
        <v>45729</v>
      </c>
      <c r="V1289" t="s">
        <v>63</v>
      </c>
      <c r="W1289">
        <f t="shared" si="102"/>
        <v>8069.76</v>
      </c>
      <c r="X1289">
        <f t="shared" si="103"/>
        <v>8069.76</v>
      </c>
      <c r="Y1289">
        <f t="shared" si="104"/>
        <v>0</v>
      </c>
      <c r="Z1289" s="8" t="str">
        <f t="shared" si="101"/>
        <v>No Discount</v>
      </c>
      <c r="AA1289" s="12">
        <f>DATE(YEAR(Table1[[#This Row],[OrderDate]]),MONTH(Table1[[#This Row],[OrderDate]]),1)</f>
        <v>45717</v>
      </c>
    </row>
    <row r="1290" spans="1:27" x14ac:dyDescent="0.3">
      <c r="A1290" s="3">
        <v>45809</v>
      </c>
      <c r="B1290" t="s">
        <v>9</v>
      </c>
      <c r="C1290" t="s">
        <v>30</v>
      </c>
      <c r="D1290" t="str">
        <f>TRIM(Table1[[#This Row],[Product]])</f>
        <v>Desk</v>
      </c>
      <c r="E1290" t="str">
        <f>PROPER(Table1[[#This Row],[Column1]])</f>
        <v>Desk</v>
      </c>
      <c r="F1290" s="8" t="str">
        <f t="shared" si="100"/>
        <v>Furniture</v>
      </c>
      <c r="G1290" s="5">
        <v>7</v>
      </c>
      <c r="H1290">
        <v>122.2</v>
      </c>
      <c r="I1290" t="s">
        <v>57</v>
      </c>
      <c r="J1290" t="s">
        <v>65</v>
      </c>
      <c r="K1290" s="7">
        <v>0</v>
      </c>
      <c r="L1290" t="s">
        <v>21</v>
      </c>
      <c r="M1290" s="5">
        <v>855.4</v>
      </c>
      <c r="N1290" t="s">
        <v>82</v>
      </c>
      <c r="P1290" s="5">
        <v>0</v>
      </c>
      <c r="Q1290" t="s">
        <v>2564</v>
      </c>
      <c r="R1290" t="s">
        <v>2565</v>
      </c>
      <c r="S1290" s="5">
        <v>30.21</v>
      </c>
      <c r="T1290" s="3">
        <v>45809</v>
      </c>
      <c r="U1290" s="3">
        <v>45818</v>
      </c>
      <c r="V1290" t="s">
        <v>63</v>
      </c>
      <c r="W1290">
        <f t="shared" si="102"/>
        <v>855.4</v>
      </c>
      <c r="X1290">
        <f t="shared" si="103"/>
        <v>855.4</v>
      </c>
      <c r="Y1290">
        <f t="shared" si="104"/>
        <v>0</v>
      </c>
      <c r="Z1290" s="8" t="str">
        <f t="shared" si="101"/>
        <v>No Discount</v>
      </c>
      <c r="AA1290" s="12">
        <f>DATE(YEAR(Table1[[#This Row],[OrderDate]]),MONTH(Table1[[#This Row],[OrderDate]]),1)</f>
        <v>45809</v>
      </c>
    </row>
    <row r="1291" spans="1:27" x14ac:dyDescent="0.3">
      <c r="A1291" s="3">
        <v>45796</v>
      </c>
      <c r="B1291" t="s">
        <v>16</v>
      </c>
      <c r="C1291" t="s">
        <v>29</v>
      </c>
      <c r="D1291" t="str">
        <f>TRIM(Table1[[#This Row],[Product]])</f>
        <v>Chair</v>
      </c>
      <c r="E1291" t="str">
        <f>PROPER(Table1[[#This Row],[Column1]])</f>
        <v>Chair</v>
      </c>
      <c r="F1291" s="8" t="str">
        <f t="shared" si="100"/>
        <v>Furniture</v>
      </c>
      <c r="G1291" s="5">
        <v>7</v>
      </c>
      <c r="H1291">
        <v>338.42</v>
      </c>
      <c r="I1291" t="s">
        <v>57</v>
      </c>
      <c r="J1291" t="s">
        <v>65</v>
      </c>
      <c r="K1291" s="7">
        <v>0.15</v>
      </c>
      <c r="L1291" t="s">
        <v>18</v>
      </c>
      <c r="M1291" s="5">
        <v>2013.5989999999999</v>
      </c>
      <c r="N1291" t="s">
        <v>59</v>
      </c>
      <c r="O1291" t="s">
        <v>60</v>
      </c>
      <c r="P1291" s="5">
        <v>0</v>
      </c>
      <c r="Q1291" t="s">
        <v>2566</v>
      </c>
      <c r="R1291" t="s">
        <v>2567</v>
      </c>
      <c r="S1291" s="5">
        <v>5.82</v>
      </c>
      <c r="T1291" s="3">
        <v>45796</v>
      </c>
      <c r="U1291" s="3">
        <v>45798</v>
      </c>
      <c r="V1291" t="s">
        <v>95</v>
      </c>
      <c r="W1291">
        <f t="shared" si="102"/>
        <v>1711.5591499999998</v>
      </c>
      <c r="X1291">
        <f t="shared" si="103"/>
        <v>2368.94</v>
      </c>
      <c r="Y1291">
        <f t="shared" si="104"/>
        <v>657.38085000000024</v>
      </c>
      <c r="Z1291" s="8" t="str">
        <f t="shared" si="101"/>
        <v>High</v>
      </c>
      <c r="AA1291" s="12">
        <f>DATE(YEAR(Table1[[#This Row],[OrderDate]]),MONTH(Table1[[#This Row],[OrderDate]]),1)</f>
        <v>45778</v>
      </c>
    </row>
    <row r="1292" spans="1:27" x14ac:dyDescent="0.3">
      <c r="A1292" s="3">
        <v>44965</v>
      </c>
      <c r="B1292" t="s">
        <v>9</v>
      </c>
      <c r="C1292" t="s">
        <v>35</v>
      </c>
      <c r="D1292" t="str">
        <f>TRIM(Table1[[#This Row],[Product]])</f>
        <v>Tablet</v>
      </c>
      <c r="E1292" t="str">
        <f>PROPER(Table1[[#This Row],[Column1]])</f>
        <v>Tablet</v>
      </c>
      <c r="F1292" s="8" t="str">
        <f t="shared" si="100"/>
        <v>Technology</v>
      </c>
      <c r="G1292" s="5">
        <v>4</v>
      </c>
      <c r="H1292">
        <v>224.75</v>
      </c>
      <c r="I1292" t="s">
        <v>81</v>
      </c>
      <c r="J1292" t="s">
        <v>58</v>
      </c>
      <c r="K1292" s="7">
        <v>0</v>
      </c>
      <c r="L1292" t="s">
        <v>27</v>
      </c>
      <c r="M1292" s="5">
        <v>899</v>
      </c>
      <c r="N1292" t="s">
        <v>85</v>
      </c>
      <c r="P1292" s="5">
        <v>0</v>
      </c>
      <c r="Q1292" t="s">
        <v>2568</v>
      </c>
      <c r="R1292" t="s">
        <v>2569</v>
      </c>
      <c r="S1292" s="5">
        <v>43.86</v>
      </c>
      <c r="T1292" s="3">
        <v>44965</v>
      </c>
      <c r="U1292" s="3">
        <v>44973</v>
      </c>
      <c r="V1292" t="s">
        <v>63</v>
      </c>
      <c r="W1292">
        <f t="shared" si="102"/>
        <v>899</v>
      </c>
      <c r="X1292">
        <f t="shared" si="103"/>
        <v>899</v>
      </c>
      <c r="Y1292">
        <f t="shared" si="104"/>
        <v>0</v>
      </c>
      <c r="Z1292" s="8" t="str">
        <f t="shared" si="101"/>
        <v>No Discount</v>
      </c>
      <c r="AA1292" s="12">
        <f>DATE(YEAR(Table1[[#This Row],[OrderDate]]),MONTH(Table1[[#This Row],[OrderDate]]),1)</f>
        <v>44958</v>
      </c>
    </row>
    <row r="1293" spans="1:27" x14ac:dyDescent="0.3">
      <c r="A1293" s="3">
        <v>45771</v>
      </c>
      <c r="B1293" t="s">
        <v>7</v>
      </c>
      <c r="C1293" t="s">
        <v>30</v>
      </c>
      <c r="D1293" t="str">
        <f>TRIM(Table1[[#This Row],[Product]])</f>
        <v>Desk</v>
      </c>
      <c r="E1293" t="str">
        <f>PROPER(Table1[[#This Row],[Column1]])</f>
        <v>Desk</v>
      </c>
      <c r="F1293" s="8" t="str">
        <f t="shared" si="100"/>
        <v>Furniture</v>
      </c>
      <c r="G1293" s="5">
        <v>16</v>
      </c>
      <c r="H1293">
        <v>509.71</v>
      </c>
      <c r="I1293" t="s">
        <v>78</v>
      </c>
      <c r="J1293" t="s">
        <v>58</v>
      </c>
      <c r="K1293" s="7">
        <v>0.1</v>
      </c>
      <c r="L1293" t="s">
        <v>21</v>
      </c>
      <c r="M1293" s="5">
        <v>7339.8239999999996</v>
      </c>
      <c r="N1293" t="s">
        <v>88</v>
      </c>
      <c r="P1293" s="5">
        <v>0</v>
      </c>
      <c r="Q1293" t="s">
        <v>2570</v>
      </c>
      <c r="R1293" t="s">
        <v>2571</v>
      </c>
      <c r="S1293" s="5">
        <v>41.78</v>
      </c>
      <c r="T1293" s="3">
        <v>45771</v>
      </c>
      <c r="U1293" s="3">
        <v>45780</v>
      </c>
      <c r="V1293" t="s">
        <v>77</v>
      </c>
      <c r="W1293">
        <f t="shared" si="102"/>
        <v>6605.8415999999997</v>
      </c>
      <c r="X1293">
        <f t="shared" si="103"/>
        <v>8155.36</v>
      </c>
      <c r="Y1293">
        <f t="shared" si="104"/>
        <v>1549.5183999999999</v>
      </c>
      <c r="Z1293" s="8" t="str">
        <f t="shared" si="101"/>
        <v>Medium</v>
      </c>
      <c r="AA1293" s="12">
        <f>DATE(YEAR(Table1[[#This Row],[OrderDate]]),MONTH(Table1[[#This Row],[OrderDate]]),1)</f>
        <v>45748</v>
      </c>
    </row>
    <row r="1294" spans="1:27" x14ac:dyDescent="0.3">
      <c r="A1294" s="3">
        <v>45536</v>
      </c>
      <c r="B1294" t="s">
        <v>11</v>
      </c>
      <c r="C1294" t="s">
        <v>35</v>
      </c>
      <c r="D1294" t="str">
        <f>TRIM(Table1[[#This Row],[Product]])</f>
        <v>Tablet</v>
      </c>
      <c r="E1294" t="str">
        <f>PROPER(Table1[[#This Row],[Column1]])</f>
        <v>Tablet</v>
      </c>
      <c r="F1294" s="8" t="str">
        <f t="shared" si="100"/>
        <v>Technology</v>
      </c>
      <c r="G1294" s="5">
        <v>14</v>
      </c>
      <c r="H1294">
        <v>297.56</v>
      </c>
      <c r="I1294" t="s">
        <v>57</v>
      </c>
      <c r="J1294" t="s">
        <v>58</v>
      </c>
      <c r="K1294" s="7">
        <v>0.1</v>
      </c>
      <c r="L1294" t="s">
        <v>23</v>
      </c>
      <c r="M1294" s="5">
        <v>3749.2559999999999</v>
      </c>
      <c r="N1294" t="s">
        <v>85</v>
      </c>
      <c r="O1294" t="s">
        <v>60</v>
      </c>
      <c r="P1294" s="5">
        <v>0</v>
      </c>
      <c r="Q1294" t="s">
        <v>2572</v>
      </c>
      <c r="R1294" t="s">
        <v>2573</v>
      </c>
      <c r="S1294" s="5">
        <v>31.44</v>
      </c>
      <c r="T1294" s="3">
        <v>45536</v>
      </c>
      <c r="U1294" s="3">
        <v>45543</v>
      </c>
      <c r="V1294" t="s">
        <v>74</v>
      </c>
      <c r="W1294">
        <f t="shared" si="102"/>
        <v>3374.3303999999998</v>
      </c>
      <c r="X1294">
        <f t="shared" si="103"/>
        <v>4165.84</v>
      </c>
      <c r="Y1294">
        <f t="shared" si="104"/>
        <v>791.50960000000032</v>
      </c>
      <c r="Z1294" s="8" t="str">
        <f t="shared" si="101"/>
        <v>Medium</v>
      </c>
      <c r="AA1294" s="12">
        <f>DATE(YEAR(Table1[[#This Row],[OrderDate]]),MONTH(Table1[[#This Row],[OrderDate]]),1)</f>
        <v>45536</v>
      </c>
    </row>
    <row r="1295" spans="1:27" x14ac:dyDescent="0.3">
      <c r="A1295" s="3">
        <v>45603</v>
      </c>
      <c r="B1295" t="s">
        <v>7</v>
      </c>
      <c r="C1295" t="s">
        <v>34</v>
      </c>
      <c r="D1295" t="str">
        <f>TRIM(Table1[[#This Row],[Product]])</f>
        <v>Printer</v>
      </c>
      <c r="E1295" t="str">
        <f>PROPER(Table1[[#This Row],[Column1]])</f>
        <v>Printer</v>
      </c>
      <c r="F1295" s="8" t="str">
        <f t="shared" si="100"/>
        <v>Office Supplies</v>
      </c>
      <c r="G1295" s="5">
        <v>13</v>
      </c>
      <c r="H1295">
        <v>365.11</v>
      </c>
      <c r="I1295" t="s">
        <v>78</v>
      </c>
      <c r="J1295" t="s">
        <v>65</v>
      </c>
      <c r="K1295" s="7">
        <v>0.05</v>
      </c>
      <c r="L1295" t="s">
        <v>23</v>
      </c>
      <c r="M1295" s="5">
        <v>4509.1085000000003</v>
      </c>
      <c r="N1295" t="s">
        <v>59</v>
      </c>
      <c r="P1295" s="5">
        <v>0</v>
      </c>
      <c r="Q1295" t="s">
        <v>2574</v>
      </c>
      <c r="R1295" t="s">
        <v>2575</v>
      </c>
      <c r="S1295" s="5">
        <v>13.97</v>
      </c>
      <c r="T1295" s="3">
        <v>45603</v>
      </c>
      <c r="U1295" s="3">
        <v>45609</v>
      </c>
      <c r="V1295" t="s">
        <v>77</v>
      </c>
      <c r="W1295">
        <f t="shared" si="102"/>
        <v>4283.6530750000002</v>
      </c>
      <c r="X1295">
        <f t="shared" si="103"/>
        <v>4746.43</v>
      </c>
      <c r="Y1295">
        <f t="shared" si="104"/>
        <v>462.77692500000012</v>
      </c>
      <c r="Z1295" s="8" t="str">
        <f t="shared" si="101"/>
        <v>Medium</v>
      </c>
      <c r="AA1295" s="12">
        <f>DATE(YEAR(Table1[[#This Row],[OrderDate]]),MONTH(Table1[[#This Row],[OrderDate]]),1)</f>
        <v>45597</v>
      </c>
    </row>
    <row r="1296" spans="1:27" x14ac:dyDescent="0.3">
      <c r="A1296" s="3">
        <v>45625</v>
      </c>
      <c r="B1296" t="s">
        <v>9</v>
      </c>
      <c r="C1296" t="s">
        <v>29</v>
      </c>
      <c r="D1296" t="str">
        <f>TRIM(Table1[[#This Row],[Product]])</f>
        <v>Chair</v>
      </c>
      <c r="E1296" t="str">
        <f>PROPER(Table1[[#This Row],[Column1]])</f>
        <v>Chair</v>
      </c>
      <c r="F1296" s="8" t="str">
        <f t="shared" si="100"/>
        <v>Furniture</v>
      </c>
      <c r="G1296" s="5">
        <v>1</v>
      </c>
      <c r="H1296">
        <v>139.13</v>
      </c>
      <c r="I1296" t="s">
        <v>78</v>
      </c>
      <c r="J1296" t="s">
        <v>58</v>
      </c>
      <c r="K1296" s="7">
        <v>0</v>
      </c>
      <c r="L1296" t="s">
        <v>21</v>
      </c>
      <c r="M1296" s="5">
        <v>139.13</v>
      </c>
      <c r="N1296" t="s">
        <v>88</v>
      </c>
      <c r="P1296" s="5">
        <v>1</v>
      </c>
      <c r="Q1296" t="s">
        <v>2576</v>
      </c>
      <c r="R1296" t="s">
        <v>2577</v>
      </c>
      <c r="S1296" s="5">
        <v>35.92</v>
      </c>
      <c r="T1296" s="3">
        <v>45625</v>
      </c>
      <c r="U1296" s="3">
        <v>45628</v>
      </c>
      <c r="V1296" t="s">
        <v>63</v>
      </c>
      <c r="W1296">
        <f t="shared" si="102"/>
        <v>139.13</v>
      </c>
      <c r="X1296">
        <f t="shared" si="103"/>
        <v>139.13</v>
      </c>
      <c r="Y1296">
        <f t="shared" si="104"/>
        <v>0</v>
      </c>
      <c r="Z1296" s="8" t="str">
        <f t="shared" si="101"/>
        <v>No Discount</v>
      </c>
      <c r="AA1296" s="12">
        <f>DATE(YEAR(Table1[[#This Row],[OrderDate]]),MONTH(Table1[[#This Row],[OrderDate]]),1)</f>
        <v>45597</v>
      </c>
    </row>
    <row r="1297" spans="1:27" x14ac:dyDescent="0.3">
      <c r="A1297" s="3">
        <v>45026</v>
      </c>
      <c r="B1297" t="s">
        <v>16</v>
      </c>
      <c r="C1297" t="s">
        <v>29</v>
      </c>
      <c r="D1297" t="str">
        <f>TRIM(Table1[[#This Row],[Product]])</f>
        <v>Chair</v>
      </c>
      <c r="E1297" t="str">
        <f>PROPER(Table1[[#This Row],[Column1]])</f>
        <v>Chair</v>
      </c>
      <c r="F1297" s="8" t="str">
        <f t="shared" si="100"/>
        <v>Furniture</v>
      </c>
      <c r="G1297" s="5">
        <v>6</v>
      </c>
      <c r="H1297">
        <v>543.89</v>
      </c>
      <c r="I1297" t="s">
        <v>78</v>
      </c>
      <c r="J1297" t="s">
        <v>65</v>
      </c>
      <c r="K1297" s="7">
        <v>0</v>
      </c>
      <c r="L1297" t="s">
        <v>19</v>
      </c>
      <c r="M1297" s="5">
        <v>3263.34</v>
      </c>
      <c r="N1297" t="s">
        <v>88</v>
      </c>
      <c r="P1297" s="5">
        <v>1</v>
      </c>
      <c r="Q1297" t="s">
        <v>2578</v>
      </c>
      <c r="R1297" t="s">
        <v>2579</v>
      </c>
      <c r="S1297" s="5">
        <v>13.19</v>
      </c>
      <c r="T1297" s="3">
        <v>45026</v>
      </c>
      <c r="U1297" s="3">
        <v>45036</v>
      </c>
      <c r="V1297" t="s">
        <v>95</v>
      </c>
      <c r="W1297">
        <f t="shared" si="102"/>
        <v>3263.34</v>
      </c>
      <c r="X1297">
        <f t="shared" si="103"/>
        <v>3263.34</v>
      </c>
      <c r="Y1297">
        <f t="shared" si="104"/>
        <v>0</v>
      </c>
      <c r="Z1297" s="8" t="str">
        <f t="shared" si="101"/>
        <v>No Discount</v>
      </c>
      <c r="AA1297" s="12">
        <f>DATE(YEAR(Table1[[#This Row],[OrderDate]]),MONTH(Table1[[#This Row],[OrderDate]]),1)</f>
        <v>45017</v>
      </c>
    </row>
    <row r="1298" spans="1:27" x14ac:dyDescent="0.3">
      <c r="A1298" s="3">
        <v>45301</v>
      </c>
      <c r="B1298" t="s">
        <v>11</v>
      </c>
      <c r="C1298" t="s">
        <v>34</v>
      </c>
      <c r="D1298" t="str">
        <f>TRIM(Table1[[#This Row],[Product]])</f>
        <v>Printer</v>
      </c>
      <c r="E1298" t="str">
        <f>PROPER(Table1[[#This Row],[Column1]])</f>
        <v>Printer</v>
      </c>
      <c r="F1298" s="8" t="str">
        <f t="shared" si="100"/>
        <v>Office Supplies</v>
      </c>
      <c r="G1298" s="5">
        <v>19</v>
      </c>
      <c r="H1298">
        <v>219.7</v>
      </c>
      <c r="I1298" t="s">
        <v>64</v>
      </c>
      <c r="J1298" t="s">
        <v>65</v>
      </c>
      <c r="K1298" s="7">
        <v>0</v>
      </c>
      <c r="L1298" t="s">
        <v>18</v>
      </c>
      <c r="M1298" s="5">
        <v>4174.3</v>
      </c>
      <c r="N1298" t="s">
        <v>88</v>
      </c>
      <c r="O1298" t="s">
        <v>60</v>
      </c>
      <c r="P1298" s="5">
        <v>0</v>
      </c>
      <c r="Q1298" t="s">
        <v>2580</v>
      </c>
      <c r="R1298" t="s">
        <v>2581</v>
      </c>
      <c r="S1298" s="5">
        <v>15.38</v>
      </c>
      <c r="T1298" s="3">
        <v>45301</v>
      </c>
      <c r="U1298" s="3">
        <v>45307</v>
      </c>
      <c r="V1298" t="s">
        <v>74</v>
      </c>
      <c r="W1298">
        <f t="shared" si="102"/>
        <v>4174.3</v>
      </c>
      <c r="X1298">
        <f t="shared" si="103"/>
        <v>4174.3</v>
      </c>
      <c r="Y1298">
        <f t="shared" si="104"/>
        <v>0</v>
      </c>
      <c r="Z1298" s="8" t="str">
        <f t="shared" si="101"/>
        <v>No Discount</v>
      </c>
      <c r="AA1298" s="12">
        <f>DATE(YEAR(Table1[[#This Row],[OrderDate]]),MONTH(Table1[[#This Row],[OrderDate]]),1)</f>
        <v>45292</v>
      </c>
    </row>
    <row r="1299" spans="1:27" x14ac:dyDescent="0.3">
      <c r="A1299" s="3">
        <v>45794</v>
      </c>
      <c r="B1299" t="s">
        <v>13</v>
      </c>
      <c r="C1299" t="s">
        <v>33</v>
      </c>
      <c r="D1299" t="str">
        <f>TRIM(Table1[[#This Row],[Product]])</f>
        <v>Phone</v>
      </c>
      <c r="E1299" t="str">
        <f>PROPER(Table1[[#This Row],[Column1]])</f>
        <v>Phone</v>
      </c>
      <c r="F1299" s="8" t="str">
        <f t="shared" si="100"/>
        <v>Technology</v>
      </c>
      <c r="G1299" s="5">
        <v>6</v>
      </c>
      <c r="H1299">
        <v>94.34</v>
      </c>
      <c r="I1299" t="s">
        <v>78</v>
      </c>
      <c r="J1299" t="s">
        <v>65</v>
      </c>
      <c r="K1299" s="7">
        <v>0.05</v>
      </c>
      <c r="L1299" t="s">
        <v>18</v>
      </c>
      <c r="M1299" s="5">
        <v>537.73799999999994</v>
      </c>
      <c r="N1299" t="s">
        <v>88</v>
      </c>
      <c r="O1299" t="s">
        <v>71</v>
      </c>
      <c r="P1299" s="5">
        <v>1</v>
      </c>
      <c r="Q1299" t="s">
        <v>2582</v>
      </c>
      <c r="R1299" t="s">
        <v>2583</v>
      </c>
      <c r="S1299" s="5">
        <v>49.26</v>
      </c>
      <c r="T1299" s="3">
        <v>45794</v>
      </c>
      <c r="U1299" s="3">
        <v>45800</v>
      </c>
      <c r="V1299" t="s">
        <v>70</v>
      </c>
      <c r="W1299">
        <f t="shared" si="102"/>
        <v>510.85109999999992</v>
      </c>
      <c r="X1299">
        <f t="shared" si="103"/>
        <v>566.04</v>
      </c>
      <c r="Y1299">
        <f t="shared" si="104"/>
        <v>55.188900000000046</v>
      </c>
      <c r="Z1299" s="8" t="str">
        <f t="shared" si="101"/>
        <v>Medium</v>
      </c>
      <c r="AA1299" s="12">
        <f>DATE(YEAR(Table1[[#This Row],[OrderDate]]),MONTH(Table1[[#This Row],[OrderDate]]),1)</f>
        <v>45778</v>
      </c>
    </row>
    <row r="1300" spans="1:27" x14ac:dyDescent="0.3">
      <c r="A1300" s="3">
        <v>45499</v>
      </c>
      <c r="B1300" t="s">
        <v>7</v>
      </c>
      <c r="C1300" t="s">
        <v>31</v>
      </c>
      <c r="D1300" t="str">
        <f>TRIM(Table1[[#This Row],[Product]])</f>
        <v>Laptop</v>
      </c>
      <c r="E1300" t="str">
        <f>PROPER(Table1[[#This Row],[Column1]])</f>
        <v>Laptop</v>
      </c>
      <c r="F1300" s="8" t="str">
        <f t="shared" si="100"/>
        <v>Technology</v>
      </c>
      <c r="G1300" s="5">
        <v>9</v>
      </c>
      <c r="H1300">
        <v>486.58</v>
      </c>
      <c r="I1300" t="s">
        <v>64</v>
      </c>
      <c r="J1300" t="s">
        <v>65</v>
      </c>
      <c r="K1300" s="7">
        <v>0.15</v>
      </c>
      <c r="L1300" t="s">
        <v>18</v>
      </c>
      <c r="M1300" s="5">
        <v>3722.337</v>
      </c>
      <c r="N1300" t="s">
        <v>59</v>
      </c>
      <c r="O1300" t="s">
        <v>60</v>
      </c>
      <c r="P1300" s="5">
        <v>0</v>
      </c>
      <c r="Q1300" t="s">
        <v>2584</v>
      </c>
      <c r="R1300" t="s">
        <v>2585</v>
      </c>
      <c r="S1300" s="5">
        <v>38.72</v>
      </c>
      <c r="T1300" s="3">
        <v>45499</v>
      </c>
      <c r="U1300" s="3">
        <v>45503</v>
      </c>
      <c r="V1300" t="s">
        <v>77</v>
      </c>
      <c r="W1300">
        <f t="shared" si="102"/>
        <v>3163.9864499999999</v>
      </c>
      <c r="X1300">
        <f t="shared" si="103"/>
        <v>4379.22</v>
      </c>
      <c r="Y1300">
        <f t="shared" si="104"/>
        <v>1215.2335500000004</v>
      </c>
      <c r="Z1300" s="8" t="str">
        <f t="shared" si="101"/>
        <v>High</v>
      </c>
      <c r="AA1300" s="12">
        <f>DATE(YEAR(Table1[[#This Row],[OrderDate]]),MONTH(Table1[[#This Row],[OrderDate]]),1)</f>
        <v>45474</v>
      </c>
    </row>
    <row r="1301" spans="1:27" x14ac:dyDescent="0.3">
      <c r="A1301" s="3">
        <v>45652</v>
      </c>
      <c r="B1301" t="s">
        <v>13</v>
      </c>
      <c r="C1301" t="s">
        <v>30</v>
      </c>
      <c r="D1301" t="str">
        <f>TRIM(Table1[[#This Row],[Product]])</f>
        <v>Desk</v>
      </c>
      <c r="E1301" t="str">
        <f>PROPER(Table1[[#This Row],[Column1]])</f>
        <v>Desk</v>
      </c>
      <c r="F1301" s="8" t="str">
        <f t="shared" si="100"/>
        <v>Furniture</v>
      </c>
      <c r="G1301" s="5">
        <v>12</v>
      </c>
      <c r="H1301">
        <v>578.86</v>
      </c>
      <c r="I1301" t="s">
        <v>81</v>
      </c>
      <c r="J1301" t="s">
        <v>65</v>
      </c>
      <c r="K1301" s="7">
        <v>0.15</v>
      </c>
      <c r="L1301" t="s">
        <v>27</v>
      </c>
      <c r="M1301" s="5">
        <v>5904.3719999999994</v>
      </c>
      <c r="N1301" t="s">
        <v>88</v>
      </c>
      <c r="O1301" t="s">
        <v>60</v>
      </c>
      <c r="P1301" s="5">
        <v>0</v>
      </c>
      <c r="Q1301" t="s">
        <v>2586</v>
      </c>
      <c r="R1301" t="s">
        <v>2587</v>
      </c>
      <c r="S1301" s="5">
        <v>25.84</v>
      </c>
      <c r="T1301" s="3">
        <v>45652</v>
      </c>
      <c r="U1301" s="3">
        <v>45660</v>
      </c>
      <c r="V1301" t="s">
        <v>70</v>
      </c>
      <c r="W1301">
        <f t="shared" si="102"/>
        <v>5018.7161999999989</v>
      </c>
      <c r="X1301">
        <f t="shared" si="103"/>
        <v>6946.32</v>
      </c>
      <c r="Y1301">
        <f t="shared" si="104"/>
        <v>1927.6038000000008</v>
      </c>
      <c r="Z1301" s="8" t="str">
        <f t="shared" si="101"/>
        <v>High</v>
      </c>
      <c r="AA1301" s="12">
        <f>DATE(YEAR(Table1[[#This Row],[OrderDate]]),MONTH(Table1[[#This Row],[OrderDate]]),1)</f>
        <v>45627</v>
      </c>
    </row>
    <row r="1302" spans="1:27" x14ac:dyDescent="0.3">
      <c r="A1302" s="3">
        <v>45680</v>
      </c>
      <c r="B1302" t="s">
        <v>9</v>
      </c>
      <c r="C1302" t="s">
        <v>35</v>
      </c>
      <c r="D1302" t="str">
        <f>TRIM(Table1[[#This Row],[Product]])</f>
        <v>Tablet</v>
      </c>
      <c r="E1302" t="str">
        <f>PROPER(Table1[[#This Row],[Column1]])</f>
        <v>Tablet</v>
      </c>
      <c r="F1302" s="8" t="str">
        <f t="shared" si="100"/>
        <v>Technology</v>
      </c>
      <c r="G1302" s="5">
        <v>7</v>
      </c>
      <c r="H1302">
        <v>196.88</v>
      </c>
      <c r="I1302" t="s">
        <v>78</v>
      </c>
      <c r="J1302" t="s">
        <v>65</v>
      </c>
      <c r="K1302" s="7">
        <v>0</v>
      </c>
      <c r="L1302" t="s">
        <v>23</v>
      </c>
      <c r="M1302" s="5">
        <v>1378.16</v>
      </c>
      <c r="N1302" t="s">
        <v>85</v>
      </c>
      <c r="O1302" t="s">
        <v>67</v>
      </c>
      <c r="P1302" s="5">
        <v>0</v>
      </c>
      <c r="Q1302" t="s">
        <v>2588</v>
      </c>
      <c r="R1302" t="s">
        <v>1136</v>
      </c>
      <c r="S1302" s="5">
        <v>44.92</v>
      </c>
      <c r="T1302" s="3">
        <v>45680</v>
      </c>
      <c r="U1302" s="3">
        <v>45688</v>
      </c>
      <c r="V1302" t="s">
        <v>63</v>
      </c>
      <c r="W1302">
        <f t="shared" si="102"/>
        <v>1378.16</v>
      </c>
      <c r="X1302">
        <f t="shared" si="103"/>
        <v>1378.1599999999999</v>
      </c>
      <c r="Y1302">
        <f t="shared" si="104"/>
        <v>0</v>
      </c>
      <c r="Z1302" s="8" t="str">
        <f t="shared" si="101"/>
        <v>No Discount</v>
      </c>
      <c r="AA1302" s="12">
        <f>DATE(YEAR(Table1[[#This Row],[OrderDate]]),MONTH(Table1[[#This Row],[OrderDate]]),1)</f>
        <v>45658</v>
      </c>
    </row>
    <row r="1303" spans="1:27" x14ac:dyDescent="0.3">
      <c r="A1303" s="3">
        <v>45376</v>
      </c>
      <c r="B1303" t="s">
        <v>13</v>
      </c>
      <c r="C1303" t="s">
        <v>33</v>
      </c>
      <c r="D1303" t="str">
        <f>TRIM(Table1[[#This Row],[Product]])</f>
        <v>Phone</v>
      </c>
      <c r="E1303" t="str">
        <f>PROPER(Table1[[#This Row],[Column1]])</f>
        <v>Phone</v>
      </c>
      <c r="F1303" s="8" t="str">
        <f t="shared" si="100"/>
        <v>Technology</v>
      </c>
      <c r="G1303" s="5">
        <v>7</v>
      </c>
      <c r="H1303">
        <v>446.32</v>
      </c>
      <c r="I1303" t="s">
        <v>57</v>
      </c>
      <c r="J1303" t="s">
        <v>58</v>
      </c>
      <c r="K1303" s="7">
        <v>0.1</v>
      </c>
      <c r="L1303" t="s">
        <v>18</v>
      </c>
      <c r="M1303" s="5">
        <v>2811.8159999999998</v>
      </c>
      <c r="N1303" t="s">
        <v>85</v>
      </c>
      <c r="P1303" s="5">
        <v>0</v>
      </c>
      <c r="Q1303" t="s">
        <v>2589</v>
      </c>
      <c r="R1303" t="s">
        <v>2590</v>
      </c>
      <c r="S1303" s="5">
        <v>47.23</v>
      </c>
      <c r="T1303" s="3">
        <v>45376</v>
      </c>
      <c r="U1303" s="3">
        <v>45383</v>
      </c>
      <c r="V1303" t="s">
        <v>70</v>
      </c>
      <c r="W1303">
        <f t="shared" si="102"/>
        <v>2530.6343999999999</v>
      </c>
      <c r="X1303">
        <f t="shared" si="103"/>
        <v>3124.24</v>
      </c>
      <c r="Y1303">
        <f t="shared" si="104"/>
        <v>593.60559999999987</v>
      </c>
      <c r="Z1303" s="8" t="str">
        <f t="shared" si="101"/>
        <v>Medium</v>
      </c>
      <c r="AA1303" s="12">
        <f>DATE(YEAR(Table1[[#This Row],[OrderDate]]),MONTH(Table1[[#This Row],[OrderDate]]),1)</f>
        <v>45352</v>
      </c>
    </row>
    <row r="1304" spans="1:27" x14ac:dyDescent="0.3">
      <c r="A1304" s="3">
        <v>45720</v>
      </c>
      <c r="B1304" t="s">
        <v>7</v>
      </c>
      <c r="C1304" t="s">
        <v>35</v>
      </c>
      <c r="D1304" t="str">
        <f>TRIM(Table1[[#This Row],[Product]])</f>
        <v>Tablet</v>
      </c>
      <c r="E1304" t="str">
        <f>PROPER(Table1[[#This Row],[Column1]])</f>
        <v>Tablet</v>
      </c>
      <c r="F1304" s="8" t="str">
        <f t="shared" si="100"/>
        <v>Technology</v>
      </c>
      <c r="G1304" s="5">
        <v>11</v>
      </c>
      <c r="H1304">
        <v>447.38</v>
      </c>
      <c r="I1304" t="s">
        <v>81</v>
      </c>
      <c r="J1304" t="s">
        <v>58</v>
      </c>
      <c r="K1304" s="7">
        <v>0</v>
      </c>
      <c r="L1304" t="s">
        <v>18</v>
      </c>
      <c r="M1304" s="5">
        <v>4921.18</v>
      </c>
      <c r="N1304" t="s">
        <v>66</v>
      </c>
      <c r="O1304" t="s">
        <v>67</v>
      </c>
      <c r="P1304" s="5">
        <v>0</v>
      </c>
      <c r="Q1304" t="s">
        <v>2591</v>
      </c>
      <c r="R1304" t="s">
        <v>1202</v>
      </c>
      <c r="S1304" s="5">
        <v>36.72</v>
      </c>
      <c r="T1304" s="3">
        <v>45720</v>
      </c>
      <c r="U1304" s="3">
        <v>45727</v>
      </c>
      <c r="V1304" t="s">
        <v>77</v>
      </c>
      <c r="W1304">
        <f t="shared" si="102"/>
        <v>4921.18</v>
      </c>
      <c r="X1304">
        <f t="shared" si="103"/>
        <v>4921.18</v>
      </c>
      <c r="Y1304">
        <f t="shared" si="104"/>
        <v>0</v>
      </c>
      <c r="Z1304" s="8" t="str">
        <f t="shared" si="101"/>
        <v>No Discount</v>
      </c>
      <c r="AA1304" s="12">
        <f>DATE(YEAR(Table1[[#This Row],[OrderDate]]),MONTH(Table1[[#This Row],[OrderDate]]),1)</f>
        <v>45717</v>
      </c>
    </row>
    <row r="1305" spans="1:27" x14ac:dyDescent="0.3">
      <c r="A1305" s="3">
        <v>45219</v>
      </c>
      <c r="B1305" t="s">
        <v>13</v>
      </c>
      <c r="C1305" t="s">
        <v>30</v>
      </c>
      <c r="D1305" t="str">
        <f>TRIM(Table1[[#This Row],[Product]])</f>
        <v>Desk</v>
      </c>
      <c r="E1305" t="str">
        <f>PROPER(Table1[[#This Row],[Column1]])</f>
        <v>Desk</v>
      </c>
      <c r="F1305" s="8" t="str">
        <f t="shared" si="100"/>
        <v>Furniture</v>
      </c>
      <c r="G1305" s="5">
        <v>14</v>
      </c>
      <c r="H1305">
        <v>275.33999999999997</v>
      </c>
      <c r="I1305" t="s">
        <v>57</v>
      </c>
      <c r="J1305" t="s">
        <v>65</v>
      </c>
      <c r="K1305" s="7">
        <v>0.1</v>
      </c>
      <c r="L1305" t="s">
        <v>21</v>
      </c>
      <c r="M1305" s="5">
        <v>3469.2840000000001</v>
      </c>
      <c r="N1305" t="s">
        <v>59</v>
      </c>
      <c r="P1305" s="5">
        <v>1</v>
      </c>
      <c r="Q1305" t="s">
        <v>2592</v>
      </c>
      <c r="R1305" t="s">
        <v>2593</v>
      </c>
      <c r="S1305" s="5">
        <v>32.799999999999997</v>
      </c>
      <c r="T1305" s="3">
        <v>45219</v>
      </c>
      <c r="U1305" s="3">
        <v>45223</v>
      </c>
      <c r="V1305" t="s">
        <v>70</v>
      </c>
      <c r="W1305">
        <f t="shared" si="102"/>
        <v>3122.3556000000003</v>
      </c>
      <c r="X1305">
        <f t="shared" si="103"/>
        <v>3854.7599999999998</v>
      </c>
      <c r="Y1305">
        <f t="shared" si="104"/>
        <v>732.40439999999944</v>
      </c>
      <c r="Z1305" s="8" t="str">
        <f t="shared" si="101"/>
        <v>Medium</v>
      </c>
      <c r="AA1305" s="12">
        <f>DATE(YEAR(Table1[[#This Row],[OrderDate]]),MONTH(Table1[[#This Row],[OrderDate]]),1)</f>
        <v>45200</v>
      </c>
    </row>
    <row r="1306" spans="1:27" x14ac:dyDescent="0.3">
      <c r="A1306" s="3">
        <v>45554</v>
      </c>
      <c r="B1306" t="s">
        <v>7</v>
      </c>
      <c r="C1306" t="s">
        <v>30</v>
      </c>
      <c r="D1306" t="str">
        <f>TRIM(Table1[[#This Row],[Product]])</f>
        <v>Desk</v>
      </c>
      <c r="E1306" t="str">
        <f>PROPER(Table1[[#This Row],[Column1]])</f>
        <v>Desk</v>
      </c>
      <c r="F1306" s="8" t="str">
        <f t="shared" si="100"/>
        <v>Furniture</v>
      </c>
      <c r="G1306" s="5">
        <v>2</v>
      </c>
      <c r="H1306">
        <v>27.64</v>
      </c>
      <c r="I1306" t="s">
        <v>57</v>
      </c>
      <c r="J1306" t="s">
        <v>65</v>
      </c>
      <c r="K1306" s="7">
        <v>0.15</v>
      </c>
      <c r="L1306" t="s">
        <v>27</v>
      </c>
      <c r="M1306" s="5">
        <v>46.988</v>
      </c>
      <c r="N1306" t="s">
        <v>82</v>
      </c>
      <c r="O1306" t="s">
        <v>60</v>
      </c>
      <c r="P1306" s="5">
        <v>0</v>
      </c>
      <c r="Q1306" t="s">
        <v>2594</v>
      </c>
      <c r="R1306" t="s">
        <v>2595</v>
      </c>
      <c r="S1306" s="5">
        <v>21.73</v>
      </c>
      <c r="T1306" s="3">
        <v>45554</v>
      </c>
      <c r="U1306" s="3">
        <v>45563</v>
      </c>
      <c r="V1306" t="s">
        <v>77</v>
      </c>
      <c r="W1306">
        <f t="shared" si="102"/>
        <v>39.939799999999998</v>
      </c>
      <c r="X1306">
        <f t="shared" si="103"/>
        <v>55.28</v>
      </c>
      <c r="Y1306">
        <f t="shared" si="104"/>
        <v>15.340200000000003</v>
      </c>
      <c r="Z1306" s="8" t="str">
        <f t="shared" si="101"/>
        <v>High</v>
      </c>
      <c r="AA1306" s="12">
        <f>DATE(YEAR(Table1[[#This Row],[OrderDate]]),MONTH(Table1[[#This Row],[OrderDate]]),1)</f>
        <v>45536</v>
      </c>
    </row>
    <row r="1307" spans="1:27" x14ac:dyDescent="0.3">
      <c r="A1307" s="3">
        <v>45192</v>
      </c>
      <c r="B1307" t="s">
        <v>11</v>
      </c>
      <c r="C1307" t="s">
        <v>32</v>
      </c>
      <c r="D1307" t="str">
        <f>TRIM(Table1[[#This Row],[Product]])</f>
        <v>Monitor</v>
      </c>
      <c r="E1307" t="str">
        <f>PROPER(Table1[[#This Row],[Column1]])</f>
        <v>Monitor</v>
      </c>
      <c r="F1307" s="8" t="str">
        <f t="shared" si="100"/>
        <v>Technology</v>
      </c>
      <c r="G1307" s="5">
        <v>17</v>
      </c>
      <c r="H1307">
        <v>439.3</v>
      </c>
      <c r="I1307" t="s">
        <v>57</v>
      </c>
      <c r="J1307" t="s">
        <v>65</v>
      </c>
      <c r="K1307" s="7">
        <v>0</v>
      </c>
      <c r="L1307" t="s">
        <v>27</v>
      </c>
      <c r="M1307" s="5">
        <v>7468.1</v>
      </c>
      <c r="N1307" t="s">
        <v>59</v>
      </c>
      <c r="O1307" t="s">
        <v>60</v>
      </c>
      <c r="P1307" s="5">
        <v>0</v>
      </c>
      <c r="Q1307" t="s">
        <v>2596</v>
      </c>
      <c r="R1307" t="s">
        <v>2597</v>
      </c>
      <c r="S1307" s="5">
        <v>12.87</v>
      </c>
      <c r="T1307" s="3">
        <v>45192</v>
      </c>
      <c r="U1307" s="3">
        <v>45195</v>
      </c>
      <c r="V1307" t="s">
        <v>74</v>
      </c>
      <c r="W1307">
        <f t="shared" si="102"/>
        <v>7468.1</v>
      </c>
      <c r="X1307">
        <f t="shared" si="103"/>
        <v>7468.1</v>
      </c>
      <c r="Y1307">
        <f t="shared" si="104"/>
        <v>0</v>
      </c>
      <c r="Z1307" s="8" t="str">
        <f t="shared" si="101"/>
        <v>No Discount</v>
      </c>
      <c r="AA1307" s="12">
        <f>DATE(YEAR(Table1[[#This Row],[OrderDate]]),MONTH(Table1[[#This Row],[OrderDate]]),1)</f>
        <v>45170</v>
      </c>
    </row>
    <row r="1308" spans="1:27" x14ac:dyDescent="0.3">
      <c r="A1308" s="3">
        <v>45657</v>
      </c>
      <c r="B1308" t="s">
        <v>9</v>
      </c>
      <c r="C1308" t="s">
        <v>34</v>
      </c>
      <c r="D1308" t="str">
        <f>TRIM(Table1[[#This Row],[Product]])</f>
        <v>Printer</v>
      </c>
      <c r="E1308" t="str">
        <f>PROPER(Table1[[#This Row],[Column1]])</f>
        <v>Printer</v>
      </c>
      <c r="F1308" s="8" t="str">
        <f t="shared" si="100"/>
        <v>Office Supplies</v>
      </c>
      <c r="G1308" s="5">
        <v>15</v>
      </c>
      <c r="H1308">
        <v>573.80999999999995</v>
      </c>
      <c r="I1308" t="s">
        <v>78</v>
      </c>
      <c r="J1308" t="s">
        <v>65</v>
      </c>
      <c r="K1308" s="7">
        <v>0</v>
      </c>
      <c r="L1308" t="s">
        <v>18</v>
      </c>
      <c r="M1308" s="5">
        <v>8607.15</v>
      </c>
      <c r="N1308" t="s">
        <v>66</v>
      </c>
      <c r="O1308" t="s">
        <v>67</v>
      </c>
      <c r="P1308" s="5">
        <v>0</v>
      </c>
      <c r="Q1308" t="s">
        <v>2598</v>
      </c>
      <c r="R1308" t="s">
        <v>1339</v>
      </c>
      <c r="S1308" s="5">
        <v>35.869999999999997</v>
      </c>
      <c r="T1308" s="3">
        <v>45657</v>
      </c>
      <c r="U1308" s="3">
        <v>45659</v>
      </c>
      <c r="V1308" t="s">
        <v>63</v>
      </c>
      <c r="W1308">
        <f t="shared" si="102"/>
        <v>8607.15</v>
      </c>
      <c r="X1308">
        <f t="shared" si="103"/>
        <v>8607.15</v>
      </c>
      <c r="Y1308">
        <f t="shared" si="104"/>
        <v>0</v>
      </c>
      <c r="Z1308" s="8" t="str">
        <f t="shared" si="101"/>
        <v>No Discount</v>
      </c>
      <c r="AA1308" s="12">
        <f>DATE(YEAR(Table1[[#This Row],[OrderDate]]),MONTH(Table1[[#This Row],[OrderDate]]),1)</f>
        <v>45627</v>
      </c>
    </row>
    <row r="1309" spans="1:27" x14ac:dyDescent="0.3">
      <c r="A1309" s="3">
        <v>45314</v>
      </c>
      <c r="B1309" t="s">
        <v>11</v>
      </c>
      <c r="C1309" t="s">
        <v>30</v>
      </c>
      <c r="D1309" t="str">
        <f>TRIM(Table1[[#This Row],[Product]])</f>
        <v>Desk</v>
      </c>
      <c r="E1309" t="str">
        <f>PROPER(Table1[[#This Row],[Column1]])</f>
        <v>Desk</v>
      </c>
      <c r="F1309" s="8" t="str">
        <f t="shared" si="100"/>
        <v>Furniture</v>
      </c>
      <c r="G1309" s="5">
        <v>19</v>
      </c>
      <c r="H1309">
        <v>360.06</v>
      </c>
      <c r="I1309" t="s">
        <v>78</v>
      </c>
      <c r="J1309" t="s">
        <v>58</v>
      </c>
      <c r="K1309" s="7">
        <v>0.05</v>
      </c>
      <c r="L1309" t="s">
        <v>25</v>
      </c>
      <c r="M1309" s="5">
        <v>6499.0829999999996</v>
      </c>
      <c r="N1309" t="s">
        <v>85</v>
      </c>
      <c r="O1309" t="s">
        <v>60</v>
      </c>
      <c r="P1309" s="5">
        <v>0</v>
      </c>
      <c r="Q1309" t="s">
        <v>2599</v>
      </c>
      <c r="R1309" t="s">
        <v>1885</v>
      </c>
      <c r="S1309" s="5">
        <v>33.19</v>
      </c>
      <c r="T1309" s="3">
        <v>45314</v>
      </c>
      <c r="U1309" s="3">
        <v>45322</v>
      </c>
      <c r="V1309" t="s">
        <v>74</v>
      </c>
      <c r="W1309">
        <f t="shared" si="102"/>
        <v>6174.1288499999991</v>
      </c>
      <c r="X1309">
        <f t="shared" si="103"/>
        <v>6841.14</v>
      </c>
      <c r="Y1309">
        <f t="shared" si="104"/>
        <v>667.01115000000118</v>
      </c>
      <c r="Z1309" s="8" t="str">
        <f t="shared" si="101"/>
        <v>Medium</v>
      </c>
      <c r="AA1309" s="12">
        <f>DATE(YEAR(Table1[[#This Row],[OrderDate]]),MONTH(Table1[[#This Row],[OrderDate]]),1)</f>
        <v>45292</v>
      </c>
    </row>
    <row r="1310" spans="1:27" x14ac:dyDescent="0.3">
      <c r="A1310" s="3">
        <v>45090</v>
      </c>
      <c r="B1310" t="s">
        <v>9</v>
      </c>
      <c r="C1310" t="s">
        <v>31</v>
      </c>
      <c r="D1310" t="str">
        <f>TRIM(Table1[[#This Row],[Product]])</f>
        <v>Laptop</v>
      </c>
      <c r="E1310" t="str">
        <f>PROPER(Table1[[#This Row],[Column1]])</f>
        <v>Laptop</v>
      </c>
      <c r="F1310" s="8" t="str">
        <f t="shared" si="100"/>
        <v>Technology</v>
      </c>
      <c r="G1310" s="5">
        <v>7</v>
      </c>
      <c r="H1310">
        <v>535.20000000000005</v>
      </c>
      <c r="I1310" t="s">
        <v>78</v>
      </c>
      <c r="J1310" t="s">
        <v>65</v>
      </c>
      <c r="K1310" s="7">
        <v>0.1</v>
      </c>
      <c r="L1310" t="s">
        <v>27</v>
      </c>
      <c r="M1310" s="5">
        <v>3371.7600000000011</v>
      </c>
      <c r="N1310" t="s">
        <v>85</v>
      </c>
      <c r="P1310" s="5">
        <v>0</v>
      </c>
      <c r="Q1310" t="s">
        <v>2600</v>
      </c>
      <c r="R1310" t="s">
        <v>2601</v>
      </c>
      <c r="S1310" s="5">
        <v>10.44</v>
      </c>
      <c r="T1310" s="3">
        <v>45090</v>
      </c>
      <c r="U1310" s="3">
        <v>45100</v>
      </c>
      <c r="V1310" t="s">
        <v>63</v>
      </c>
      <c r="W1310">
        <f t="shared" si="102"/>
        <v>3034.5840000000012</v>
      </c>
      <c r="X1310">
        <f t="shared" si="103"/>
        <v>3746.4000000000005</v>
      </c>
      <c r="Y1310">
        <f t="shared" si="104"/>
        <v>711.81599999999935</v>
      </c>
      <c r="Z1310" s="8" t="str">
        <f t="shared" si="101"/>
        <v>Medium</v>
      </c>
      <c r="AA1310" s="12">
        <f>DATE(YEAR(Table1[[#This Row],[OrderDate]]),MONTH(Table1[[#This Row],[OrderDate]]),1)</f>
        <v>45078</v>
      </c>
    </row>
    <row r="1311" spans="1:27" x14ac:dyDescent="0.3">
      <c r="A1311" s="3">
        <v>45108</v>
      </c>
      <c r="B1311" t="s">
        <v>9</v>
      </c>
      <c r="C1311" t="s">
        <v>29</v>
      </c>
      <c r="D1311" t="str">
        <f>TRIM(Table1[[#This Row],[Product]])</f>
        <v>Chair</v>
      </c>
      <c r="E1311" t="str">
        <f>PROPER(Table1[[#This Row],[Column1]])</f>
        <v>Chair</v>
      </c>
      <c r="F1311" s="8" t="str">
        <f t="shared" si="100"/>
        <v>Furniture</v>
      </c>
      <c r="G1311" s="5">
        <v>19</v>
      </c>
      <c r="H1311">
        <v>161.13</v>
      </c>
      <c r="I1311" t="s">
        <v>64</v>
      </c>
      <c r="J1311" t="s">
        <v>58</v>
      </c>
      <c r="K1311" s="7">
        <v>0</v>
      </c>
      <c r="L1311" t="s">
        <v>23</v>
      </c>
      <c r="M1311" s="5">
        <v>3061.47</v>
      </c>
      <c r="N1311" t="s">
        <v>82</v>
      </c>
      <c r="O1311" t="s">
        <v>60</v>
      </c>
      <c r="P1311" s="5">
        <v>0</v>
      </c>
      <c r="Q1311" t="s">
        <v>2602</v>
      </c>
      <c r="R1311" t="s">
        <v>2603</v>
      </c>
      <c r="S1311" s="5">
        <v>5.46</v>
      </c>
      <c r="T1311" s="3">
        <v>45108</v>
      </c>
      <c r="U1311" s="3">
        <v>45113</v>
      </c>
      <c r="V1311" t="s">
        <v>63</v>
      </c>
      <c r="W1311">
        <f t="shared" si="102"/>
        <v>3061.47</v>
      </c>
      <c r="X1311">
        <f t="shared" si="103"/>
        <v>3061.47</v>
      </c>
      <c r="Y1311">
        <f t="shared" si="104"/>
        <v>0</v>
      </c>
      <c r="Z1311" s="8" t="str">
        <f t="shared" si="101"/>
        <v>No Discount</v>
      </c>
      <c r="AA1311" s="12">
        <f>DATE(YEAR(Table1[[#This Row],[OrderDate]]),MONTH(Table1[[#This Row],[OrderDate]]),1)</f>
        <v>45108</v>
      </c>
    </row>
    <row r="1312" spans="1:27" x14ac:dyDescent="0.3">
      <c r="A1312" s="3">
        <v>45738</v>
      </c>
      <c r="B1312" t="s">
        <v>13</v>
      </c>
      <c r="C1312" t="s">
        <v>31</v>
      </c>
      <c r="D1312" t="str">
        <f>TRIM(Table1[[#This Row],[Product]])</f>
        <v>Laptop</v>
      </c>
      <c r="E1312" t="str">
        <f>PROPER(Table1[[#This Row],[Column1]])</f>
        <v>Laptop</v>
      </c>
      <c r="F1312" s="8" t="str">
        <f t="shared" si="100"/>
        <v>Technology</v>
      </c>
      <c r="G1312" s="5">
        <v>11</v>
      </c>
      <c r="H1312">
        <v>29.6</v>
      </c>
      <c r="I1312" t="s">
        <v>81</v>
      </c>
      <c r="J1312" t="s">
        <v>65</v>
      </c>
      <c r="K1312" s="7">
        <v>0.15</v>
      </c>
      <c r="L1312" t="s">
        <v>21</v>
      </c>
      <c r="M1312" s="5">
        <v>276.76</v>
      </c>
      <c r="N1312" t="s">
        <v>88</v>
      </c>
      <c r="O1312" t="s">
        <v>60</v>
      </c>
      <c r="P1312" s="5">
        <v>1</v>
      </c>
      <c r="Q1312" t="s">
        <v>2604</v>
      </c>
      <c r="R1312" t="s">
        <v>2605</v>
      </c>
      <c r="S1312" s="5">
        <v>34.96</v>
      </c>
      <c r="T1312" s="3">
        <v>45738</v>
      </c>
      <c r="U1312" s="3">
        <v>45741</v>
      </c>
      <c r="V1312" t="s">
        <v>70</v>
      </c>
      <c r="W1312">
        <f t="shared" si="102"/>
        <v>235.24599999999998</v>
      </c>
      <c r="X1312">
        <f t="shared" si="103"/>
        <v>325.60000000000002</v>
      </c>
      <c r="Y1312">
        <f t="shared" si="104"/>
        <v>90.354000000000042</v>
      </c>
      <c r="Z1312" s="8" t="str">
        <f t="shared" si="101"/>
        <v>High</v>
      </c>
      <c r="AA1312" s="12">
        <f>DATE(YEAR(Table1[[#This Row],[OrderDate]]),MONTH(Table1[[#This Row],[OrderDate]]),1)</f>
        <v>45717</v>
      </c>
    </row>
    <row r="1313" spans="1:27" x14ac:dyDescent="0.3">
      <c r="A1313" s="3">
        <v>45695</v>
      </c>
      <c r="B1313" t="s">
        <v>13</v>
      </c>
      <c r="C1313" t="s">
        <v>31</v>
      </c>
      <c r="D1313" t="str">
        <f>TRIM(Table1[[#This Row],[Product]])</f>
        <v>Laptop</v>
      </c>
      <c r="E1313" t="str">
        <f>PROPER(Table1[[#This Row],[Column1]])</f>
        <v>Laptop</v>
      </c>
      <c r="F1313" s="8" t="str">
        <f t="shared" si="100"/>
        <v>Technology</v>
      </c>
      <c r="G1313" s="5">
        <v>16</v>
      </c>
      <c r="H1313">
        <v>172.89</v>
      </c>
      <c r="I1313" t="s">
        <v>57</v>
      </c>
      <c r="J1313" t="s">
        <v>58</v>
      </c>
      <c r="K1313" s="7">
        <v>0.15</v>
      </c>
      <c r="L1313" t="s">
        <v>23</v>
      </c>
      <c r="M1313" s="5">
        <v>2351.3040000000001</v>
      </c>
      <c r="N1313" t="s">
        <v>82</v>
      </c>
      <c r="O1313" t="s">
        <v>60</v>
      </c>
      <c r="P1313" s="5">
        <v>1</v>
      </c>
      <c r="Q1313" t="s">
        <v>2606</v>
      </c>
      <c r="R1313" t="s">
        <v>2607</v>
      </c>
      <c r="S1313" s="5">
        <v>41.87</v>
      </c>
      <c r="T1313" s="3">
        <v>45695</v>
      </c>
      <c r="U1313" s="3">
        <v>45703</v>
      </c>
      <c r="V1313" t="s">
        <v>70</v>
      </c>
      <c r="W1313">
        <f t="shared" si="102"/>
        <v>1998.6084000000001</v>
      </c>
      <c r="X1313">
        <f t="shared" si="103"/>
        <v>2766.24</v>
      </c>
      <c r="Y1313">
        <f t="shared" si="104"/>
        <v>767.63159999999971</v>
      </c>
      <c r="Z1313" s="8" t="str">
        <f t="shared" si="101"/>
        <v>High</v>
      </c>
      <c r="AA1313" s="12">
        <f>DATE(YEAR(Table1[[#This Row],[OrderDate]]),MONTH(Table1[[#This Row],[OrderDate]]),1)</f>
        <v>45689</v>
      </c>
    </row>
    <row r="1314" spans="1:27" x14ac:dyDescent="0.3">
      <c r="A1314" s="3">
        <v>45217</v>
      </c>
      <c r="B1314" t="s">
        <v>11</v>
      </c>
      <c r="C1314" t="s">
        <v>33</v>
      </c>
      <c r="D1314" t="str">
        <f>TRIM(Table1[[#This Row],[Product]])</f>
        <v>Phone</v>
      </c>
      <c r="E1314" t="str">
        <f>PROPER(Table1[[#This Row],[Column1]])</f>
        <v>Phone</v>
      </c>
      <c r="F1314" s="8" t="str">
        <f t="shared" si="100"/>
        <v>Technology</v>
      </c>
      <c r="G1314" s="5">
        <v>5</v>
      </c>
      <c r="H1314">
        <v>48.06</v>
      </c>
      <c r="I1314" t="s">
        <v>64</v>
      </c>
      <c r="J1314" t="s">
        <v>58</v>
      </c>
      <c r="K1314" s="7">
        <v>0</v>
      </c>
      <c r="L1314" t="s">
        <v>18</v>
      </c>
      <c r="M1314" s="5">
        <v>240.3</v>
      </c>
      <c r="N1314" t="s">
        <v>66</v>
      </c>
      <c r="O1314" t="s">
        <v>60</v>
      </c>
      <c r="P1314" s="5">
        <v>0</v>
      </c>
      <c r="Q1314" t="s">
        <v>2608</v>
      </c>
      <c r="R1314" t="s">
        <v>2609</v>
      </c>
      <c r="S1314" s="5">
        <v>19.170000000000002</v>
      </c>
      <c r="T1314" s="3">
        <v>45217</v>
      </c>
      <c r="U1314" s="3">
        <v>45225</v>
      </c>
      <c r="V1314" t="s">
        <v>74</v>
      </c>
      <c r="W1314">
        <f t="shared" si="102"/>
        <v>240.3</v>
      </c>
      <c r="X1314">
        <f t="shared" si="103"/>
        <v>240.3</v>
      </c>
      <c r="Y1314">
        <f t="shared" si="104"/>
        <v>0</v>
      </c>
      <c r="Z1314" s="8" t="str">
        <f t="shared" si="101"/>
        <v>No Discount</v>
      </c>
      <c r="AA1314" s="12">
        <f>DATE(YEAR(Table1[[#This Row],[OrderDate]]),MONTH(Table1[[#This Row],[OrderDate]]),1)</f>
        <v>45200</v>
      </c>
    </row>
    <row r="1315" spans="1:27" x14ac:dyDescent="0.3">
      <c r="A1315" s="3">
        <v>45293</v>
      </c>
      <c r="B1315" t="s">
        <v>7</v>
      </c>
      <c r="C1315" t="s">
        <v>30</v>
      </c>
      <c r="D1315" t="str">
        <f>TRIM(Table1[[#This Row],[Product]])</f>
        <v>Desk</v>
      </c>
      <c r="E1315" t="str">
        <f>PROPER(Table1[[#This Row],[Column1]])</f>
        <v>Desk</v>
      </c>
      <c r="F1315" s="8" t="str">
        <f t="shared" si="100"/>
        <v>Furniture</v>
      </c>
      <c r="G1315" s="5">
        <v>7</v>
      </c>
      <c r="H1315">
        <v>55.76</v>
      </c>
      <c r="I1315" t="s">
        <v>78</v>
      </c>
      <c r="J1315" t="s">
        <v>58</v>
      </c>
      <c r="K1315" s="7">
        <v>0.1</v>
      </c>
      <c r="L1315" t="s">
        <v>18</v>
      </c>
      <c r="M1315" s="5">
        <v>351.28800000000001</v>
      </c>
      <c r="N1315" t="s">
        <v>59</v>
      </c>
      <c r="P1315" s="5">
        <v>0</v>
      </c>
      <c r="Q1315" t="s">
        <v>2610</v>
      </c>
      <c r="R1315" t="s">
        <v>2611</v>
      </c>
      <c r="S1315" s="5">
        <v>38.979999999999997</v>
      </c>
      <c r="T1315" s="3">
        <v>45293</v>
      </c>
      <c r="U1315" s="3">
        <v>45302</v>
      </c>
      <c r="V1315" t="s">
        <v>77</v>
      </c>
      <c r="W1315">
        <f t="shared" si="102"/>
        <v>316.1592</v>
      </c>
      <c r="X1315">
        <f t="shared" si="103"/>
        <v>390.32</v>
      </c>
      <c r="Y1315">
        <f t="shared" si="104"/>
        <v>74.160799999999995</v>
      </c>
      <c r="Z1315" s="8" t="str">
        <f t="shared" si="101"/>
        <v>Medium</v>
      </c>
      <c r="AA1315" s="12">
        <f>DATE(YEAR(Table1[[#This Row],[OrderDate]]),MONTH(Table1[[#This Row],[OrderDate]]),1)</f>
        <v>45292</v>
      </c>
    </row>
    <row r="1316" spans="1:27" x14ac:dyDescent="0.3">
      <c r="A1316" s="3">
        <v>45724</v>
      </c>
      <c r="B1316" t="s">
        <v>13</v>
      </c>
      <c r="C1316" t="s">
        <v>31</v>
      </c>
      <c r="D1316" t="str">
        <f>TRIM(Table1[[#This Row],[Product]])</f>
        <v>Laptop</v>
      </c>
      <c r="E1316" t="str">
        <f>PROPER(Table1[[#This Row],[Column1]])</f>
        <v>Laptop</v>
      </c>
      <c r="F1316" s="8" t="str">
        <f t="shared" si="100"/>
        <v>Technology</v>
      </c>
      <c r="G1316" s="5">
        <v>4</v>
      </c>
      <c r="H1316">
        <v>24.58</v>
      </c>
      <c r="I1316" t="s">
        <v>57</v>
      </c>
      <c r="J1316" t="s">
        <v>58</v>
      </c>
      <c r="K1316" s="7">
        <v>0.15</v>
      </c>
      <c r="L1316" t="s">
        <v>21</v>
      </c>
      <c r="M1316" s="5">
        <v>83.571999999999989</v>
      </c>
      <c r="N1316" t="s">
        <v>85</v>
      </c>
      <c r="O1316" t="s">
        <v>71</v>
      </c>
      <c r="P1316" s="5">
        <v>0</v>
      </c>
      <c r="Q1316" t="s">
        <v>2612</v>
      </c>
      <c r="R1316" t="s">
        <v>2613</v>
      </c>
      <c r="S1316" s="5">
        <v>39.869999999999997</v>
      </c>
      <c r="T1316" s="3">
        <v>45724</v>
      </c>
      <c r="U1316" s="3">
        <v>45733</v>
      </c>
      <c r="V1316" t="s">
        <v>70</v>
      </c>
      <c r="W1316">
        <f t="shared" si="102"/>
        <v>71.036199999999994</v>
      </c>
      <c r="X1316">
        <f t="shared" si="103"/>
        <v>98.32</v>
      </c>
      <c r="Y1316">
        <f t="shared" si="104"/>
        <v>27.283799999999999</v>
      </c>
      <c r="Z1316" s="8" t="str">
        <f t="shared" si="101"/>
        <v>High</v>
      </c>
      <c r="AA1316" s="12">
        <f>DATE(YEAR(Table1[[#This Row],[OrderDate]]),MONTH(Table1[[#This Row],[OrderDate]]),1)</f>
        <v>45717</v>
      </c>
    </row>
    <row r="1317" spans="1:27" x14ac:dyDescent="0.3">
      <c r="A1317" s="3">
        <v>45110</v>
      </c>
      <c r="B1317" t="s">
        <v>16</v>
      </c>
      <c r="C1317" t="s">
        <v>30</v>
      </c>
      <c r="D1317" t="str">
        <f>TRIM(Table1[[#This Row],[Product]])</f>
        <v>Desk</v>
      </c>
      <c r="E1317" t="str">
        <f>PROPER(Table1[[#This Row],[Column1]])</f>
        <v>Desk</v>
      </c>
      <c r="F1317" s="8" t="str">
        <f t="shared" si="100"/>
        <v>Furniture</v>
      </c>
      <c r="G1317" s="5">
        <v>2</v>
      </c>
      <c r="H1317">
        <v>504.82</v>
      </c>
      <c r="I1317" t="s">
        <v>81</v>
      </c>
      <c r="J1317" t="s">
        <v>65</v>
      </c>
      <c r="K1317" s="7">
        <v>0</v>
      </c>
      <c r="L1317" t="s">
        <v>21</v>
      </c>
      <c r="M1317" s="5">
        <v>1009.64</v>
      </c>
      <c r="N1317" t="s">
        <v>85</v>
      </c>
      <c r="O1317" t="s">
        <v>60</v>
      </c>
      <c r="P1317" s="5">
        <v>0</v>
      </c>
      <c r="Q1317" t="s">
        <v>2614</v>
      </c>
      <c r="R1317" t="s">
        <v>2615</v>
      </c>
      <c r="S1317" s="5">
        <v>25.54</v>
      </c>
      <c r="T1317" s="3">
        <v>45110</v>
      </c>
      <c r="U1317" s="3">
        <v>45115</v>
      </c>
      <c r="V1317" t="s">
        <v>95</v>
      </c>
      <c r="W1317">
        <f t="shared" si="102"/>
        <v>1009.64</v>
      </c>
      <c r="X1317">
        <f t="shared" si="103"/>
        <v>1009.64</v>
      </c>
      <c r="Y1317">
        <f t="shared" si="104"/>
        <v>0</v>
      </c>
      <c r="Z1317" s="8" t="str">
        <f t="shared" si="101"/>
        <v>No Discount</v>
      </c>
      <c r="AA1317" s="12">
        <f>DATE(YEAR(Table1[[#This Row],[OrderDate]]),MONTH(Table1[[#This Row],[OrderDate]]),1)</f>
        <v>45108</v>
      </c>
    </row>
    <row r="1318" spans="1:27" x14ac:dyDescent="0.3">
      <c r="A1318" s="3">
        <v>45245</v>
      </c>
      <c r="B1318" t="s">
        <v>11</v>
      </c>
      <c r="C1318" t="s">
        <v>35</v>
      </c>
      <c r="D1318" t="str">
        <f>TRIM(Table1[[#This Row],[Product]])</f>
        <v>Tablet</v>
      </c>
      <c r="E1318" t="str">
        <f>PROPER(Table1[[#This Row],[Column1]])</f>
        <v>Tablet</v>
      </c>
      <c r="F1318" s="8" t="str">
        <f t="shared" si="100"/>
        <v>Technology</v>
      </c>
      <c r="G1318" s="5">
        <v>17</v>
      </c>
      <c r="H1318">
        <v>275.89</v>
      </c>
      <c r="I1318" t="s">
        <v>57</v>
      </c>
      <c r="J1318" t="s">
        <v>58</v>
      </c>
      <c r="K1318" s="7">
        <v>0.1</v>
      </c>
      <c r="L1318" t="s">
        <v>19</v>
      </c>
      <c r="M1318" s="5">
        <v>4221.1170000000002</v>
      </c>
      <c r="N1318" t="s">
        <v>66</v>
      </c>
      <c r="O1318" t="s">
        <v>60</v>
      </c>
      <c r="P1318" s="5">
        <v>0</v>
      </c>
      <c r="Q1318" t="s">
        <v>2616</v>
      </c>
      <c r="R1318" t="s">
        <v>2617</v>
      </c>
      <c r="S1318" s="5">
        <v>15.43</v>
      </c>
      <c r="T1318" s="3">
        <v>45245</v>
      </c>
      <c r="U1318" s="3">
        <v>45252</v>
      </c>
      <c r="V1318" t="s">
        <v>74</v>
      </c>
      <c r="W1318">
        <f t="shared" si="102"/>
        <v>3799.0053000000003</v>
      </c>
      <c r="X1318">
        <f t="shared" si="103"/>
        <v>4690.13</v>
      </c>
      <c r="Y1318">
        <f t="shared" si="104"/>
        <v>891.12469999999985</v>
      </c>
      <c r="Z1318" s="8" t="str">
        <f t="shared" si="101"/>
        <v>Medium</v>
      </c>
      <c r="AA1318" s="12">
        <f>DATE(YEAR(Table1[[#This Row],[OrderDate]]),MONTH(Table1[[#This Row],[OrderDate]]),1)</f>
        <v>45231</v>
      </c>
    </row>
    <row r="1319" spans="1:27" x14ac:dyDescent="0.3">
      <c r="A1319" s="3">
        <v>45332</v>
      </c>
      <c r="B1319" t="s">
        <v>16</v>
      </c>
      <c r="C1319" t="s">
        <v>30</v>
      </c>
      <c r="D1319" t="str">
        <f>TRIM(Table1[[#This Row],[Product]])</f>
        <v>Desk</v>
      </c>
      <c r="E1319" t="str">
        <f>PROPER(Table1[[#This Row],[Column1]])</f>
        <v>Desk</v>
      </c>
      <c r="F1319" s="8" t="str">
        <f t="shared" si="100"/>
        <v>Furniture</v>
      </c>
      <c r="G1319" s="5">
        <v>9</v>
      </c>
      <c r="H1319">
        <v>130.57</v>
      </c>
      <c r="I1319" t="s">
        <v>78</v>
      </c>
      <c r="J1319" t="s">
        <v>58</v>
      </c>
      <c r="K1319" s="7">
        <v>0.1</v>
      </c>
      <c r="L1319" t="s">
        <v>25</v>
      </c>
      <c r="M1319" s="5">
        <v>1057.617</v>
      </c>
      <c r="N1319" t="s">
        <v>88</v>
      </c>
      <c r="O1319" t="s">
        <v>71</v>
      </c>
      <c r="P1319" s="5">
        <v>0</v>
      </c>
      <c r="Q1319" t="s">
        <v>2618</v>
      </c>
      <c r="R1319" t="s">
        <v>2619</v>
      </c>
      <c r="S1319" s="5">
        <v>37.14</v>
      </c>
      <c r="T1319" s="3">
        <v>45332</v>
      </c>
      <c r="U1319" s="3">
        <v>45339</v>
      </c>
      <c r="V1319" t="s">
        <v>95</v>
      </c>
      <c r="W1319">
        <f t="shared" si="102"/>
        <v>951.85529999999994</v>
      </c>
      <c r="X1319">
        <f t="shared" si="103"/>
        <v>1175.1299999999999</v>
      </c>
      <c r="Y1319">
        <f t="shared" si="104"/>
        <v>223.27469999999994</v>
      </c>
      <c r="Z1319" s="8" t="str">
        <f t="shared" si="101"/>
        <v>Medium</v>
      </c>
      <c r="AA1319" s="12">
        <f>DATE(YEAR(Table1[[#This Row],[OrderDate]]),MONTH(Table1[[#This Row],[OrderDate]]),1)</f>
        <v>45323</v>
      </c>
    </row>
    <row r="1320" spans="1:27" x14ac:dyDescent="0.3">
      <c r="A1320" s="3">
        <v>45756</v>
      </c>
      <c r="B1320" t="s">
        <v>16</v>
      </c>
      <c r="C1320" t="s">
        <v>32</v>
      </c>
      <c r="D1320" t="str">
        <f>TRIM(Table1[[#This Row],[Product]])</f>
        <v>Monitor</v>
      </c>
      <c r="E1320" t="str">
        <f>PROPER(Table1[[#This Row],[Column1]])</f>
        <v>Monitor</v>
      </c>
      <c r="F1320" s="8" t="str">
        <f t="shared" si="100"/>
        <v>Technology</v>
      </c>
      <c r="G1320" s="5">
        <v>12</v>
      </c>
      <c r="H1320">
        <v>312.72000000000003</v>
      </c>
      <c r="I1320" t="s">
        <v>78</v>
      </c>
      <c r="J1320" t="s">
        <v>65</v>
      </c>
      <c r="K1320" s="7">
        <v>0</v>
      </c>
      <c r="L1320" t="s">
        <v>25</v>
      </c>
      <c r="M1320" s="5">
        <v>3752.64</v>
      </c>
      <c r="N1320" t="s">
        <v>66</v>
      </c>
      <c r="P1320" s="5">
        <v>0</v>
      </c>
      <c r="Q1320" t="s">
        <v>2620</v>
      </c>
      <c r="R1320" t="s">
        <v>1028</v>
      </c>
      <c r="S1320" s="5">
        <v>18.46</v>
      </c>
      <c r="T1320" s="3">
        <v>45756</v>
      </c>
      <c r="U1320" s="3">
        <v>45766</v>
      </c>
      <c r="V1320" t="s">
        <v>95</v>
      </c>
      <c r="W1320">
        <f t="shared" si="102"/>
        <v>3752.64</v>
      </c>
      <c r="X1320">
        <f t="shared" si="103"/>
        <v>3752.6400000000003</v>
      </c>
      <c r="Y1320">
        <f t="shared" si="104"/>
        <v>0</v>
      </c>
      <c r="Z1320" s="8" t="str">
        <f t="shared" si="101"/>
        <v>No Discount</v>
      </c>
      <c r="AA1320" s="12">
        <f>DATE(YEAR(Table1[[#This Row],[OrderDate]]),MONTH(Table1[[#This Row],[OrderDate]]),1)</f>
        <v>45748</v>
      </c>
    </row>
    <row r="1321" spans="1:27" x14ac:dyDescent="0.3">
      <c r="A1321" s="3">
        <v>45178</v>
      </c>
      <c r="B1321" t="s">
        <v>16</v>
      </c>
      <c r="C1321" t="s">
        <v>35</v>
      </c>
      <c r="D1321" t="str">
        <f>TRIM(Table1[[#This Row],[Product]])</f>
        <v>Tablet</v>
      </c>
      <c r="E1321" t="str">
        <f>PROPER(Table1[[#This Row],[Column1]])</f>
        <v>Tablet</v>
      </c>
      <c r="F1321" s="8" t="str">
        <f t="shared" si="100"/>
        <v>Technology</v>
      </c>
      <c r="G1321" s="5">
        <v>18</v>
      </c>
      <c r="H1321">
        <v>222.66</v>
      </c>
      <c r="I1321" t="s">
        <v>78</v>
      </c>
      <c r="J1321" t="s">
        <v>58</v>
      </c>
      <c r="K1321" s="7">
        <v>0.05</v>
      </c>
      <c r="L1321" t="s">
        <v>18</v>
      </c>
      <c r="M1321" s="5">
        <v>3807.4859999999999</v>
      </c>
      <c r="N1321" t="s">
        <v>66</v>
      </c>
      <c r="O1321" t="s">
        <v>67</v>
      </c>
      <c r="P1321" s="5">
        <v>0</v>
      </c>
      <c r="Q1321" t="s">
        <v>2621</v>
      </c>
      <c r="R1321" t="s">
        <v>2622</v>
      </c>
      <c r="S1321" s="5">
        <v>12.91</v>
      </c>
      <c r="T1321" s="3">
        <v>45178</v>
      </c>
      <c r="U1321" s="3">
        <v>45181</v>
      </c>
      <c r="V1321" t="s">
        <v>95</v>
      </c>
      <c r="W1321">
        <f t="shared" si="102"/>
        <v>3617.1116999999999</v>
      </c>
      <c r="X1321">
        <f t="shared" si="103"/>
        <v>4007.88</v>
      </c>
      <c r="Y1321">
        <f t="shared" si="104"/>
        <v>390.76830000000018</v>
      </c>
      <c r="Z1321" s="8" t="str">
        <f t="shared" si="101"/>
        <v>Medium</v>
      </c>
      <c r="AA1321" s="12">
        <f>DATE(YEAR(Table1[[#This Row],[OrderDate]]),MONTH(Table1[[#This Row],[OrderDate]]),1)</f>
        <v>45170</v>
      </c>
    </row>
    <row r="1322" spans="1:27" x14ac:dyDescent="0.3">
      <c r="A1322" s="3">
        <v>45004</v>
      </c>
      <c r="B1322" t="s">
        <v>9</v>
      </c>
      <c r="C1322" t="s">
        <v>33</v>
      </c>
      <c r="D1322" t="str">
        <f>TRIM(Table1[[#This Row],[Product]])</f>
        <v>Phone</v>
      </c>
      <c r="E1322" t="str">
        <f>PROPER(Table1[[#This Row],[Column1]])</f>
        <v>Phone</v>
      </c>
      <c r="F1322" s="8" t="str">
        <f t="shared" si="100"/>
        <v>Technology</v>
      </c>
      <c r="G1322" s="5">
        <v>13</v>
      </c>
      <c r="H1322">
        <v>374.05</v>
      </c>
      <c r="I1322" t="s">
        <v>81</v>
      </c>
      <c r="J1322" t="s">
        <v>58</v>
      </c>
      <c r="K1322" s="7">
        <v>0.05</v>
      </c>
      <c r="L1322" t="s">
        <v>23</v>
      </c>
      <c r="M1322" s="5">
        <v>4619.5174999999999</v>
      </c>
      <c r="N1322" t="s">
        <v>85</v>
      </c>
      <c r="O1322" t="s">
        <v>60</v>
      </c>
      <c r="P1322" s="5">
        <v>0</v>
      </c>
      <c r="Q1322" t="s">
        <v>2623</v>
      </c>
      <c r="R1322" t="s">
        <v>2624</v>
      </c>
      <c r="S1322" s="5">
        <v>26.32</v>
      </c>
      <c r="T1322" s="3">
        <v>45004</v>
      </c>
      <c r="U1322" s="3">
        <v>45011</v>
      </c>
      <c r="V1322" t="s">
        <v>63</v>
      </c>
      <c r="W1322">
        <f t="shared" si="102"/>
        <v>4388.5416249999998</v>
      </c>
      <c r="X1322">
        <f t="shared" si="103"/>
        <v>4862.6500000000005</v>
      </c>
      <c r="Y1322">
        <f t="shared" si="104"/>
        <v>474.10837500000071</v>
      </c>
      <c r="Z1322" s="8" t="str">
        <f t="shared" si="101"/>
        <v>Medium</v>
      </c>
      <c r="AA1322" s="12">
        <f>DATE(YEAR(Table1[[#This Row],[OrderDate]]),MONTH(Table1[[#This Row],[OrderDate]]),1)</f>
        <v>44986</v>
      </c>
    </row>
    <row r="1323" spans="1:27" x14ac:dyDescent="0.3">
      <c r="A1323" s="3">
        <v>45657</v>
      </c>
      <c r="B1323" t="s">
        <v>7</v>
      </c>
      <c r="C1323" t="s">
        <v>34</v>
      </c>
      <c r="D1323" t="str">
        <f>TRIM(Table1[[#This Row],[Product]])</f>
        <v>Printer</v>
      </c>
      <c r="E1323" t="str">
        <f>PROPER(Table1[[#This Row],[Column1]])</f>
        <v>Printer</v>
      </c>
      <c r="F1323" s="8" t="str">
        <f t="shared" si="100"/>
        <v>Office Supplies</v>
      </c>
      <c r="G1323" s="5">
        <v>11</v>
      </c>
      <c r="H1323">
        <v>331.29</v>
      </c>
      <c r="I1323" t="s">
        <v>57</v>
      </c>
      <c r="J1323" t="s">
        <v>58</v>
      </c>
      <c r="K1323" s="7">
        <v>0.1</v>
      </c>
      <c r="L1323" t="s">
        <v>18</v>
      </c>
      <c r="M1323" s="5">
        <v>3279.7710000000002</v>
      </c>
      <c r="N1323" t="s">
        <v>82</v>
      </c>
      <c r="O1323" t="s">
        <v>71</v>
      </c>
      <c r="P1323" s="5">
        <v>0</v>
      </c>
      <c r="Q1323" t="s">
        <v>2625</v>
      </c>
      <c r="R1323" t="s">
        <v>1934</v>
      </c>
      <c r="S1323" s="5">
        <v>6.22</v>
      </c>
      <c r="T1323" s="3">
        <v>45657</v>
      </c>
      <c r="U1323" s="3">
        <v>45659</v>
      </c>
      <c r="V1323" t="s">
        <v>77</v>
      </c>
      <c r="W1323">
        <f t="shared" si="102"/>
        <v>2951.7939000000001</v>
      </c>
      <c r="X1323">
        <f t="shared" si="103"/>
        <v>3644.19</v>
      </c>
      <c r="Y1323">
        <f t="shared" si="104"/>
        <v>692.39609999999993</v>
      </c>
      <c r="Z1323" s="8" t="str">
        <f t="shared" si="101"/>
        <v>Medium</v>
      </c>
      <c r="AA1323" s="12">
        <f>DATE(YEAR(Table1[[#This Row],[OrderDate]]),MONTH(Table1[[#This Row],[OrderDate]]),1)</f>
        <v>45627</v>
      </c>
    </row>
    <row r="1324" spans="1:27" x14ac:dyDescent="0.3">
      <c r="A1324" s="3">
        <v>45254</v>
      </c>
      <c r="B1324" t="s">
        <v>7</v>
      </c>
      <c r="C1324" t="s">
        <v>33</v>
      </c>
      <c r="D1324" t="str">
        <f>TRIM(Table1[[#This Row],[Product]])</f>
        <v>Phone</v>
      </c>
      <c r="E1324" t="str">
        <f>PROPER(Table1[[#This Row],[Column1]])</f>
        <v>Phone</v>
      </c>
      <c r="F1324" s="8" t="str">
        <f t="shared" si="100"/>
        <v>Technology</v>
      </c>
      <c r="G1324" s="5">
        <v>5</v>
      </c>
      <c r="H1324">
        <v>533.52</v>
      </c>
      <c r="I1324" t="s">
        <v>81</v>
      </c>
      <c r="J1324" t="s">
        <v>58</v>
      </c>
      <c r="K1324" s="7">
        <v>0</v>
      </c>
      <c r="L1324" t="s">
        <v>21</v>
      </c>
      <c r="M1324" s="5">
        <v>2667.6</v>
      </c>
      <c r="N1324" t="s">
        <v>82</v>
      </c>
      <c r="O1324" t="s">
        <v>60</v>
      </c>
      <c r="P1324" s="5">
        <v>1</v>
      </c>
      <c r="Q1324" t="s">
        <v>2626</v>
      </c>
      <c r="R1324" t="s">
        <v>2627</v>
      </c>
      <c r="S1324" s="5">
        <v>9.08</v>
      </c>
      <c r="T1324" s="3">
        <v>45254</v>
      </c>
      <c r="U1324" s="3">
        <v>45256</v>
      </c>
      <c r="V1324" t="s">
        <v>77</v>
      </c>
      <c r="W1324">
        <f t="shared" si="102"/>
        <v>2667.6</v>
      </c>
      <c r="X1324">
        <f t="shared" si="103"/>
        <v>2667.6</v>
      </c>
      <c r="Y1324">
        <f t="shared" si="104"/>
        <v>0</v>
      </c>
      <c r="Z1324" s="8" t="str">
        <f t="shared" si="101"/>
        <v>No Discount</v>
      </c>
      <c r="AA1324" s="12">
        <f>DATE(YEAR(Table1[[#This Row],[OrderDate]]),MONTH(Table1[[#This Row],[OrderDate]]),1)</f>
        <v>45231</v>
      </c>
    </row>
    <row r="1325" spans="1:27" x14ac:dyDescent="0.3">
      <c r="A1325" s="3">
        <v>45792</v>
      </c>
      <c r="B1325" t="s">
        <v>9</v>
      </c>
      <c r="C1325" t="s">
        <v>29</v>
      </c>
      <c r="D1325" t="str">
        <f>TRIM(Table1[[#This Row],[Product]])</f>
        <v>Chair</v>
      </c>
      <c r="E1325" t="str">
        <f>PROPER(Table1[[#This Row],[Column1]])</f>
        <v>Chair</v>
      </c>
      <c r="F1325" s="8" t="str">
        <f t="shared" si="100"/>
        <v>Furniture</v>
      </c>
      <c r="G1325" s="5">
        <v>10</v>
      </c>
      <c r="H1325">
        <v>492.24</v>
      </c>
      <c r="I1325" t="s">
        <v>64</v>
      </c>
      <c r="J1325" t="s">
        <v>65</v>
      </c>
      <c r="K1325" s="7">
        <v>0</v>
      </c>
      <c r="L1325" t="s">
        <v>18</v>
      </c>
      <c r="M1325" s="5">
        <v>4922.3999999999996</v>
      </c>
      <c r="N1325" t="s">
        <v>66</v>
      </c>
      <c r="O1325" t="s">
        <v>71</v>
      </c>
      <c r="P1325" s="5">
        <v>0</v>
      </c>
      <c r="Q1325" t="s">
        <v>2628</v>
      </c>
      <c r="R1325" t="s">
        <v>2629</v>
      </c>
      <c r="S1325" s="5">
        <v>38.89</v>
      </c>
      <c r="T1325" s="3">
        <v>45792</v>
      </c>
      <c r="U1325" s="3">
        <v>45799</v>
      </c>
      <c r="V1325" t="s">
        <v>63</v>
      </c>
      <c r="W1325">
        <f t="shared" si="102"/>
        <v>4922.3999999999996</v>
      </c>
      <c r="X1325">
        <f t="shared" si="103"/>
        <v>4922.3999999999996</v>
      </c>
      <c r="Y1325">
        <f t="shared" si="104"/>
        <v>0</v>
      </c>
      <c r="Z1325" s="8" t="str">
        <f t="shared" si="101"/>
        <v>No Discount</v>
      </c>
      <c r="AA1325" s="12">
        <f>DATE(YEAR(Table1[[#This Row],[OrderDate]]),MONTH(Table1[[#This Row],[OrderDate]]),1)</f>
        <v>45778</v>
      </c>
    </row>
    <row r="1326" spans="1:27" x14ac:dyDescent="0.3">
      <c r="A1326" s="3">
        <v>45753</v>
      </c>
      <c r="B1326" t="s">
        <v>13</v>
      </c>
      <c r="C1326" t="s">
        <v>35</v>
      </c>
      <c r="D1326" t="str">
        <f>TRIM(Table1[[#This Row],[Product]])</f>
        <v>Tablet</v>
      </c>
      <c r="E1326" t="str">
        <f>PROPER(Table1[[#This Row],[Column1]])</f>
        <v>Tablet</v>
      </c>
      <c r="F1326" s="8" t="str">
        <f t="shared" si="100"/>
        <v>Technology</v>
      </c>
      <c r="G1326" s="5">
        <v>9</v>
      </c>
      <c r="H1326">
        <v>543.57000000000005</v>
      </c>
      <c r="I1326" t="s">
        <v>81</v>
      </c>
      <c r="J1326" t="s">
        <v>65</v>
      </c>
      <c r="K1326" s="7">
        <v>0.15</v>
      </c>
      <c r="L1326" t="s">
        <v>23</v>
      </c>
      <c r="M1326" s="5">
        <v>4158.3104999999996</v>
      </c>
      <c r="N1326" t="s">
        <v>85</v>
      </c>
      <c r="O1326" t="s">
        <v>67</v>
      </c>
      <c r="P1326" s="5">
        <v>0</v>
      </c>
      <c r="Q1326" t="s">
        <v>2630</v>
      </c>
      <c r="R1326" t="s">
        <v>2631</v>
      </c>
      <c r="S1326" s="5">
        <v>7.54</v>
      </c>
      <c r="T1326" s="3">
        <v>45753</v>
      </c>
      <c r="U1326" s="3">
        <v>45758</v>
      </c>
      <c r="V1326" t="s">
        <v>70</v>
      </c>
      <c r="W1326">
        <f t="shared" si="102"/>
        <v>3534.5639249999995</v>
      </c>
      <c r="X1326">
        <f t="shared" si="103"/>
        <v>4892.13</v>
      </c>
      <c r="Y1326">
        <f t="shared" si="104"/>
        <v>1357.5660750000006</v>
      </c>
      <c r="Z1326" s="8" t="str">
        <f t="shared" si="101"/>
        <v>High</v>
      </c>
      <c r="AA1326" s="12">
        <f>DATE(YEAR(Table1[[#This Row],[OrderDate]]),MONTH(Table1[[#This Row],[OrderDate]]),1)</f>
        <v>45748</v>
      </c>
    </row>
    <row r="1327" spans="1:27" x14ac:dyDescent="0.3">
      <c r="A1327" s="3">
        <v>45328</v>
      </c>
      <c r="B1327" t="s">
        <v>13</v>
      </c>
      <c r="C1327" t="s">
        <v>30</v>
      </c>
      <c r="D1327" t="str">
        <f>TRIM(Table1[[#This Row],[Product]])</f>
        <v>Desk</v>
      </c>
      <c r="E1327" t="str">
        <f>PROPER(Table1[[#This Row],[Column1]])</f>
        <v>Desk</v>
      </c>
      <c r="F1327" s="8" t="str">
        <f t="shared" si="100"/>
        <v>Furniture</v>
      </c>
      <c r="G1327" s="5">
        <v>17</v>
      </c>
      <c r="H1327">
        <v>141.76</v>
      </c>
      <c r="I1327" t="s">
        <v>81</v>
      </c>
      <c r="J1327" t="s">
        <v>58</v>
      </c>
      <c r="K1327" s="7">
        <v>0.1</v>
      </c>
      <c r="L1327" t="s">
        <v>19</v>
      </c>
      <c r="M1327" s="5">
        <v>2168.9279999999999</v>
      </c>
      <c r="N1327" t="s">
        <v>88</v>
      </c>
      <c r="O1327" t="s">
        <v>71</v>
      </c>
      <c r="P1327" s="5">
        <v>1</v>
      </c>
      <c r="Q1327" t="s">
        <v>2632</v>
      </c>
      <c r="R1327" t="s">
        <v>2633</v>
      </c>
      <c r="S1327" s="5">
        <v>9.98</v>
      </c>
      <c r="T1327" s="3">
        <v>45328</v>
      </c>
      <c r="U1327" s="3">
        <v>45336</v>
      </c>
      <c r="V1327" t="s">
        <v>70</v>
      </c>
      <c r="W1327">
        <f t="shared" si="102"/>
        <v>1952.0352</v>
      </c>
      <c r="X1327">
        <f t="shared" si="103"/>
        <v>2409.92</v>
      </c>
      <c r="Y1327">
        <f t="shared" si="104"/>
        <v>457.88480000000004</v>
      </c>
      <c r="Z1327" s="8" t="str">
        <f t="shared" si="101"/>
        <v>Medium</v>
      </c>
      <c r="AA1327" s="12">
        <f>DATE(YEAR(Table1[[#This Row],[OrderDate]]),MONTH(Table1[[#This Row],[OrderDate]]),1)</f>
        <v>45323</v>
      </c>
    </row>
    <row r="1328" spans="1:27" x14ac:dyDescent="0.3">
      <c r="A1328" s="3">
        <v>45791</v>
      </c>
      <c r="B1328" t="s">
        <v>11</v>
      </c>
      <c r="C1328" t="s">
        <v>31</v>
      </c>
      <c r="D1328" t="str">
        <f>TRIM(Table1[[#This Row],[Product]])</f>
        <v>Laptop</v>
      </c>
      <c r="E1328" t="str">
        <f>PROPER(Table1[[#This Row],[Column1]])</f>
        <v>Laptop</v>
      </c>
      <c r="F1328" s="8" t="str">
        <f t="shared" si="100"/>
        <v>Technology</v>
      </c>
      <c r="G1328" s="5">
        <v>12</v>
      </c>
      <c r="H1328">
        <v>502.7</v>
      </c>
      <c r="I1328" t="s">
        <v>81</v>
      </c>
      <c r="J1328" t="s">
        <v>58</v>
      </c>
      <c r="K1328" s="7">
        <v>0.1</v>
      </c>
      <c r="L1328" t="s">
        <v>18</v>
      </c>
      <c r="M1328" s="5">
        <v>5429.16</v>
      </c>
      <c r="N1328" t="s">
        <v>82</v>
      </c>
      <c r="O1328" t="s">
        <v>60</v>
      </c>
      <c r="P1328" s="5">
        <v>0</v>
      </c>
      <c r="Q1328" t="s">
        <v>2634</v>
      </c>
      <c r="R1328" t="s">
        <v>2635</v>
      </c>
      <c r="S1328" s="5">
        <v>6.49</v>
      </c>
      <c r="T1328" s="3">
        <v>45791</v>
      </c>
      <c r="U1328" s="3">
        <v>45797</v>
      </c>
      <c r="V1328" t="s">
        <v>74</v>
      </c>
      <c r="W1328">
        <f t="shared" si="102"/>
        <v>4886.2439999999997</v>
      </c>
      <c r="X1328">
        <f t="shared" si="103"/>
        <v>6032.4</v>
      </c>
      <c r="Y1328">
        <f t="shared" si="104"/>
        <v>1146.1559999999999</v>
      </c>
      <c r="Z1328" s="8" t="str">
        <f t="shared" si="101"/>
        <v>Medium</v>
      </c>
      <c r="AA1328" s="12">
        <f>DATE(YEAR(Table1[[#This Row],[OrderDate]]),MONTH(Table1[[#This Row],[OrderDate]]),1)</f>
        <v>45778</v>
      </c>
    </row>
    <row r="1329" spans="1:27" x14ac:dyDescent="0.3">
      <c r="A1329" s="3">
        <v>44939</v>
      </c>
      <c r="B1329" t="s">
        <v>9</v>
      </c>
      <c r="C1329" t="s">
        <v>35</v>
      </c>
      <c r="D1329" t="str">
        <f>TRIM(Table1[[#This Row],[Product]])</f>
        <v>Tablet</v>
      </c>
      <c r="E1329" t="str">
        <f>PROPER(Table1[[#This Row],[Column1]])</f>
        <v>Tablet</v>
      </c>
      <c r="F1329" s="8" t="str">
        <f t="shared" si="100"/>
        <v>Technology</v>
      </c>
      <c r="G1329" s="5">
        <v>10</v>
      </c>
      <c r="H1329">
        <v>155.43</v>
      </c>
      <c r="I1329" t="s">
        <v>81</v>
      </c>
      <c r="J1329" t="s">
        <v>58</v>
      </c>
      <c r="K1329" s="7">
        <v>0.05</v>
      </c>
      <c r="L1329" t="s">
        <v>27</v>
      </c>
      <c r="M1329" s="5">
        <v>1476.585</v>
      </c>
      <c r="N1329" t="s">
        <v>66</v>
      </c>
      <c r="O1329" t="s">
        <v>71</v>
      </c>
      <c r="P1329" s="5">
        <v>0</v>
      </c>
      <c r="Q1329" t="s">
        <v>2636</v>
      </c>
      <c r="R1329" t="s">
        <v>2637</v>
      </c>
      <c r="S1329" s="5">
        <v>26.49</v>
      </c>
      <c r="T1329" s="3">
        <v>44939</v>
      </c>
      <c r="U1329" s="3">
        <v>44944</v>
      </c>
      <c r="V1329" t="s">
        <v>63</v>
      </c>
      <c r="W1329">
        <f t="shared" si="102"/>
        <v>1402.75575</v>
      </c>
      <c r="X1329">
        <f t="shared" si="103"/>
        <v>1554.3000000000002</v>
      </c>
      <c r="Y1329">
        <f t="shared" si="104"/>
        <v>151.54425000000015</v>
      </c>
      <c r="Z1329" s="8" t="str">
        <f t="shared" si="101"/>
        <v>Medium</v>
      </c>
      <c r="AA1329" s="12">
        <f>DATE(YEAR(Table1[[#This Row],[OrderDate]]),MONTH(Table1[[#This Row],[OrderDate]]),1)</f>
        <v>44927</v>
      </c>
    </row>
    <row r="1330" spans="1:27" x14ac:dyDescent="0.3">
      <c r="A1330" s="3">
        <v>45341</v>
      </c>
      <c r="B1330" t="s">
        <v>11</v>
      </c>
      <c r="C1330" t="s">
        <v>35</v>
      </c>
      <c r="D1330" t="str">
        <f>TRIM(Table1[[#This Row],[Product]])</f>
        <v>Tablet</v>
      </c>
      <c r="E1330" t="str">
        <f>PROPER(Table1[[#This Row],[Column1]])</f>
        <v>Tablet</v>
      </c>
      <c r="F1330" s="8" t="str">
        <f t="shared" si="100"/>
        <v>Technology</v>
      </c>
      <c r="G1330" s="5">
        <v>18</v>
      </c>
      <c r="H1330">
        <v>203.73</v>
      </c>
      <c r="I1330" t="s">
        <v>57</v>
      </c>
      <c r="J1330" t="s">
        <v>58</v>
      </c>
      <c r="K1330" s="7">
        <v>0</v>
      </c>
      <c r="L1330" t="s">
        <v>21</v>
      </c>
      <c r="M1330" s="5">
        <v>3667.14</v>
      </c>
      <c r="N1330" t="s">
        <v>66</v>
      </c>
      <c r="O1330" t="s">
        <v>67</v>
      </c>
      <c r="P1330" s="5">
        <v>1</v>
      </c>
      <c r="Q1330" t="s">
        <v>2638</v>
      </c>
      <c r="R1330" t="s">
        <v>2639</v>
      </c>
      <c r="S1330" s="5">
        <v>24.98</v>
      </c>
      <c r="T1330" s="3">
        <v>45341</v>
      </c>
      <c r="U1330" s="3">
        <v>45350</v>
      </c>
      <c r="V1330" t="s">
        <v>74</v>
      </c>
      <c r="W1330">
        <f t="shared" si="102"/>
        <v>3667.14</v>
      </c>
      <c r="X1330">
        <f t="shared" si="103"/>
        <v>3667.14</v>
      </c>
      <c r="Y1330">
        <f t="shared" si="104"/>
        <v>0</v>
      </c>
      <c r="Z1330" s="8" t="str">
        <f t="shared" si="101"/>
        <v>No Discount</v>
      </c>
      <c r="AA1330" s="12">
        <f>DATE(YEAR(Table1[[#This Row],[OrderDate]]),MONTH(Table1[[#This Row],[OrderDate]]),1)</f>
        <v>45323</v>
      </c>
    </row>
    <row r="1331" spans="1:27" x14ac:dyDescent="0.3">
      <c r="A1331" s="3">
        <v>45206</v>
      </c>
      <c r="B1331" t="s">
        <v>13</v>
      </c>
      <c r="C1331" t="s">
        <v>33</v>
      </c>
      <c r="D1331" t="str">
        <f>TRIM(Table1[[#This Row],[Product]])</f>
        <v>Phone</v>
      </c>
      <c r="E1331" t="str">
        <f>PROPER(Table1[[#This Row],[Column1]])</f>
        <v>Phone</v>
      </c>
      <c r="F1331" s="8" t="str">
        <f t="shared" si="100"/>
        <v>Technology</v>
      </c>
      <c r="G1331" s="5">
        <v>3</v>
      </c>
      <c r="H1331">
        <v>464.11</v>
      </c>
      <c r="I1331" t="s">
        <v>57</v>
      </c>
      <c r="J1331" t="s">
        <v>58</v>
      </c>
      <c r="K1331" s="7">
        <v>0.15</v>
      </c>
      <c r="L1331" t="s">
        <v>18</v>
      </c>
      <c r="M1331" s="5">
        <v>1183.4804999999999</v>
      </c>
      <c r="N1331" t="s">
        <v>66</v>
      </c>
      <c r="P1331" s="5">
        <v>0</v>
      </c>
      <c r="Q1331" t="s">
        <v>2640</v>
      </c>
      <c r="R1331" t="s">
        <v>2641</v>
      </c>
      <c r="S1331" s="5">
        <v>27.45</v>
      </c>
      <c r="T1331" s="3">
        <v>45206</v>
      </c>
      <c r="U1331" s="3">
        <v>45211</v>
      </c>
      <c r="V1331" t="s">
        <v>70</v>
      </c>
      <c r="W1331">
        <f t="shared" si="102"/>
        <v>1005.9584249999999</v>
      </c>
      <c r="X1331">
        <f t="shared" si="103"/>
        <v>1392.33</v>
      </c>
      <c r="Y1331">
        <f t="shared" si="104"/>
        <v>386.37157500000001</v>
      </c>
      <c r="Z1331" s="8" t="str">
        <f t="shared" si="101"/>
        <v>High</v>
      </c>
      <c r="AA1331" s="12">
        <f>DATE(YEAR(Table1[[#This Row],[OrderDate]]),MONTH(Table1[[#This Row],[OrderDate]]),1)</f>
        <v>45200</v>
      </c>
    </row>
    <row r="1332" spans="1:27" x14ac:dyDescent="0.3">
      <c r="A1332" s="3">
        <v>45552</v>
      </c>
      <c r="B1332" t="s">
        <v>7</v>
      </c>
      <c r="C1332" t="s">
        <v>29</v>
      </c>
      <c r="D1332" t="str">
        <f>TRIM(Table1[[#This Row],[Product]])</f>
        <v>Chair</v>
      </c>
      <c r="E1332" t="str">
        <f>PROPER(Table1[[#This Row],[Column1]])</f>
        <v>Chair</v>
      </c>
      <c r="F1332" s="8" t="str">
        <f t="shared" si="100"/>
        <v>Furniture</v>
      </c>
      <c r="G1332" s="5">
        <v>2</v>
      </c>
      <c r="H1332">
        <v>442.03</v>
      </c>
      <c r="I1332" t="s">
        <v>57</v>
      </c>
      <c r="J1332" t="s">
        <v>65</v>
      </c>
      <c r="K1332" s="7">
        <v>0.15</v>
      </c>
      <c r="L1332" t="s">
        <v>21</v>
      </c>
      <c r="M1332" s="5">
        <v>751.45099999999991</v>
      </c>
      <c r="N1332" t="s">
        <v>85</v>
      </c>
      <c r="O1332" t="s">
        <v>71</v>
      </c>
      <c r="P1332" s="5">
        <v>0</v>
      </c>
      <c r="Q1332" t="s">
        <v>2642</v>
      </c>
      <c r="R1332" t="s">
        <v>2643</v>
      </c>
      <c r="S1332" s="5">
        <v>28.71</v>
      </c>
      <c r="T1332" s="3">
        <v>45552</v>
      </c>
      <c r="U1332" s="3">
        <v>45554</v>
      </c>
      <c r="V1332" t="s">
        <v>77</v>
      </c>
      <c r="W1332">
        <f t="shared" si="102"/>
        <v>638.73334999999986</v>
      </c>
      <c r="X1332">
        <f t="shared" si="103"/>
        <v>884.06</v>
      </c>
      <c r="Y1332">
        <f t="shared" si="104"/>
        <v>245.32665000000009</v>
      </c>
      <c r="Z1332" s="8" t="str">
        <f t="shared" si="101"/>
        <v>High</v>
      </c>
      <c r="AA1332" s="12">
        <f>DATE(YEAR(Table1[[#This Row],[OrderDate]]),MONTH(Table1[[#This Row],[OrderDate]]),1)</f>
        <v>45536</v>
      </c>
    </row>
    <row r="1333" spans="1:27" x14ac:dyDescent="0.3">
      <c r="A1333" s="3">
        <v>45053</v>
      </c>
      <c r="B1333" t="s">
        <v>11</v>
      </c>
      <c r="C1333" t="s">
        <v>33</v>
      </c>
      <c r="D1333" t="str">
        <f>TRIM(Table1[[#This Row],[Product]])</f>
        <v>Phone</v>
      </c>
      <c r="E1333" t="str">
        <f>PROPER(Table1[[#This Row],[Column1]])</f>
        <v>Phone</v>
      </c>
      <c r="F1333" s="8" t="str">
        <f t="shared" si="100"/>
        <v>Technology</v>
      </c>
      <c r="G1333" s="5">
        <v>7</v>
      </c>
      <c r="H1333">
        <v>82.91</v>
      </c>
      <c r="I1333" t="s">
        <v>64</v>
      </c>
      <c r="J1333" t="s">
        <v>65</v>
      </c>
      <c r="K1333" s="7">
        <v>0.05</v>
      </c>
      <c r="L1333" t="s">
        <v>25</v>
      </c>
      <c r="M1333" s="5">
        <v>551.35149999999999</v>
      </c>
      <c r="N1333" t="s">
        <v>85</v>
      </c>
      <c r="O1333" t="s">
        <v>71</v>
      </c>
      <c r="P1333" s="5">
        <v>1</v>
      </c>
      <c r="Q1333" t="s">
        <v>2644</v>
      </c>
      <c r="R1333" t="s">
        <v>2645</v>
      </c>
      <c r="S1333" s="5">
        <v>17.03</v>
      </c>
      <c r="T1333" s="3">
        <v>45053</v>
      </c>
      <c r="U1333" s="3">
        <v>45063</v>
      </c>
      <c r="V1333" t="s">
        <v>74</v>
      </c>
      <c r="W1333">
        <f t="shared" si="102"/>
        <v>523.78392499999995</v>
      </c>
      <c r="X1333">
        <f t="shared" si="103"/>
        <v>580.37</v>
      </c>
      <c r="Y1333">
        <f t="shared" si="104"/>
        <v>56.586075000000051</v>
      </c>
      <c r="Z1333" s="8" t="str">
        <f t="shared" si="101"/>
        <v>Medium</v>
      </c>
      <c r="AA1333" s="12">
        <f>DATE(YEAR(Table1[[#This Row],[OrderDate]]),MONTH(Table1[[#This Row],[OrderDate]]),1)</f>
        <v>45047</v>
      </c>
    </row>
    <row r="1334" spans="1:27" x14ac:dyDescent="0.3">
      <c r="A1334" s="3">
        <v>45272</v>
      </c>
      <c r="B1334" t="s">
        <v>11</v>
      </c>
      <c r="C1334" t="s">
        <v>33</v>
      </c>
      <c r="D1334" t="str">
        <f>TRIM(Table1[[#This Row],[Product]])</f>
        <v>Phone</v>
      </c>
      <c r="E1334" t="str">
        <f>PROPER(Table1[[#This Row],[Column1]])</f>
        <v>Phone</v>
      </c>
      <c r="F1334" s="8" t="str">
        <f t="shared" si="100"/>
        <v>Technology</v>
      </c>
      <c r="G1334" s="5">
        <v>13</v>
      </c>
      <c r="H1334">
        <v>468.16</v>
      </c>
      <c r="I1334" t="s">
        <v>57</v>
      </c>
      <c r="J1334" t="s">
        <v>65</v>
      </c>
      <c r="K1334" s="7">
        <v>0.15</v>
      </c>
      <c r="L1334" t="s">
        <v>18</v>
      </c>
      <c r="M1334" s="5">
        <v>5173.1679999999997</v>
      </c>
      <c r="N1334" t="s">
        <v>88</v>
      </c>
      <c r="O1334" t="s">
        <v>67</v>
      </c>
      <c r="P1334" s="5">
        <v>0</v>
      </c>
      <c r="Q1334" t="s">
        <v>2646</v>
      </c>
      <c r="R1334" t="s">
        <v>396</v>
      </c>
      <c r="S1334" s="5">
        <v>29.11</v>
      </c>
      <c r="T1334" s="3">
        <v>45272</v>
      </c>
      <c r="U1334" s="3">
        <v>45281</v>
      </c>
      <c r="V1334" t="s">
        <v>74</v>
      </c>
      <c r="W1334">
        <f t="shared" si="102"/>
        <v>4397.1927999999998</v>
      </c>
      <c r="X1334">
        <f t="shared" si="103"/>
        <v>6086.08</v>
      </c>
      <c r="Y1334">
        <f t="shared" si="104"/>
        <v>1688.8872000000001</v>
      </c>
      <c r="Z1334" s="8" t="str">
        <f t="shared" si="101"/>
        <v>High</v>
      </c>
      <c r="AA1334" s="12">
        <f>DATE(YEAR(Table1[[#This Row],[OrderDate]]),MONTH(Table1[[#This Row],[OrderDate]]),1)</f>
        <v>45261</v>
      </c>
    </row>
    <row r="1335" spans="1:27" x14ac:dyDescent="0.3">
      <c r="A1335" s="3">
        <v>45727</v>
      </c>
      <c r="B1335" t="s">
        <v>7</v>
      </c>
      <c r="C1335" t="s">
        <v>35</v>
      </c>
      <c r="D1335" t="str">
        <f>TRIM(Table1[[#This Row],[Product]])</f>
        <v>Tablet</v>
      </c>
      <c r="E1335" t="str">
        <f>PROPER(Table1[[#This Row],[Column1]])</f>
        <v>Tablet</v>
      </c>
      <c r="F1335" s="8" t="str">
        <f t="shared" si="100"/>
        <v>Technology</v>
      </c>
      <c r="G1335" s="5">
        <v>3</v>
      </c>
      <c r="H1335">
        <v>11.32</v>
      </c>
      <c r="I1335" t="s">
        <v>78</v>
      </c>
      <c r="J1335" t="s">
        <v>65</v>
      </c>
      <c r="K1335" s="7">
        <v>0.05</v>
      </c>
      <c r="L1335" t="s">
        <v>25</v>
      </c>
      <c r="M1335" s="5">
        <v>32.262</v>
      </c>
      <c r="N1335" t="s">
        <v>59</v>
      </c>
      <c r="O1335" t="s">
        <v>71</v>
      </c>
      <c r="P1335" s="5">
        <v>0</v>
      </c>
      <c r="Q1335" t="s">
        <v>2647</v>
      </c>
      <c r="R1335" t="s">
        <v>2147</v>
      </c>
      <c r="S1335" s="5">
        <v>16.39</v>
      </c>
      <c r="T1335" s="3">
        <v>45727</v>
      </c>
      <c r="U1335" s="3">
        <v>45730</v>
      </c>
      <c r="V1335" t="s">
        <v>77</v>
      </c>
      <c r="W1335">
        <f t="shared" si="102"/>
        <v>30.648899999999998</v>
      </c>
      <c r="X1335">
        <f t="shared" si="103"/>
        <v>33.96</v>
      </c>
      <c r="Y1335">
        <f t="shared" si="104"/>
        <v>3.3111000000000033</v>
      </c>
      <c r="Z1335" s="8" t="str">
        <f t="shared" si="101"/>
        <v>Medium</v>
      </c>
      <c r="AA1335" s="12">
        <f>DATE(YEAR(Table1[[#This Row],[OrderDate]]),MONTH(Table1[[#This Row],[OrderDate]]),1)</f>
        <v>45717</v>
      </c>
    </row>
    <row r="1336" spans="1:27" x14ac:dyDescent="0.3">
      <c r="A1336" s="3">
        <v>45380</v>
      </c>
      <c r="B1336" t="s">
        <v>9</v>
      </c>
      <c r="C1336" t="s">
        <v>29</v>
      </c>
      <c r="D1336" t="str">
        <f>TRIM(Table1[[#This Row],[Product]])</f>
        <v>Chair</v>
      </c>
      <c r="E1336" t="str">
        <f>PROPER(Table1[[#This Row],[Column1]])</f>
        <v>Chair</v>
      </c>
      <c r="F1336" s="8" t="str">
        <f t="shared" si="100"/>
        <v>Furniture</v>
      </c>
      <c r="G1336" s="5">
        <v>1</v>
      </c>
      <c r="H1336">
        <v>378.36</v>
      </c>
      <c r="I1336" t="s">
        <v>64</v>
      </c>
      <c r="J1336" t="s">
        <v>65</v>
      </c>
      <c r="K1336" s="7">
        <v>0.05</v>
      </c>
      <c r="L1336" t="s">
        <v>25</v>
      </c>
      <c r="M1336" s="5">
        <v>359.44200000000001</v>
      </c>
      <c r="N1336" t="s">
        <v>88</v>
      </c>
      <c r="P1336" s="5">
        <v>0</v>
      </c>
      <c r="Q1336" t="s">
        <v>2648</v>
      </c>
      <c r="R1336" t="s">
        <v>2629</v>
      </c>
      <c r="S1336" s="5">
        <v>7.59</v>
      </c>
      <c r="T1336" s="3">
        <v>45380</v>
      </c>
      <c r="U1336" s="3">
        <v>45389</v>
      </c>
      <c r="V1336" t="s">
        <v>63</v>
      </c>
      <c r="W1336">
        <f t="shared" si="102"/>
        <v>341.4699</v>
      </c>
      <c r="X1336">
        <f t="shared" si="103"/>
        <v>378.36</v>
      </c>
      <c r="Y1336">
        <f t="shared" si="104"/>
        <v>36.890100000000018</v>
      </c>
      <c r="Z1336" s="8" t="str">
        <f t="shared" si="101"/>
        <v>Medium</v>
      </c>
      <c r="AA1336" s="12">
        <f>DATE(YEAR(Table1[[#This Row],[OrderDate]]),MONTH(Table1[[#This Row],[OrderDate]]),1)</f>
        <v>45352</v>
      </c>
    </row>
    <row r="1337" spans="1:27" x14ac:dyDescent="0.3">
      <c r="A1337" s="3">
        <v>45501</v>
      </c>
      <c r="B1337" t="s">
        <v>16</v>
      </c>
      <c r="C1337" t="s">
        <v>35</v>
      </c>
      <c r="D1337" t="str">
        <f>TRIM(Table1[[#This Row],[Product]])</f>
        <v>Tablet</v>
      </c>
      <c r="E1337" t="str">
        <f>PROPER(Table1[[#This Row],[Column1]])</f>
        <v>Tablet</v>
      </c>
      <c r="F1337" s="8" t="str">
        <f t="shared" si="100"/>
        <v>Technology</v>
      </c>
      <c r="G1337" s="5">
        <v>6</v>
      </c>
      <c r="H1337">
        <v>61.06</v>
      </c>
      <c r="I1337" t="s">
        <v>81</v>
      </c>
      <c r="J1337" t="s">
        <v>58</v>
      </c>
      <c r="K1337" s="7">
        <v>0</v>
      </c>
      <c r="L1337" t="s">
        <v>19</v>
      </c>
      <c r="M1337" s="5">
        <v>366.36</v>
      </c>
      <c r="N1337" t="s">
        <v>85</v>
      </c>
      <c r="O1337" t="s">
        <v>67</v>
      </c>
      <c r="P1337" s="5">
        <v>1</v>
      </c>
      <c r="Q1337" t="s">
        <v>2649</v>
      </c>
      <c r="R1337" t="s">
        <v>2650</v>
      </c>
      <c r="S1337" s="5">
        <v>49.09</v>
      </c>
      <c r="T1337" s="3">
        <v>45501</v>
      </c>
      <c r="U1337" s="3">
        <v>45509</v>
      </c>
      <c r="V1337" t="s">
        <v>95</v>
      </c>
      <c r="W1337">
        <f t="shared" si="102"/>
        <v>366.36</v>
      </c>
      <c r="X1337">
        <f t="shared" si="103"/>
        <v>366.36</v>
      </c>
      <c r="Y1337">
        <f t="shared" si="104"/>
        <v>0</v>
      </c>
      <c r="Z1337" s="8" t="str">
        <f t="shared" si="101"/>
        <v>No Discount</v>
      </c>
      <c r="AA1337" s="12">
        <f>DATE(YEAR(Table1[[#This Row],[OrderDate]]),MONTH(Table1[[#This Row],[OrderDate]]),1)</f>
        <v>45474</v>
      </c>
    </row>
    <row r="1338" spans="1:27" x14ac:dyDescent="0.3">
      <c r="A1338" s="3">
        <v>45484</v>
      </c>
      <c r="B1338" t="s">
        <v>13</v>
      </c>
      <c r="C1338" t="s">
        <v>35</v>
      </c>
      <c r="D1338" t="str">
        <f>TRIM(Table1[[#This Row],[Product]])</f>
        <v>Tablet</v>
      </c>
      <c r="E1338" t="str">
        <f>PROPER(Table1[[#This Row],[Column1]])</f>
        <v>Tablet</v>
      </c>
      <c r="F1338" s="8" t="str">
        <f t="shared" si="100"/>
        <v>Technology</v>
      </c>
      <c r="G1338" s="5">
        <v>14</v>
      </c>
      <c r="H1338">
        <v>98.06</v>
      </c>
      <c r="I1338" t="s">
        <v>64</v>
      </c>
      <c r="J1338" t="s">
        <v>58</v>
      </c>
      <c r="K1338" s="7">
        <v>0.1</v>
      </c>
      <c r="L1338" t="s">
        <v>18</v>
      </c>
      <c r="M1338" s="5">
        <v>1235.556</v>
      </c>
      <c r="N1338" t="s">
        <v>85</v>
      </c>
      <c r="O1338" t="s">
        <v>67</v>
      </c>
      <c r="P1338" s="5">
        <v>1</v>
      </c>
      <c r="Q1338" t="s">
        <v>2651</v>
      </c>
      <c r="R1338" t="s">
        <v>2652</v>
      </c>
      <c r="S1338" s="5">
        <v>10.34</v>
      </c>
      <c r="T1338" s="3">
        <v>45484</v>
      </c>
      <c r="U1338" s="3">
        <v>45494</v>
      </c>
      <c r="V1338" t="s">
        <v>70</v>
      </c>
      <c r="W1338">
        <f t="shared" si="102"/>
        <v>1112.0004000000001</v>
      </c>
      <c r="X1338">
        <f t="shared" si="103"/>
        <v>1372.8400000000001</v>
      </c>
      <c r="Y1338">
        <f t="shared" si="104"/>
        <v>260.83960000000002</v>
      </c>
      <c r="Z1338" s="8" t="str">
        <f t="shared" si="101"/>
        <v>Medium</v>
      </c>
      <c r="AA1338" s="12">
        <f>DATE(YEAR(Table1[[#This Row],[OrderDate]]),MONTH(Table1[[#This Row],[OrderDate]]),1)</f>
        <v>45474</v>
      </c>
    </row>
    <row r="1339" spans="1:27" x14ac:dyDescent="0.3">
      <c r="A1339" s="3">
        <v>45478</v>
      </c>
      <c r="B1339" t="s">
        <v>16</v>
      </c>
      <c r="C1339" t="s">
        <v>31</v>
      </c>
      <c r="D1339" t="str">
        <f>TRIM(Table1[[#This Row],[Product]])</f>
        <v>Laptop</v>
      </c>
      <c r="E1339" t="str">
        <f>PROPER(Table1[[#This Row],[Column1]])</f>
        <v>Laptop</v>
      </c>
      <c r="F1339" s="8" t="str">
        <f t="shared" si="100"/>
        <v>Technology</v>
      </c>
      <c r="G1339" s="5">
        <v>16</v>
      </c>
      <c r="H1339">
        <v>123.86</v>
      </c>
      <c r="I1339" t="s">
        <v>64</v>
      </c>
      <c r="J1339" t="s">
        <v>58</v>
      </c>
      <c r="K1339" s="7">
        <v>0.15</v>
      </c>
      <c r="L1339" t="s">
        <v>18</v>
      </c>
      <c r="M1339" s="5">
        <v>1684.4960000000001</v>
      </c>
      <c r="N1339" t="s">
        <v>66</v>
      </c>
      <c r="P1339" s="5">
        <v>1</v>
      </c>
      <c r="Q1339" t="s">
        <v>2653</v>
      </c>
      <c r="R1339" t="s">
        <v>2654</v>
      </c>
      <c r="S1339" s="5">
        <v>18.02</v>
      </c>
      <c r="T1339" s="3">
        <v>45478</v>
      </c>
      <c r="U1339" s="3">
        <v>45487</v>
      </c>
      <c r="V1339" t="s">
        <v>95</v>
      </c>
      <c r="W1339">
        <f t="shared" si="102"/>
        <v>1431.8216</v>
      </c>
      <c r="X1339">
        <f t="shared" si="103"/>
        <v>1981.76</v>
      </c>
      <c r="Y1339">
        <f t="shared" si="104"/>
        <v>549.9384</v>
      </c>
      <c r="Z1339" s="8" t="str">
        <f t="shared" si="101"/>
        <v>High</v>
      </c>
      <c r="AA1339" s="12">
        <f>DATE(YEAR(Table1[[#This Row],[OrderDate]]),MONTH(Table1[[#This Row],[OrderDate]]),1)</f>
        <v>45474</v>
      </c>
    </row>
    <row r="1340" spans="1:27" x14ac:dyDescent="0.3">
      <c r="A1340" s="3">
        <v>45370</v>
      </c>
      <c r="B1340" t="s">
        <v>9</v>
      </c>
      <c r="C1340" t="s">
        <v>31</v>
      </c>
      <c r="D1340" t="str">
        <f>TRIM(Table1[[#This Row],[Product]])</f>
        <v>Laptop</v>
      </c>
      <c r="E1340" t="str">
        <f>PROPER(Table1[[#This Row],[Column1]])</f>
        <v>Laptop</v>
      </c>
      <c r="F1340" s="8" t="str">
        <f t="shared" si="100"/>
        <v>Technology</v>
      </c>
      <c r="G1340" s="5">
        <v>16</v>
      </c>
      <c r="H1340">
        <v>90.3</v>
      </c>
      <c r="I1340" t="s">
        <v>78</v>
      </c>
      <c r="J1340" t="s">
        <v>58</v>
      </c>
      <c r="K1340" s="7">
        <v>0.05</v>
      </c>
      <c r="L1340" t="s">
        <v>23</v>
      </c>
      <c r="M1340" s="5">
        <v>1372.56</v>
      </c>
      <c r="N1340" t="s">
        <v>59</v>
      </c>
      <c r="O1340" t="s">
        <v>71</v>
      </c>
      <c r="P1340" s="5">
        <v>0</v>
      </c>
      <c r="Q1340" t="s">
        <v>2655</v>
      </c>
      <c r="R1340" t="s">
        <v>2656</v>
      </c>
      <c r="S1340" s="5">
        <v>25.25</v>
      </c>
      <c r="T1340" s="3">
        <v>45370</v>
      </c>
      <c r="U1340" s="3">
        <v>45375</v>
      </c>
      <c r="V1340" t="s">
        <v>63</v>
      </c>
      <c r="W1340">
        <f t="shared" si="102"/>
        <v>1303.9319999999998</v>
      </c>
      <c r="X1340">
        <f t="shared" si="103"/>
        <v>1444.8</v>
      </c>
      <c r="Y1340">
        <f t="shared" si="104"/>
        <v>140.86800000000017</v>
      </c>
      <c r="Z1340" s="8" t="str">
        <f t="shared" si="101"/>
        <v>Medium</v>
      </c>
      <c r="AA1340" s="12">
        <f>DATE(YEAR(Table1[[#This Row],[OrderDate]]),MONTH(Table1[[#This Row],[OrderDate]]),1)</f>
        <v>45352</v>
      </c>
    </row>
    <row r="1341" spans="1:27" x14ac:dyDescent="0.3">
      <c r="A1341" s="3">
        <v>45285</v>
      </c>
      <c r="B1341" t="s">
        <v>7</v>
      </c>
      <c r="C1341" t="s">
        <v>35</v>
      </c>
      <c r="D1341" t="str">
        <f>TRIM(Table1[[#This Row],[Product]])</f>
        <v>Tablet</v>
      </c>
      <c r="E1341" t="str">
        <f>PROPER(Table1[[#This Row],[Column1]])</f>
        <v>Tablet</v>
      </c>
      <c r="F1341" s="8" t="str">
        <f t="shared" si="100"/>
        <v>Technology</v>
      </c>
      <c r="G1341" s="5">
        <v>18</v>
      </c>
      <c r="H1341">
        <v>470.91</v>
      </c>
      <c r="I1341" t="s">
        <v>78</v>
      </c>
      <c r="J1341" t="s">
        <v>58</v>
      </c>
      <c r="K1341" s="7">
        <v>0.1</v>
      </c>
      <c r="L1341" t="s">
        <v>25</v>
      </c>
      <c r="M1341" s="5">
        <v>7628.7420000000011</v>
      </c>
      <c r="N1341" t="s">
        <v>66</v>
      </c>
      <c r="O1341" t="s">
        <v>60</v>
      </c>
      <c r="P1341" s="5">
        <v>0</v>
      </c>
      <c r="Q1341" t="s">
        <v>2657</v>
      </c>
      <c r="R1341" t="s">
        <v>2658</v>
      </c>
      <c r="S1341" s="5">
        <v>14.87</v>
      </c>
      <c r="T1341" s="3">
        <v>45285</v>
      </c>
      <c r="U1341" s="3">
        <v>45289</v>
      </c>
      <c r="V1341" t="s">
        <v>77</v>
      </c>
      <c r="W1341">
        <f t="shared" si="102"/>
        <v>6865.8678000000009</v>
      </c>
      <c r="X1341">
        <f t="shared" si="103"/>
        <v>8476.380000000001</v>
      </c>
      <c r="Y1341">
        <f t="shared" si="104"/>
        <v>1610.5122000000001</v>
      </c>
      <c r="Z1341" s="8" t="str">
        <f t="shared" si="101"/>
        <v>Medium</v>
      </c>
      <c r="AA1341" s="12">
        <f>DATE(YEAR(Table1[[#This Row],[OrderDate]]),MONTH(Table1[[#This Row],[OrderDate]]),1)</f>
        <v>45261</v>
      </c>
    </row>
    <row r="1342" spans="1:27" x14ac:dyDescent="0.3">
      <c r="A1342" s="3">
        <v>45629</v>
      </c>
      <c r="B1342" t="s">
        <v>13</v>
      </c>
      <c r="C1342" t="s">
        <v>32</v>
      </c>
      <c r="D1342" t="str">
        <f>TRIM(Table1[[#This Row],[Product]])</f>
        <v>Monitor</v>
      </c>
      <c r="E1342" t="str">
        <f>PROPER(Table1[[#This Row],[Column1]])</f>
        <v>Monitor</v>
      </c>
      <c r="F1342" s="8" t="str">
        <f t="shared" si="100"/>
        <v>Technology</v>
      </c>
      <c r="G1342" s="5">
        <v>12</v>
      </c>
      <c r="H1342">
        <v>383.45</v>
      </c>
      <c r="I1342" t="s">
        <v>78</v>
      </c>
      <c r="J1342" t="s">
        <v>65</v>
      </c>
      <c r="K1342" s="7">
        <v>0</v>
      </c>
      <c r="L1342" t="s">
        <v>19</v>
      </c>
      <c r="M1342" s="5">
        <v>4601.3999999999996</v>
      </c>
      <c r="N1342" t="s">
        <v>85</v>
      </c>
      <c r="O1342" t="s">
        <v>60</v>
      </c>
      <c r="P1342" s="5">
        <v>0</v>
      </c>
      <c r="Q1342" t="s">
        <v>2659</v>
      </c>
      <c r="R1342" t="s">
        <v>2660</v>
      </c>
      <c r="S1342" s="5">
        <v>11.62</v>
      </c>
      <c r="T1342" s="3">
        <v>45629</v>
      </c>
      <c r="U1342" s="3">
        <v>45631</v>
      </c>
      <c r="V1342" t="s">
        <v>70</v>
      </c>
      <c r="W1342">
        <f t="shared" si="102"/>
        <v>4601.3999999999996</v>
      </c>
      <c r="X1342">
        <f t="shared" si="103"/>
        <v>4601.3999999999996</v>
      </c>
      <c r="Y1342">
        <f t="shared" si="104"/>
        <v>0</v>
      </c>
      <c r="Z1342" s="8" t="str">
        <f t="shared" si="101"/>
        <v>No Discount</v>
      </c>
      <c r="AA1342" s="12">
        <f>DATE(YEAR(Table1[[#This Row],[OrderDate]]),MONTH(Table1[[#This Row],[OrderDate]]),1)</f>
        <v>45627</v>
      </c>
    </row>
    <row r="1343" spans="1:27" x14ac:dyDescent="0.3">
      <c r="A1343" s="3">
        <v>45177</v>
      </c>
      <c r="B1343" t="s">
        <v>9</v>
      </c>
      <c r="C1343" t="s">
        <v>35</v>
      </c>
      <c r="D1343" t="str">
        <f>TRIM(Table1[[#This Row],[Product]])</f>
        <v>Tablet</v>
      </c>
      <c r="E1343" t="str">
        <f>PROPER(Table1[[#This Row],[Column1]])</f>
        <v>Tablet</v>
      </c>
      <c r="F1343" s="8" t="str">
        <f t="shared" si="100"/>
        <v>Technology</v>
      </c>
      <c r="G1343" s="5">
        <v>20</v>
      </c>
      <c r="H1343">
        <v>293.94</v>
      </c>
      <c r="I1343" t="s">
        <v>57</v>
      </c>
      <c r="J1343" t="s">
        <v>65</v>
      </c>
      <c r="K1343" s="7">
        <v>0.15</v>
      </c>
      <c r="L1343" t="s">
        <v>18</v>
      </c>
      <c r="M1343" s="5">
        <v>4996.9799999999996</v>
      </c>
      <c r="N1343" t="s">
        <v>82</v>
      </c>
      <c r="O1343" t="s">
        <v>67</v>
      </c>
      <c r="P1343" s="5">
        <v>0</v>
      </c>
      <c r="Q1343" t="s">
        <v>2661</v>
      </c>
      <c r="R1343" t="s">
        <v>2662</v>
      </c>
      <c r="S1343" s="5">
        <v>9.2899999999999991</v>
      </c>
      <c r="T1343" s="3">
        <v>45177</v>
      </c>
      <c r="U1343" s="3">
        <v>45184</v>
      </c>
      <c r="V1343" t="s">
        <v>63</v>
      </c>
      <c r="W1343">
        <f t="shared" si="102"/>
        <v>4247.4329999999991</v>
      </c>
      <c r="X1343">
        <f t="shared" si="103"/>
        <v>5878.8</v>
      </c>
      <c r="Y1343">
        <f t="shared" si="104"/>
        <v>1631.3670000000011</v>
      </c>
      <c r="Z1343" s="8" t="str">
        <f t="shared" si="101"/>
        <v>High</v>
      </c>
      <c r="AA1343" s="12">
        <f>DATE(YEAR(Table1[[#This Row],[OrderDate]]),MONTH(Table1[[#This Row],[OrderDate]]),1)</f>
        <v>45170</v>
      </c>
    </row>
    <row r="1344" spans="1:27" x14ac:dyDescent="0.3">
      <c r="A1344" s="3">
        <v>45296</v>
      </c>
      <c r="B1344" t="s">
        <v>9</v>
      </c>
      <c r="C1344" t="s">
        <v>30</v>
      </c>
      <c r="D1344" t="str">
        <f>TRIM(Table1[[#This Row],[Product]])</f>
        <v>Desk</v>
      </c>
      <c r="E1344" t="str">
        <f>PROPER(Table1[[#This Row],[Column1]])</f>
        <v>Desk</v>
      </c>
      <c r="F1344" s="8" t="str">
        <f t="shared" si="100"/>
        <v>Furniture</v>
      </c>
      <c r="G1344" s="5">
        <v>2</v>
      </c>
      <c r="H1344">
        <v>454.01</v>
      </c>
      <c r="I1344" t="s">
        <v>57</v>
      </c>
      <c r="J1344" t="s">
        <v>58</v>
      </c>
      <c r="K1344" s="7">
        <v>0</v>
      </c>
      <c r="L1344" t="s">
        <v>23</v>
      </c>
      <c r="M1344" s="5">
        <v>908.02</v>
      </c>
      <c r="N1344" t="s">
        <v>59</v>
      </c>
      <c r="O1344" t="s">
        <v>71</v>
      </c>
      <c r="P1344" s="5">
        <v>0</v>
      </c>
      <c r="Q1344" t="s">
        <v>2663</v>
      </c>
      <c r="R1344" t="s">
        <v>2664</v>
      </c>
      <c r="S1344" s="5">
        <v>9.7799999999999994</v>
      </c>
      <c r="T1344" s="3">
        <v>45296</v>
      </c>
      <c r="U1344" s="3">
        <v>45298</v>
      </c>
      <c r="V1344" t="s">
        <v>63</v>
      </c>
      <c r="W1344">
        <f t="shared" si="102"/>
        <v>908.02</v>
      </c>
      <c r="X1344">
        <f t="shared" si="103"/>
        <v>908.02</v>
      </c>
      <c r="Y1344">
        <f t="shared" si="104"/>
        <v>0</v>
      </c>
      <c r="Z1344" s="8" t="str">
        <f t="shared" si="101"/>
        <v>No Discount</v>
      </c>
      <c r="AA1344" s="12">
        <f>DATE(YEAR(Table1[[#This Row],[OrderDate]]),MONTH(Table1[[#This Row],[OrderDate]]),1)</f>
        <v>45292</v>
      </c>
    </row>
    <row r="1345" spans="1:27" x14ac:dyDescent="0.3">
      <c r="A1345" s="3">
        <v>45141</v>
      </c>
      <c r="B1345" t="s">
        <v>13</v>
      </c>
      <c r="C1345" t="s">
        <v>29</v>
      </c>
      <c r="D1345" t="str">
        <f>TRIM(Table1[[#This Row],[Product]])</f>
        <v>Chair</v>
      </c>
      <c r="E1345" t="str">
        <f>PROPER(Table1[[#This Row],[Column1]])</f>
        <v>Chair</v>
      </c>
      <c r="F1345" s="8" t="str">
        <f t="shared" si="100"/>
        <v>Furniture</v>
      </c>
      <c r="G1345" s="5">
        <v>5</v>
      </c>
      <c r="H1345">
        <v>163.55000000000001</v>
      </c>
      <c r="I1345" t="s">
        <v>81</v>
      </c>
      <c r="J1345" t="s">
        <v>65</v>
      </c>
      <c r="K1345" s="7">
        <v>0.05</v>
      </c>
      <c r="L1345" t="s">
        <v>27</v>
      </c>
      <c r="M1345" s="5">
        <v>776.86249999999995</v>
      </c>
      <c r="N1345" t="s">
        <v>88</v>
      </c>
      <c r="P1345" s="5">
        <v>0</v>
      </c>
      <c r="Q1345" t="s">
        <v>2665</v>
      </c>
      <c r="R1345" t="s">
        <v>2666</v>
      </c>
      <c r="S1345" s="5">
        <v>28.9</v>
      </c>
      <c r="T1345" s="3">
        <v>45141</v>
      </c>
      <c r="U1345" s="3">
        <v>45148</v>
      </c>
      <c r="V1345" t="s">
        <v>70</v>
      </c>
      <c r="W1345">
        <f t="shared" si="102"/>
        <v>738.01937499999997</v>
      </c>
      <c r="X1345">
        <f t="shared" si="103"/>
        <v>817.75</v>
      </c>
      <c r="Y1345">
        <f t="shared" si="104"/>
        <v>79.730625000000032</v>
      </c>
      <c r="Z1345" s="8" t="str">
        <f t="shared" si="101"/>
        <v>Medium</v>
      </c>
      <c r="AA1345" s="12">
        <f>DATE(YEAR(Table1[[#This Row],[OrderDate]]),MONTH(Table1[[#This Row],[OrderDate]]),1)</f>
        <v>45139</v>
      </c>
    </row>
    <row r="1346" spans="1:27" x14ac:dyDescent="0.3">
      <c r="A1346" s="3">
        <v>45699</v>
      </c>
      <c r="B1346" t="s">
        <v>11</v>
      </c>
      <c r="C1346" t="s">
        <v>32</v>
      </c>
      <c r="D1346" t="str">
        <f>TRIM(Table1[[#This Row],[Product]])</f>
        <v>Monitor</v>
      </c>
      <c r="E1346" t="str">
        <f>PROPER(Table1[[#This Row],[Column1]])</f>
        <v>Monitor</v>
      </c>
      <c r="F1346" s="8" t="str">
        <f t="shared" ref="F1346:F1409" si="105">IF(OR(E1346="Chair",E1346="Desk"),"Furniture",IF(OR(E1346="Laptop",E1346="Monitor",E1346="Phone",E1346="Tablet"),"Technology",IF(E1346="Printer","Office Supplies","Other")))</f>
        <v>Technology</v>
      </c>
      <c r="G1346" s="5">
        <v>12</v>
      </c>
      <c r="H1346">
        <v>141.61000000000001</v>
      </c>
      <c r="I1346" t="s">
        <v>57</v>
      </c>
      <c r="J1346" t="s">
        <v>58</v>
      </c>
      <c r="K1346" s="7">
        <v>0</v>
      </c>
      <c r="L1346" t="s">
        <v>27</v>
      </c>
      <c r="M1346" s="5">
        <v>1699.32</v>
      </c>
      <c r="N1346" t="s">
        <v>82</v>
      </c>
      <c r="O1346" t="s">
        <v>71</v>
      </c>
      <c r="P1346" s="5">
        <v>0</v>
      </c>
      <c r="Q1346" t="s">
        <v>2667</v>
      </c>
      <c r="R1346" t="s">
        <v>2668</v>
      </c>
      <c r="S1346" s="5">
        <v>11.72</v>
      </c>
      <c r="T1346" s="3">
        <v>45699</v>
      </c>
      <c r="U1346" s="3">
        <v>45709</v>
      </c>
      <c r="V1346" t="s">
        <v>74</v>
      </c>
      <c r="W1346">
        <f t="shared" si="102"/>
        <v>1699.32</v>
      </c>
      <c r="X1346">
        <f t="shared" si="103"/>
        <v>1699.3200000000002</v>
      </c>
      <c r="Y1346">
        <f t="shared" si="104"/>
        <v>0</v>
      </c>
      <c r="Z1346" s="8" t="str">
        <f t="shared" ref="Z1346:Z1409" si="106">IF(K1346=0,"No Discount",IF(K1346&lt;5%,"Low",IF(K1346&lt;15%,"Medium","High")))</f>
        <v>No Discount</v>
      </c>
      <c r="AA1346" s="12">
        <f>DATE(YEAR(Table1[[#This Row],[OrderDate]]),MONTH(Table1[[#This Row],[OrderDate]]),1)</f>
        <v>45689</v>
      </c>
    </row>
    <row r="1347" spans="1:27" x14ac:dyDescent="0.3">
      <c r="A1347" s="3">
        <v>45094</v>
      </c>
      <c r="B1347" t="s">
        <v>13</v>
      </c>
      <c r="C1347" t="s">
        <v>29</v>
      </c>
      <c r="D1347" t="str">
        <f>TRIM(Table1[[#This Row],[Product]])</f>
        <v>Chair</v>
      </c>
      <c r="E1347" t="str">
        <f>PROPER(Table1[[#This Row],[Column1]])</f>
        <v>Chair</v>
      </c>
      <c r="F1347" s="8" t="str">
        <f t="shared" si="105"/>
        <v>Furniture</v>
      </c>
      <c r="G1347" s="5">
        <v>6</v>
      </c>
      <c r="H1347">
        <v>332.18</v>
      </c>
      <c r="I1347" t="s">
        <v>57</v>
      </c>
      <c r="J1347" t="s">
        <v>58</v>
      </c>
      <c r="K1347" s="7">
        <v>0.1</v>
      </c>
      <c r="L1347" t="s">
        <v>19</v>
      </c>
      <c r="M1347" s="5">
        <v>1793.7719999999999</v>
      </c>
      <c r="N1347" t="s">
        <v>59</v>
      </c>
      <c r="O1347" t="s">
        <v>71</v>
      </c>
      <c r="P1347" s="5">
        <v>0</v>
      </c>
      <c r="Q1347" t="s">
        <v>2669</v>
      </c>
      <c r="R1347" t="s">
        <v>2670</v>
      </c>
      <c r="S1347" s="5">
        <v>21.95</v>
      </c>
      <c r="T1347" s="3">
        <v>45094</v>
      </c>
      <c r="U1347" s="3">
        <v>45098</v>
      </c>
      <c r="V1347" t="s">
        <v>70</v>
      </c>
      <c r="W1347">
        <f t="shared" ref="W1347:W1410" si="107">M1347*(1-K1347)</f>
        <v>1614.3948</v>
      </c>
      <c r="X1347">
        <f t="shared" ref="X1347:X1410" si="108">G1347*H1347</f>
        <v>1993.08</v>
      </c>
      <c r="Y1347">
        <f t="shared" ref="Y1347:Y1410" si="109">X1347-W1347</f>
        <v>378.6851999999999</v>
      </c>
      <c r="Z1347" s="8" t="str">
        <f t="shared" si="106"/>
        <v>Medium</v>
      </c>
      <c r="AA1347" s="12">
        <f>DATE(YEAR(Table1[[#This Row],[OrderDate]]),MONTH(Table1[[#This Row],[OrderDate]]),1)</f>
        <v>45078</v>
      </c>
    </row>
    <row r="1348" spans="1:27" x14ac:dyDescent="0.3">
      <c r="A1348" s="3">
        <v>45327</v>
      </c>
      <c r="B1348" t="s">
        <v>7</v>
      </c>
      <c r="C1348" t="s">
        <v>32</v>
      </c>
      <c r="D1348" t="str">
        <f>TRIM(Table1[[#This Row],[Product]])</f>
        <v>Monitor</v>
      </c>
      <c r="E1348" t="str">
        <f>PROPER(Table1[[#This Row],[Column1]])</f>
        <v>Monitor</v>
      </c>
      <c r="F1348" s="8" t="str">
        <f t="shared" si="105"/>
        <v>Technology</v>
      </c>
      <c r="G1348" s="5">
        <v>14</v>
      </c>
      <c r="H1348">
        <v>463.96</v>
      </c>
      <c r="I1348" t="s">
        <v>81</v>
      </c>
      <c r="J1348" t="s">
        <v>65</v>
      </c>
      <c r="K1348" s="7">
        <v>0.15</v>
      </c>
      <c r="L1348" t="s">
        <v>23</v>
      </c>
      <c r="M1348" s="5">
        <v>5521.1239999999998</v>
      </c>
      <c r="N1348" t="s">
        <v>66</v>
      </c>
      <c r="P1348" s="5">
        <v>0</v>
      </c>
      <c r="Q1348" t="s">
        <v>2671</v>
      </c>
      <c r="R1348" t="s">
        <v>2672</v>
      </c>
      <c r="S1348" s="5">
        <v>29.19</v>
      </c>
      <c r="T1348" s="3">
        <v>45327</v>
      </c>
      <c r="U1348" s="3">
        <v>45336</v>
      </c>
      <c r="V1348" t="s">
        <v>77</v>
      </c>
      <c r="W1348">
        <f t="shared" si="107"/>
        <v>4692.9553999999998</v>
      </c>
      <c r="X1348">
        <f t="shared" si="108"/>
        <v>6495.44</v>
      </c>
      <c r="Y1348">
        <f t="shared" si="109"/>
        <v>1802.4845999999998</v>
      </c>
      <c r="Z1348" s="8" t="str">
        <f t="shared" si="106"/>
        <v>High</v>
      </c>
      <c r="AA1348" s="12">
        <f>DATE(YEAR(Table1[[#This Row],[OrderDate]]),MONTH(Table1[[#This Row],[OrderDate]]),1)</f>
        <v>45323</v>
      </c>
    </row>
    <row r="1349" spans="1:27" x14ac:dyDescent="0.3">
      <c r="A1349" s="3">
        <v>45368</v>
      </c>
      <c r="B1349" t="s">
        <v>13</v>
      </c>
      <c r="C1349" t="s">
        <v>30</v>
      </c>
      <c r="D1349" t="str">
        <f>TRIM(Table1[[#This Row],[Product]])</f>
        <v>Desk</v>
      </c>
      <c r="E1349" t="str">
        <f>PROPER(Table1[[#This Row],[Column1]])</f>
        <v>Desk</v>
      </c>
      <c r="F1349" s="8" t="str">
        <f t="shared" si="105"/>
        <v>Furniture</v>
      </c>
      <c r="G1349" s="5">
        <v>10</v>
      </c>
      <c r="H1349">
        <v>68.27</v>
      </c>
      <c r="I1349" t="s">
        <v>64</v>
      </c>
      <c r="J1349" t="s">
        <v>58</v>
      </c>
      <c r="K1349" s="7">
        <v>0.15</v>
      </c>
      <c r="L1349" t="s">
        <v>23</v>
      </c>
      <c r="M1349" s="5">
        <v>580.29499999999996</v>
      </c>
      <c r="N1349" t="s">
        <v>82</v>
      </c>
      <c r="P1349" s="5">
        <v>0</v>
      </c>
      <c r="Q1349" t="s">
        <v>2673</v>
      </c>
      <c r="R1349" t="s">
        <v>1917</v>
      </c>
      <c r="S1349" s="5">
        <v>24.33</v>
      </c>
      <c r="T1349" s="3">
        <v>45368</v>
      </c>
      <c r="U1349" s="3">
        <v>45378</v>
      </c>
      <c r="V1349" t="s">
        <v>70</v>
      </c>
      <c r="W1349">
        <f t="shared" si="107"/>
        <v>493.25074999999993</v>
      </c>
      <c r="X1349">
        <f t="shared" si="108"/>
        <v>682.69999999999993</v>
      </c>
      <c r="Y1349">
        <f t="shared" si="109"/>
        <v>189.44925000000001</v>
      </c>
      <c r="Z1349" s="8" t="str">
        <f t="shared" si="106"/>
        <v>High</v>
      </c>
      <c r="AA1349" s="12">
        <f>DATE(YEAR(Table1[[#This Row],[OrderDate]]),MONTH(Table1[[#This Row],[OrderDate]]),1)</f>
        <v>45352</v>
      </c>
    </row>
    <row r="1350" spans="1:27" x14ac:dyDescent="0.3">
      <c r="A1350" s="3">
        <v>45325</v>
      </c>
      <c r="B1350" t="s">
        <v>7</v>
      </c>
      <c r="C1350" t="s">
        <v>31</v>
      </c>
      <c r="D1350" t="str">
        <f>TRIM(Table1[[#This Row],[Product]])</f>
        <v>Laptop</v>
      </c>
      <c r="E1350" t="str">
        <f>PROPER(Table1[[#This Row],[Column1]])</f>
        <v>Laptop</v>
      </c>
      <c r="F1350" s="8" t="str">
        <f t="shared" si="105"/>
        <v>Technology</v>
      </c>
      <c r="G1350" s="5">
        <v>8</v>
      </c>
      <c r="H1350">
        <v>27.01</v>
      </c>
      <c r="I1350" t="s">
        <v>78</v>
      </c>
      <c r="J1350" t="s">
        <v>58</v>
      </c>
      <c r="K1350" s="7">
        <v>0.05</v>
      </c>
      <c r="L1350" t="s">
        <v>25</v>
      </c>
      <c r="M1350" s="5">
        <v>205.27600000000001</v>
      </c>
      <c r="N1350" t="s">
        <v>59</v>
      </c>
      <c r="O1350" t="s">
        <v>60</v>
      </c>
      <c r="P1350" s="5">
        <v>1</v>
      </c>
      <c r="Q1350" t="s">
        <v>2674</v>
      </c>
      <c r="R1350" t="s">
        <v>2675</v>
      </c>
      <c r="S1350" s="5">
        <v>42.65</v>
      </c>
      <c r="T1350" s="3">
        <v>45325</v>
      </c>
      <c r="U1350" s="3">
        <v>45331</v>
      </c>
      <c r="V1350" t="s">
        <v>77</v>
      </c>
      <c r="W1350">
        <f t="shared" si="107"/>
        <v>195.01220000000001</v>
      </c>
      <c r="X1350">
        <f t="shared" si="108"/>
        <v>216.08</v>
      </c>
      <c r="Y1350">
        <f t="shared" si="109"/>
        <v>21.067800000000005</v>
      </c>
      <c r="Z1350" s="8" t="str">
        <f t="shared" si="106"/>
        <v>Medium</v>
      </c>
      <c r="AA1350" s="12">
        <f>DATE(YEAR(Table1[[#This Row],[OrderDate]]),MONTH(Table1[[#This Row],[OrderDate]]),1)</f>
        <v>45323</v>
      </c>
    </row>
    <row r="1351" spans="1:27" x14ac:dyDescent="0.3">
      <c r="A1351" s="3">
        <v>45016</v>
      </c>
      <c r="B1351" t="s">
        <v>11</v>
      </c>
      <c r="C1351" t="s">
        <v>35</v>
      </c>
      <c r="D1351" t="str">
        <f>TRIM(Table1[[#This Row],[Product]])</f>
        <v>Tablet</v>
      </c>
      <c r="E1351" t="str">
        <f>PROPER(Table1[[#This Row],[Column1]])</f>
        <v>Tablet</v>
      </c>
      <c r="F1351" s="8" t="str">
        <f t="shared" si="105"/>
        <v>Technology</v>
      </c>
      <c r="G1351" s="5">
        <v>9</v>
      </c>
      <c r="H1351">
        <v>78.8</v>
      </c>
      <c r="I1351" t="s">
        <v>81</v>
      </c>
      <c r="J1351" t="s">
        <v>65</v>
      </c>
      <c r="K1351" s="7">
        <v>0.1</v>
      </c>
      <c r="L1351" t="s">
        <v>18</v>
      </c>
      <c r="M1351" s="5">
        <v>638.28</v>
      </c>
      <c r="N1351" t="s">
        <v>59</v>
      </c>
      <c r="O1351" t="s">
        <v>60</v>
      </c>
      <c r="P1351" s="5">
        <v>0</v>
      </c>
      <c r="Q1351" t="s">
        <v>2676</v>
      </c>
      <c r="R1351" t="s">
        <v>1616</v>
      </c>
      <c r="S1351" s="5">
        <v>9.2899999999999991</v>
      </c>
      <c r="T1351" s="3">
        <v>45016</v>
      </c>
      <c r="U1351" s="3">
        <v>45026</v>
      </c>
      <c r="V1351" t="s">
        <v>74</v>
      </c>
      <c r="W1351">
        <f t="shared" si="107"/>
        <v>574.452</v>
      </c>
      <c r="X1351">
        <f t="shared" si="108"/>
        <v>709.19999999999993</v>
      </c>
      <c r="Y1351">
        <f t="shared" si="109"/>
        <v>134.74799999999993</v>
      </c>
      <c r="Z1351" s="8" t="str">
        <f t="shared" si="106"/>
        <v>Medium</v>
      </c>
      <c r="AA1351" s="12">
        <f>DATE(YEAR(Table1[[#This Row],[OrderDate]]),MONTH(Table1[[#This Row],[OrderDate]]),1)</f>
        <v>44986</v>
      </c>
    </row>
    <row r="1352" spans="1:27" x14ac:dyDescent="0.3">
      <c r="A1352" s="3">
        <v>45156</v>
      </c>
      <c r="B1352" t="s">
        <v>16</v>
      </c>
      <c r="C1352" t="s">
        <v>35</v>
      </c>
      <c r="D1352" t="str">
        <f>TRIM(Table1[[#This Row],[Product]])</f>
        <v>Tablet</v>
      </c>
      <c r="E1352" t="str">
        <f>PROPER(Table1[[#This Row],[Column1]])</f>
        <v>Tablet</v>
      </c>
      <c r="F1352" s="8" t="str">
        <f t="shared" si="105"/>
        <v>Technology</v>
      </c>
      <c r="G1352" s="5">
        <v>16</v>
      </c>
      <c r="H1352">
        <v>174.68</v>
      </c>
      <c r="I1352" t="s">
        <v>57</v>
      </c>
      <c r="J1352" t="s">
        <v>58</v>
      </c>
      <c r="K1352" s="7">
        <v>0.15</v>
      </c>
      <c r="L1352" t="s">
        <v>27</v>
      </c>
      <c r="M1352" s="5">
        <v>2375.6480000000001</v>
      </c>
      <c r="N1352" t="s">
        <v>82</v>
      </c>
      <c r="P1352" s="5">
        <v>0</v>
      </c>
      <c r="Q1352" t="s">
        <v>2677</v>
      </c>
      <c r="R1352" t="s">
        <v>2331</v>
      </c>
      <c r="S1352" s="5">
        <v>45.99</v>
      </c>
      <c r="T1352" s="3">
        <v>45156</v>
      </c>
      <c r="U1352" s="3">
        <v>45160</v>
      </c>
      <c r="V1352" t="s">
        <v>95</v>
      </c>
      <c r="W1352">
        <f t="shared" si="107"/>
        <v>2019.3008</v>
      </c>
      <c r="X1352">
        <f t="shared" si="108"/>
        <v>2794.88</v>
      </c>
      <c r="Y1352">
        <f t="shared" si="109"/>
        <v>775.57920000000013</v>
      </c>
      <c r="Z1352" s="8" t="str">
        <f t="shared" si="106"/>
        <v>High</v>
      </c>
      <c r="AA1352" s="12">
        <f>DATE(YEAR(Table1[[#This Row],[OrderDate]]),MONTH(Table1[[#This Row],[OrderDate]]),1)</f>
        <v>45139</v>
      </c>
    </row>
    <row r="1353" spans="1:27" x14ac:dyDescent="0.3">
      <c r="A1353" s="3">
        <v>45179</v>
      </c>
      <c r="B1353" t="s">
        <v>7</v>
      </c>
      <c r="C1353" t="s">
        <v>34</v>
      </c>
      <c r="D1353" t="str">
        <f>TRIM(Table1[[#This Row],[Product]])</f>
        <v>Printer</v>
      </c>
      <c r="E1353" t="str">
        <f>PROPER(Table1[[#This Row],[Column1]])</f>
        <v>Printer</v>
      </c>
      <c r="F1353" s="8" t="str">
        <f t="shared" si="105"/>
        <v>Office Supplies</v>
      </c>
      <c r="G1353" s="5">
        <v>4</v>
      </c>
      <c r="H1353">
        <v>306.06</v>
      </c>
      <c r="I1353" t="s">
        <v>78</v>
      </c>
      <c r="J1353" t="s">
        <v>58</v>
      </c>
      <c r="K1353" s="7">
        <v>0.05</v>
      </c>
      <c r="L1353" t="s">
        <v>21</v>
      </c>
      <c r="M1353" s="5">
        <v>1163.028</v>
      </c>
      <c r="N1353" t="s">
        <v>66</v>
      </c>
      <c r="O1353" t="s">
        <v>67</v>
      </c>
      <c r="P1353" s="5">
        <v>1</v>
      </c>
      <c r="Q1353" t="s">
        <v>2678</v>
      </c>
      <c r="R1353" t="s">
        <v>1349</v>
      </c>
      <c r="S1353" s="5">
        <v>32.75</v>
      </c>
      <c r="T1353" s="3">
        <v>45179</v>
      </c>
      <c r="U1353" s="3">
        <v>45182</v>
      </c>
      <c r="V1353" t="s">
        <v>77</v>
      </c>
      <c r="W1353">
        <f t="shared" si="107"/>
        <v>1104.8766000000001</v>
      </c>
      <c r="X1353">
        <f t="shared" si="108"/>
        <v>1224.24</v>
      </c>
      <c r="Y1353">
        <f t="shared" si="109"/>
        <v>119.36339999999996</v>
      </c>
      <c r="Z1353" s="8" t="str">
        <f t="shared" si="106"/>
        <v>Medium</v>
      </c>
      <c r="AA1353" s="12">
        <f>DATE(YEAR(Table1[[#This Row],[OrderDate]]),MONTH(Table1[[#This Row],[OrderDate]]),1)</f>
        <v>45170</v>
      </c>
    </row>
    <row r="1354" spans="1:27" x14ac:dyDescent="0.3">
      <c r="A1354" s="3">
        <v>45320</v>
      </c>
      <c r="B1354" t="s">
        <v>13</v>
      </c>
      <c r="C1354" t="s">
        <v>35</v>
      </c>
      <c r="D1354" t="str">
        <f>TRIM(Table1[[#This Row],[Product]])</f>
        <v>Tablet</v>
      </c>
      <c r="E1354" t="str">
        <f>PROPER(Table1[[#This Row],[Column1]])</f>
        <v>Tablet</v>
      </c>
      <c r="F1354" s="8" t="str">
        <f t="shared" si="105"/>
        <v>Technology</v>
      </c>
      <c r="G1354" s="5">
        <v>12</v>
      </c>
      <c r="H1354">
        <v>164.22</v>
      </c>
      <c r="I1354" t="s">
        <v>78</v>
      </c>
      <c r="J1354" t="s">
        <v>65</v>
      </c>
      <c r="K1354" s="7">
        <v>0</v>
      </c>
      <c r="L1354" t="s">
        <v>19</v>
      </c>
      <c r="M1354" s="5">
        <v>1970.64</v>
      </c>
      <c r="N1354" t="s">
        <v>82</v>
      </c>
      <c r="O1354" t="s">
        <v>60</v>
      </c>
      <c r="P1354" s="5">
        <v>0</v>
      </c>
      <c r="Q1354" t="s">
        <v>2679</v>
      </c>
      <c r="R1354" t="s">
        <v>2656</v>
      </c>
      <c r="S1354" s="5">
        <v>21.46</v>
      </c>
      <c r="T1354" s="3">
        <v>45320</v>
      </c>
      <c r="U1354" s="3">
        <v>45325</v>
      </c>
      <c r="V1354" t="s">
        <v>70</v>
      </c>
      <c r="W1354">
        <f t="shared" si="107"/>
        <v>1970.64</v>
      </c>
      <c r="X1354">
        <f t="shared" si="108"/>
        <v>1970.6399999999999</v>
      </c>
      <c r="Y1354">
        <f t="shared" si="109"/>
        <v>0</v>
      </c>
      <c r="Z1354" s="8" t="str">
        <f t="shared" si="106"/>
        <v>No Discount</v>
      </c>
      <c r="AA1354" s="12">
        <f>DATE(YEAR(Table1[[#This Row],[OrderDate]]),MONTH(Table1[[#This Row],[OrderDate]]),1)</f>
        <v>45292</v>
      </c>
    </row>
    <row r="1355" spans="1:27" x14ac:dyDescent="0.3">
      <c r="A1355" s="3">
        <v>45372</v>
      </c>
      <c r="B1355" t="s">
        <v>11</v>
      </c>
      <c r="C1355" t="s">
        <v>35</v>
      </c>
      <c r="D1355" t="str">
        <f>TRIM(Table1[[#This Row],[Product]])</f>
        <v>Tablet</v>
      </c>
      <c r="E1355" t="str">
        <f>PROPER(Table1[[#This Row],[Column1]])</f>
        <v>Tablet</v>
      </c>
      <c r="F1355" s="8" t="str">
        <f t="shared" si="105"/>
        <v>Technology</v>
      </c>
      <c r="G1355" s="5">
        <v>20</v>
      </c>
      <c r="H1355">
        <v>336.29</v>
      </c>
      <c r="I1355" t="s">
        <v>78</v>
      </c>
      <c r="J1355" t="s">
        <v>65</v>
      </c>
      <c r="K1355" s="7">
        <v>0</v>
      </c>
      <c r="L1355" t="s">
        <v>25</v>
      </c>
      <c r="M1355" s="5">
        <v>6725.8</v>
      </c>
      <c r="N1355" t="s">
        <v>66</v>
      </c>
      <c r="O1355" t="s">
        <v>60</v>
      </c>
      <c r="P1355" s="5">
        <v>0</v>
      </c>
      <c r="Q1355" t="s">
        <v>2680</v>
      </c>
      <c r="R1355" t="s">
        <v>2681</v>
      </c>
      <c r="S1355" s="5">
        <v>25.02</v>
      </c>
      <c r="T1355" s="3">
        <v>45372</v>
      </c>
      <c r="U1355" s="3">
        <v>45381</v>
      </c>
      <c r="V1355" t="s">
        <v>74</v>
      </c>
      <c r="W1355">
        <f t="shared" si="107"/>
        <v>6725.8</v>
      </c>
      <c r="X1355">
        <f t="shared" si="108"/>
        <v>6725.8</v>
      </c>
      <c r="Y1355">
        <f t="shared" si="109"/>
        <v>0</v>
      </c>
      <c r="Z1355" s="8" t="str">
        <f t="shared" si="106"/>
        <v>No Discount</v>
      </c>
      <c r="AA1355" s="12">
        <f>DATE(YEAR(Table1[[#This Row],[OrderDate]]),MONTH(Table1[[#This Row],[OrderDate]]),1)</f>
        <v>45352</v>
      </c>
    </row>
    <row r="1356" spans="1:27" x14ac:dyDescent="0.3">
      <c r="A1356" s="3">
        <v>45507</v>
      </c>
      <c r="B1356" t="s">
        <v>16</v>
      </c>
      <c r="C1356" t="s">
        <v>35</v>
      </c>
      <c r="D1356" t="str">
        <f>TRIM(Table1[[#This Row],[Product]])</f>
        <v>Tablet</v>
      </c>
      <c r="E1356" t="str">
        <f>PROPER(Table1[[#This Row],[Column1]])</f>
        <v>Tablet</v>
      </c>
      <c r="F1356" s="8" t="str">
        <f t="shared" si="105"/>
        <v>Technology</v>
      </c>
      <c r="G1356" s="5">
        <v>7</v>
      </c>
      <c r="H1356">
        <v>180.25</v>
      </c>
      <c r="I1356" t="s">
        <v>81</v>
      </c>
      <c r="J1356" t="s">
        <v>65</v>
      </c>
      <c r="K1356" s="7">
        <v>0.1</v>
      </c>
      <c r="L1356" t="s">
        <v>23</v>
      </c>
      <c r="M1356" s="5">
        <v>1135.575</v>
      </c>
      <c r="N1356" t="s">
        <v>66</v>
      </c>
      <c r="O1356" t="s">
        <v>71</v>
      </c>
      <c r="P1356" s="5">
        <v>0</v>
      </c>
      <c r="Q1356" t="s">
        <v>2682</v>
      </c>
      <c r="R1356" t="s">
        <v>2683</v>
      </c>
      <c r="S1356" s="5">
        <v>36.79</v>
      </c>
      <c r="T1356" s="3">
        <v>45507</v>
      </c>
      <c r="U1356" s="3">
        <v>45509</v>
      </c>
      <c r="V1356" t="s">
        <v>95</v>
      </c>
      <c r="W1356">
        <f t="shared" si="107"/>
        <v>1022.0175</v>
      </c>
      <c r="X1356">
        <f t="shared" si="108"/>
        <v>1261.75</v>
      </c>
      <c r="Y1356">
        <f t="shared" si="109"/>
        <v>239.73249999999996</v>
      </c>
      <c r="Z1356" s="8" t="str">
        <f t="shared" si="106"/>
        <v>Medium</v>
      </c>
      <c r="AA1356" s="12">
        <f>DATE(YEAR(Table1[[#This Row],[OrderDate]]),MONTH(Table1[[#This Row],[OrderDate]]),1)</f>
        <v>45505</v>
      </c>
    </row>
    <row r="1357" spans="1:27" x14ac:dyDescent="0.3">
      <c r="A1357" s="3">
        <v>45782</v>
      </c>
      <c r="B1357" t="s">
        <v>11</v>
      </c>
      <c r="C1357" t="s">
        <v>32</v>
      </c>
      <c r="D1357" t="str">
        <f>TRIM(Table1[[#This Row],[Product]])</f>
        <v>Monitor</v>
      </c>
      <c r="E1357" t="str">
        <f>PROPER(Table1[[#This Row],[Column1]])</f>
        <v>Monitor</v>
      </c>
      <c r="F1357" s="8" t="str">
        <f t="shared" si="105"/>
        <v>Technology</v>
      </c>
      <c r="G1357" s="5">
        <v>1</v>
      </c>
      <c r="H1357">
        <v>21.75</v>
      </c>
      <c r="I1357" t="s">
        <v>78</v>
      </c>
      <c r="J1357" t="s">
        <v>65</v>
      </c>
      <c r="K1357" s="7">
        <v>0</v>
      </c>
      <c r="L1357" t="s">
        <v>18</v>
      </c>
      <c r="M1357" s="5">
        <v>21.75</v>
      </c>
      <c r="N1357" t="s">
        <v>88</v>
      </c>
      <c r="O1357" t="s">
        <v>60</v>
      </c>
      <c r="P1357" s="5">
        <v>0</v>
      </c>
      <c r="Q1357" t="s">
        <v>2684</v>
      </c>
      <c r="R1357" t="s">
        <v>2685</v>
      </c>
      <c r="S1357" s="5">
        <v>7.35</v>
      </c>
      <c r="T1357" s="3">
        <v>45782</v>
      </c>
      <c r="U1357" s="3">
        <v>45791</v>
      </c>
      <c r="V1357" t="s">
        <v>74</v>
      </c>
      <c r="W1357">
        <f t="shared" si="107"/>
        <v>21.75</v>
      </c>
      <c r="X1357">
        <f t="shared" si="108"/>
        <v>21.75</v>
      </c>
      <c r="Y1357">
        <f t="shared" si="109"/>
        <v>0</v>
      </c>
      <c r="Z1357" s="8" t="str">
        <f t="shared" si="106"/>
        <v>No Discount</v>
      </c>
      <c r="AA1357" s="12">
        <f>DATE(YEAR(Table1[[#This Row],[OrderDate]]),MONTH(Table1[[#This Row],[OrderDate]]),1)</f>
        <v>45778</v>
      </c>
    </row>
    <row r="1358" spans="1:27" x14ac:dyDescent="0.3">
      <c r="A1358" s="3">
        <v>44965</v>
      </c>
      <c r="B1358" t="s">
        <v>16</v>
      </c>
      <c r="C1358" t="s">
        <v>35</v>
      </c>
      <c r="D1358" t="str">
        <f>TRIM(Table1[[#This Row],[Product]])</f>
        <v>Tablet</v>
      </c>
      <c r="E1358" t="str">
        <f>PROPER(Table1[[#This Row],[Column1]])</f>
        <v>Tablet</v>
      </c>
      <c r="F1358" s="8" t="str">
        <f t="shared" si="105"/>
        <v>Technology</v>
      </c>
      <c r="G1358" s="5">
        <v>13</v>
      </c>
      <c r="H1358">
        <v>149.16</v>
      </c>
      <c r="I1358" t="s">
        <v>78</v>
      </c>
      <c r="J1358" t="s">
        <v>65</v>
      </c>
      <c r="K1358" s="7">
        <v>0.1</v>
      </c>
      <c r="L1358" t="s">
        <v>25</v>
      </c>
      <c r="M1358" s="5">
        <v>1745.172</v>
      </c>
      <c r="N1358" t="s">
        <v>88</v>
      </c>
      <c r="P1358" s="5">
        <v>1</v>
      </c>
      <c r="Q1358" t="s">
        <v>2686</v>
      </c>
      <c r="R1358" t="s">
        <v>1224</v>
      </c>
      <c r="S1358" s="5">
        <v>20.9</v>
      </c>
      <c r="T1358" s="3">
        <v>44965</v>
      </c>
      <c r="U1358" s="3">
        <v>44973</v>
      </c>
      <c r="V1358" t="s">
        <v>95</v>
      </c>
      <c r="W1358">
        <f t="shared" si="107"/>
        <v>1570.6548</v>
      </c>
      <c r="X1358">
        <f t="shared" si="108"/>
        <v>1939.08</v>
      </c>
      <c r="Y1358">
        <f t="shared" si="109"/>
        <v>368.4251999999999</v>
      </c>
      <c r="Z1358" s="8" t="str">
        <f t="shared" si="106"/>
        <v>Medium</v>
      </c>
      <c r="AA1358" s="12">
        <f>DATE(YEAR(Table1[[#This Row],[OrderDate]]),MONTH(Table1[[#This Row],[OrderDate]]),1)</f>
        <v>44958</v>
      </c>
    </row>
    <row r="1359" spans="1:27" x14ac:dyDescent="0.3">
      <c r="A1359" s="3">
        <v>45072</v>
      </c>
      <c r="B1359" t="s">
        <v>7</v>
      </c>
      <c r="C1359" t="s">
        <v>29</v>
      </c>
      <c r="D1359" t="str">
        <f>TRIM(Table1[[#This Row],[Product]])</f>
        <v>Chair</v>
      </c>
      <c r="E1359" t="str">
        <f>PROPER(Table1[[#This Row],[Column1]])</f>
        <v>Chair</v>
      </c>
      <c r="F1359" s="8" t="str">
        <f t="shared" si="105"/>
        <v>Furniture</v>
      </c>
      <c r="G1359" s="5">
        <v>7</v>
      </c>
      <c r="H1359">
        <v>220.9</v>
      </c>
      <c r="I1359" t="s">
        <v>64</v>
      </c>
      <c r="J1359" t="s">
        <v>58</v>
      </c>
      <c r="K1359" s="7">
        <v>0.15</v>
      </c>
      <c r="L1359" t="s">
        <v>19</v>
      </c>
      <c r="M1359" s="5">
        <v>1314.355</v>
      </c>
      <c r="N1359" t="s">
        <v>66</v>
      </c>
      <c r="O1359" t="s">
        <v>60</v>
      </c>
      <c r="P1359" s="5">
        <v>0</v>
      </c>
      <c r="Q1359" t="s">
        <v>2687</v>
      </c>
      <c r="R1359" t="s">
        <v>2688</v>
      </c>
      <c r="S1359" s="5">
        <v>15.25</v>
      </c>
      <c r="T1359" s="3">
        <v>45072</v>
      </c>
      <c r="U1359" s="3">
        <v>45082</v>
      </c>
      <c r="V1359" t="s">
        <v>77</v>
      </c>
      <c r="W1359">
        <f t="shared" si="107"/>
        <v>1117.2017499999999</v>
      </c>
      <c r="X1359">
        <f t="shared" si="108"/>
        <v>1546.3</v>
      </c>
      <c r="Y1359">
        <f t="shared" si="109"/>
        <v>429.09825000000001</v>
      </c>
      <c r="Z1359" s="8" t="str">
        <f t="shared" si="106"/>
        <v>High</v>
      </c>
      <c r="AA1359" s="12">
        <f>DATE(YEAR(Table1[[#This Row],[OrderDate]]),MONTH(Table1[[#This Row],[OrderDate]]),1)</f>
        <v>45047</v>
      </c>
    </row>
    <row r="1360" spans="1:27" x14ac:dyDescent="0.3">
      <c r="A1360" s="3">
        <v>45488</v>
      </c>
      <c r="B1360" t="s">
        <v>9</v>
      </c>
      <c r="C1360" t="s">
        <v>29</v>
      </c>
      <c r="D1360" t="str">
        <f>TRIM(Table1[[#This Row],[Product]])</f>
        <v>Chair</v>
      </c>
      <c r="E1360" t="str">
        <f>PROPER(Table1[[#This Row],[Column1]])</f>
        <v>Chair</v>
      </c>
      <c r="F1360" s="8" t="str">
        <f t="shared" si="105"/>
        <v>Furniture</v>
      </c>
      <c r="G1360" s="5">
        <v>1</v>
      </c>
      <c r="H1360">
        <v>364.27</v>
      </c>
      <c r="I1360" t="s">
        <v>64</v>
      </c>
      <c r="J1360" t="s">
        <v>65</v>
      </c>
      <c r="K1360" s="7">
        <v>0.1</v>
      </c>
      <c r="L1360" t="s">
        <v>18</v>
      </c>
      <c r="M1360" s="5">
        <v>327.84300000000002</v>
      </c>
      <c r="N1360" t="s">
        <v>85</v>
      </c>
      <c r="O1360" t="s">
        <v>71</v>
      </c>
      <c r="P1360" s="5">
        <v>0</v>
      </c>
      <c r="Q1360" t="s">
        <v>2689</v>
      </c>
      <c r="R1360" t="s">
        <v>2690</v>
      </c>
      <c r="S1360" s="5">
        <v>8.91</v>
      </c>
      <c r="T1360" s="3">
        <v>45488</v>
      </c>
      <c r="U1360" s="3">
        <v>45495</v>
      </c>
      <c r="V1360" t="s">
        <v>63</v>
      </c>
      <c r="W1360">
        <f t="shared" si="107"/>
        <v>295.05870000000004</v>
      </c>
      <c r="X1360">
        <f t="shared" si="108"/>
        <v>364.27</v>
      </c>
      <c r="Y1360">
        <f t="shared" si="109"/>
        <v>69.211299999999937</v>
      </c>
      <c r="Z1360" s="8" t="str">
        <f t="shared" si="106"/>
        <v>Medium</v>
      </c>
      <c r="AA1360" s="12">
        <f>DATE(YEAR(Table1[[#This Row],[OrderDate]]),MONTH(Table1[[#This Row],[OrderDate]]),1)</f>
        <v>45474</v>
      </c>
    </row>
    <row r="1361" spans="1:27" x14ac:dyDescent="0.3">
      <c r="A1361" s="3">
        <v>45644</v>
      </c>
      <c r="B1361" t="s">
        <v>11</v>
      </c>
      <c r="C1361" t="s">
        <v>32</v>
      </c>
      <c r="D1361" t="str">
        <f>TRIM(Table1[[#This Row],[Product]])</f>
        <v>Monitor</v>
      </c>
      <c r="E1361" t="str">
        <f>PROPER(Table1[[#This Row],[Column1]])</f>
        <v>Monitor</v>
      </c>
      <c r="F1361" s="8" t="str">
        <f t="shared" si="105"/>
        <v>Technology</v>
      </c>
      <c r="G1361" s="5">
        <v>9</v>
      </c>
      <c r="H1361">
        <v>306.42</v>
      </c>
      <c r="I1361" t="s">
        <v>78</v>
      </c>
      <c r="J1361" t="s">
        <v>58</v>
      </c>
      <c r="K1361" s="7">
        <v>0</v>
      </c>
      <c r="L1361" t="s">
        <v>19</v>
      </c>
      <c r="M1361" s="5">
        <v>2757.78</v>
      </c>
      <c r="N1361" t="s">
        <v>59</v>
      </c>
      <c r="P1361" s="5">
        <v>0</v>
      </c>
      <c r="Q1361" t="s">
        <v>2691</v>
      </c>
      <c r="R1361" t="s">
        <v>2692</v>
      </c>
      <c r="S1361" s="5">
        <v>15.81</v>
      </c>
      <c r="T1361" s="3">
        <v>45644</v>
      </c>
      <c r="U1361" s="3">
        <v>45653</v>
      </c>
      <c r="V1361" t="s">
        <v>74</v>
      </c>
      <c r="W1361">
        <f t="shared" si="107"/>
        <v>2757.78</v>
      </c>
      <c r="X1361">
        <f t="shared" si="108"/>
        <v>2757.78</v>
      </c>
      <c r="Y1361">
        <f t="shared" si="109"/>
        <v>0</v>
      </c>
      <c r="Z1361" s="8" t="str">
        <f t="shared" si="106"/>
        <v>No Discount</v>
      </c>
      <c r="AA1361" s="12">
        <f>DATE(YEAR(Table1[[#This Row],[OrderDate]]),MONTH(Table1[[#This Row],[OrderDate]]),1)</f>
        <v>45627</v>
      </c>
    </row>
    <row r="1362" spans="1:27" x14ac:dyDescent="0.3">
      <c r="A1362" s="3">
        <v>45564</v>
      </c>
      <c r="B1362" t="s">
        <v>11</v>
      </c>
      <c r="C1362" t="s">
        <v>35</v>
      </c>
      <c r="D1362" t="str">
        <f>TRIM(Table1[[#This Row],[Product]])</f>
        <v>Tablet</v>
      </c>
      <c r="E1362" t="str">
        <f>PROPER(Table1[[#This Row],[Column1]])</f>
        <v>Tablet</v>
      </c>
      <c r="F1362" s="8" t="str">
        <f t="shared" si="105"/>
        <v>Technology</v>
      </c>
      <c r="G1362" s="5">
        <v>18</v>
      </c>
      <c r="H1362">
        <v>589</v>
      </c>
      <c r="I1362" t="s">
        <v>57</v>
      </c>
      <c r="J1362" t="s">
        <v>58</v>
      </c>
      <c r="K1362" s="7">
        <v>0.1</v>
      </c>
      <c r="L1362" t="s">
        <v>23</v>
      </c>
      <c r="M1362" s="5">
        <v>9541.8000000000011</v>
      </c>
      <c r="N1362" t="s">
        <v>88</v>
      </c>
      <c r="O1362" t="s">
        <v>71</v>
      </c>
      <c r="P1362" s="5">
        <v>0</v>
      </c>
      <c r="Q1362" t="s">
        <v>2693</v>
      </c>
      <c r="R1362" t="s">
        <v>2694</v>
      </c>
      <c r="S1362" s="5">
        <v>37.78</v>
      </c>
      <c r="T1362" s="3">
        <v>45564</v>
      </c>
      <c r="U1362" s="3">
        <v>45573</v>
      </c>
      <c r="V1362" t="s">
        <v>74</v>
      </c>
      <c r="W1362">
        <f t="shared" si="107"/>
        <v>8587.6200000000008</v>
      </c>
      <c r="X1362">
        <f t="shared" si="108"/>
        <v>10602</v>
      </c>
      <c r="Y1362">
        <f t="shared" si="109"/>
        <v>2014.3799999999992</v>
      </c>
      <c r="Z1362" s="8" t="str">
        <f t="shared" si="106"/>
        <v>Medium</v>
      </c>
      <c r="AA1362" s="12">
        <f>DATE(YEAR(Table1[[#This Row],[OrderDate]]),MONTH(Table1[[#This Row],[OrderDate]]),1)</f>
        <v>45536</v>
      </c>
    </row>
    <row r="1363" spans="1:27" x14ac:dyDescent="0.3">
      <c r="A1363" s="3">
        <v>45590</v>
      </c>
      <c r="B1363" t="s">
        <v>13</v>
      </c>
      <c r="C1363" t="s">
        <v>30</v>
      </c>
      <c r="D1363" t="str">
        <f>TRIM(Table1[[#This Row],[Product]])</f>
        <v>Desk</v>
      </c>
      <c r="E1363" t="str">
        <f>PROPER(Table1[[#This Row],[Column1]])</f>
        <v>Desk</v>
      </c>
      <c r="F1363" s="8" t="str">
        <f t="shared" si="105"/>
        <v>Furniture</v>
      </c>
      <c r="G1363" s="5">
        <v>16</v>
      </c>
      <c r="H1363">
        <v>249.45</v>
      </c>
      <c r="I1363" t="s">
        <v>78</v>
      </c>
      <c r="J1363" t="s">
        <v>58</v>
      </c>
      <c r="K1363" s="7">
        <v>0.1</v>
      </c>
      <c r="L1363" t="s">
        <v>18</v>
      </c>
      <c r="M1363" s="5">
        <v>3592.08</v>
      </c>
      <c r="N1363" t="s">
        <v>88</v>
      </c>
      <c r="O1363" t="s">
        <v>60</v>
      </c>
      <c r="P1363" s="5">
        <v>0</v>
      </c>
      <c r="Q1363" t="s">
        <v>2695</v>
      </c>
      <c r="R1363" t="s">
        <v>2696</v>
      </c>
      <c r="S1363" s="5">
        <v>20.92</v>
      </c>
      <c r="T1363" s="3">
        <v>45590</v>
      </c>
      <c r="U1363" s="3">
        <v>45597</v>
      </c>
      <c r="V1363" t="s">
        <v>70</v>
      </c>
      <c r="W1363">
        <f t="shared" si="107"/>
        <v>3232.8719999999998</v>
      </c>
      <c r="X1363">
        <f t="shared" si="108"/>
        <v>3991.2</v>
      </c>
      <c r="Y1363">
        <f t="shared" si="109"/>
        <v>758.32799999999997</v>
      </c>
      <c r="Z1363" s="8" t="str">
        <f t="shared" si="106"/>
        <v>Medium</v>
      </c>
      <c r="AA1363" s="12">
        <f>DATE(YEAR(Table1[[#This Row],[OrderDate]]),MONTH(Table1[[#This Row],[OrderDate]]),1)</f>
        <v>45566</v>
      </c>
    </row>
    <row r="1364" spans="1:27" x14ac:dyDescent="0.3">
      <c r="A1364" s="3">
        <v>45663</v>
      </c>
      <c r="B1364" t="s">
        <v>11</v>
      </c>
      <c r="C1364" t="s">
        <v>32</v>
      </c>
      <c r="D1364" t="str">
        <f>TRIM(Table1[[#This Row],[Product]])</f>
        <v>Monitor</v>
      </c>
      <c r="E1364" t="str">
        <f>PROPER(Table1[[#This Row],[Column1]])</f>
        <v>Monitor</v>
      </c>
      <c r="F1364" s="8" t="str">
        <f t="shared" si="105"/>
        <v>Technology</v>
      </c>
      <c r="G1364" s="5">
        <v>20</v>
      </c>
      <c r="H1364">
        <v>440.32</v>
      </c>
      <c r="I1364" t="s">
        <v>78</v>
      </c>
      <c r="J1364" t="s">
        <v>65</v>
      </c>
      <c r="K1364" s="7">
        <v>0.05</v>
      </c>
      <c r="L1364" t="s">
        <v>18</v>
      </c>
      <c r="M1364" s="5">
        <v>8366.08</v>
      </c>
      <c r="N1364" t="s">
        <v>85</v>
      </c>
      <c r="O1364" t="s">
        <v>67</v>
      </c>
      <c r="P1364" s="5">
        <v>1</v>
      </c>
      <c r="Q1364" t="s">
        <v>2697</v>
      </c>
      <c r="R1364" t="s">
        <v>2698</v>
      </c>
      <c r="S1364" s="5">
        <v>6.17</v>
      </c>
      <c r="T1364" s="3">
        <v>45663</v>
      </c>
      <c r="U1364" s="3">
        <v>45673</v>
      </c>
      <c r="V1364" t="s">
        <v>74</v>
      </c>
      <c r="W1364">
        <f t="shared" si="107"/>
        <v>7947.7759999999998</v>
      </c>
      <c r="X1364">
        <f t="shared" si="108"/>
        <v>8806.4</v>
      </c>
      <c r="Y1364">
        <f t="shared" si="109"/>
        <v>858.6239999999998</v>
      </c>
      <c r="Z1364" s="8" t="str">
        <f t="shared" si="106"/>
        <v>Medium</v>
      </c>
      <c r="AA1364" s="12">
        <f>DATE(YEAR(Table1[[#This Row],[OrderDate]]),MONTH(Table1[[#This Row],[OrderDate]]),1)</f>
        <v>45658</v>
      </c>
    </row>
    <row r="1365" spans="1:27" x14ac:dyDescent="0.3">
      <c r="A1365" s="3">
        <v>45249</v>
      </c>
      <c r="B1365" t="s">
        <v>7</v>
      </c>
      <c r="C1365" t="s">
        <v>35</v>
      </c>
      <c r="D1365" t="str">
        <f>TRIM(Table1[[#This Row],[Product]])</f>
        <v>Tablet</v>
      </c>
      <c r="E1365" t="str">
        <f>PROPER(Table1[[#This Row],[Column1]])</f>
        <v>Tablet</v>
      </c>
      <c r="F1365" s="8" t="str">
        <f t="shared" si="105"/>
        <v>Technology</v>
      </c>
      <c r="G1365" s="5">
        <v>3</v>
      </c>
      <c r="H1365">
        <v>101.34</v>
      </c>
      <c r="I1365" t="s">
        <v>64</v>
      </c>
      <c r="J1365" t="s">
        <v>58</v>
      </c>
      <c r="K1365" s="7">
        <v>0</v>
      </c>
      <c r="L1365" t="s">
        <v>21</v>
      </c>
      <c r="M1365" s="5">
        <v>304.02</v>
      </c>
      <c r="N1365" t="s">
        <v>85</v>
      </c>
      <c r="P1365" s="5">
        <v>0</v>
      </c>
      <c r="Q1365" t="s">
        <v>2699</v>
      </c>
      <c r="R1365" t="s">
        <v>2700</v>
      </c>
      <c r="S1365" s="5">
        <v>23.15</v>
      </c>
      <c r="T1365" s="3">
        <v>45249</v>
      </c>
      <c r="U1365" s="3">
        <v>45251</v>
      </c>
      <c r="V1365" t="s">
        <v>77</v>
      </c>
      <c r="W1365">
        <f t="shared" si="107"/>
        <v>304.02</v>
      </c>
      <c r="X1365">
        <f t="shared" si="108"/>
        <v>304.02</v>
      </c>
      <c r="Y1365">
        <f t="shared" si="109"/>
        <v>0</v>
      </c>
      <c r="Z1365" s="8" t="str">
        <f t="shared" si="106"/>
        <v>No Discount</v>
      </c>
      <c r="AA1365" s="12">
        <f>DATE(YEAR(Table1[[#This Row],[OrderDate]]),MONTH(Table1[[#This Row],[OrderDate]]),1)</f>
        <v>45231</v>
      </c>
    </row>
    <row r="1366" spans="1:27" x14ac:dyDescent="0.3">
      <c r="A1366" s="3">
        <v>45393</v>
      </c>
      <c r="B1366" t="s">
        <v>13</v>
      </c>
      <c r="C1366" t="s">
        <v>33</v>
      </c>
      <c r="D1366" t="str">
        <f>TRIM(Table1[[#This Row],[Product]])</f>
        <v>Phone</v>
      </c>
      <c r="E1366" t="str">
        <f>PROPER(Table1[[#This Row],[Column1]])</f>
        <v>Phone</v>
      </c>
      <c r="F1366" s="8" t="str">
        <f t="shared" si="105"/>
        <v>Technology</v>
      </c>
      <c r="G1366" s="5">
        <v>17</v>
      </c>
      <c r="H1366">
        <v>311.61</v>
      </c>
      <c r="I1366" t="s">
        <v>64</v>
      </c>
      <c r="J1366" t="s">
        <v>65</v>
      </c>
      <c r="K1366" s="7">
        <v>0.05</v>
      </c>
      <c r="L1366" t="s">
        <v>25</v>
      </c>
      <c r="M1366" s="5">
        <v>5032.5014999999994</v>
      </c>
      <c r="N1366" t="s">
        <v>59</v>
      </c>
      <c r="P1366" s="5">
        <v>1</v>
      </c>
      <c r="Q1366" t="s">
        <v>2701</v>
      </c>
      <c r="R1366" t="s">
        <v>2702</v>
      </c>
      <c r="S1366" s="5">
        <v>29.9</v>
      </c>
      <c r="T1366" s="3">
        <v>45393</v>
      </c>
      <c r="U1366" s="3">
        <v>45399</v>
      </c>
      <c r="V1366" t="s">
        <v>70</v>
      </c>
      <c r="W1366">
        <f t="shared" si="107"/>
        <v>4780.8764249999995</v>
      </c>
      <c r="X1366">
        <f t="shared" si="108"/>
        <v>5297.37</v>
      </c>
      <c r="Y1366">
        <f t="shared" si="109"/>
        <v>516.49357500000042</v>
      </c>
      <c r="Z1366" s="8" t="str">
        <f t="shared" si="106"/>
        <v>Medium</v>
      </c>
      <c r="AA1366" s="12">
        <f>DATE(YEAR(Table1[[#This Row],[OrderDate]]),MONTH(Table1[[#This Row],[OrderDate]]),1)</f>
        <v>45383</v>
      </c>
    </row>
    <row r="1367" spans="1:27" x14ac:dyDescent="0.3">
      <c r="A1367" s="3">
        <v>45381</v>
      </c>
      <c r="B1367" t="s">
        <v>13</v>
      </c>
      <c r="C1367" t="s">
        <v>32</v>
      </c>
      <c r="D1367" t="str">
        <f>TRIM(Table1[[#This Row],[Product]])</f>
        <v>Monitor</v>
      </c>
      <c r="E1367" t="str">
        <f>PROPER(Table1[[#This Row],[Column1]])</f>
        <v>Monitor</v>
      </c>
      <c r="F1367" s="8" t="str">
        <f t="shared" si="105"/>
        <v>Technology</v>
      </c>
      <c r="G1367" s="5">
        <v>2</v>
      </c>
      <c r="H1367">
        <v>441.18</v>
      </c>
      <c r="I1367" t="s">
        <v>57</v>
      </c>
      <c r="J1367" t="s">
        <v>65</v>
      </c>
      <c r="K1367" s="7">
        <v>0.15</v>
      </c>
      <c r="L1367" t="s">
        <v>19</v>
      </c>
      <c r="M1367" s="5">
        <v>750.00599999999997</v>
      </c>
      <c r="N1367" t="s">
        <v>88</v>
      </c>
      <c r="P1367" s="5">
        <v>1</v>
      </c>
      <c r="Q1367" t="s">
        <v>2703</v>
      </c>
      <c r="R1367" t="s">
        <v>2704</v>
      </c>
      <c r="S1367" s="5">
        <v>23.07</v>
      </c>
      <c r="T1367" s="3">
        <v>45381</v>
      </c>
      <c r="U1367" s="3">
        <v>45388</v>
      </c>
      <c r="V1367" t="s">
        <v>70</v>
      </c>
      <c r="W1367">
        <f t="shared" si="107"/>
        <v>637.50509999999997</v>
      </c>
      <c r="X1367">
        <f t="shared" si="108"/>
        <v>882.36</v>
      </c>
      <c r="Y1367">
        <f t="shared" si="109"/>
        <v>244.85490000000004</v>
      </c>
      <c r="Z1367" s="8" t="str">
        <f t="shared" si="106"/>
        <v>High</v>
      </c>
      <c r="AA1367" s="12">
        <f>DATE(YEAR(Table1[[#This Row],[OrderDate]]),MONTH(Table1[[#This Row],[OrderDate]]),1)</f>
        <v>45352</v>
      </c>
    </row>
    <row r="1368" spans="1:27" x14ac:dyDescent="0.3">
      <c r="A1368" s="3">
        <v>45621</v>
      </c>
      <c r="B1368" t="s">
        <v>11</v>
      </c>
      <c r="C1368" t="s">
        <v>29</v>
      </c>
      <c r="D1368" t="str">
        <f>TRIM(Table1[[#This Row],[Product]])</f>
        <v>Chair</v>
      </c>
      <c r="E1368" t="str">
        <f>PROPER(Table1[[#This Row],[Column1]])</f>
        <v>Chair</v>
      </c>
      <c r="F1368" s="8" t="str">
        <f t="shared" si="105"/>
        <v>Furniture</v>
      </c>
      <c r="G1368" s="5">
        <v>20</v>
      </c>
      <c r="H1368">
        <v>286.66000000000003</v>
      </c>
      <c r="I1368" t="s">
        <v>81</v>
      </c>
      <c r="J1368" t="s">
        <v>65</v>
      </c>
      <c r="K1368" s="7">
        <v>0.1</v>
      </c>
      <c r="L1368" t="s">
        <v>21</v>
      </c>
      <c r="M1368" s="5">
        <v>5159.880000000001</v>
      </c>
      <c r="N1368" t="s">
        <v>85</v>
      </c>
      <c r="O1368" t="s">
        <v>71</v>
      </c>
      <c r="P1368" s="5">
        <v>0</v>
      </c>
      <c r="Q1368" t="s">
        <v>2705</v>
      </c>
      <c r="R1368" t="s">
        <v>515</v>
      </c>
      <c r="S1368" s="5">
        <v>15.54</v>
      </c>
      <c r="T1368" s="3">
        <v>45621</v>
      </c>
      <c r="U1368" s="3">
        <v>45625</v>
      </c>
      <c r="V1368" t="s">
        <v>74</v>
      </c>
      <c r="W1368">
        <f t="shared" si="107"/>
        <v>4643.8920000000007</v>
      </c>
      <c r="X1368">
        <f t="shared" si="108"/>
        <v>5733.2000000000007</v>
      </c>
      <c r="Y1368">
        <f t="shared" si="109"/>
        <v>1089.308</v>
      </c>
      <c r="Z1368" s="8" t="str">
        <f t="shared" si="106"/>
        <v>Medium</v>
      </c>
      <c r="AA1368" s="12">
        <f>DATE(YEAR(Table1[[#This Row],[OrderDate]]),MONTH(Table1[[#This Row],[OrderDate]]),1)</f>
        <v>45597</v>
      </c>
    </row>
    <row r="1369" spans="1:27" x14ac:dyDescent="0.3">
      <c r="A1369" s="3">
        <v>45663</v>
      </c>
      <c r="B1369" t="s">
        <v>11</v>
      </c>
      <c r="C1369" t="s">
        <v>34</v>
      </c>
      <c r="D1369" t="str">
        <f>TRIM(Table1[[#This Row],[Product]])</f>
        <v>Printer</v>
      </c>
      <c r="E1369" t="str">
        <f>PROPER(Table1[[#This Row],[Column1]])</f>
        <v>Printer</v>
      </c>
      <c r="F1369" s="8" t="str">
        <f t="shared" si="105"/>
        <v>Office Supplies</v>
      </c>
      <c r="G1369" s="5">
        <v>13</v>
      </c>
      <c r="H1369">
        <v>483.63</v>
      </c>
      <c r="I1369" t="s">
        <v>64</v>
      </c>
      <c r="J1369" t="s">
        <v>65</v>
      </c>
      <c r="K1369" s="7">
        <v>0.05</v>
      </c>
      <c r="L1369" t="s">
        <v>21</v>
      </c>
      <c r="M1369" s="5">
        <v>5972.8304999999991</v>
      </c>
      <c r="N1369" t="s">
        <v>88</v>
      </c>
      <c r="O1369" t="s">
        <v>60</v>
      </c>
      <c r="P1369" s="5">
        <v>0</v>
      </c>
      <c r="Q1369" t="s">
        <v>2706</v>
      </c>
      <c r="R1369" t="s">
        <v>2707</v>
      </c>
      <c r="S1369" s="5">
        <v>18.22</v>
      </c>
      <c r="T1369" s="3">
        <v>45663</v>
      </c>
      <c r="U1369" s="3">
        <v>45672</v>
      </c>
      <c r="V1369" t="s">
        <v>74</v>
      </c>
      <c r="W1369">
        <f t="shared" si="107"/>
        <v>5674.1889749999991</v>
      </c>
      <c r="X1369">
        <f t="shared" si="108"/>
        <v>6287.19</v>
      </c>
      <c r="Y1369">
        <f t="shared" si="109"/>
        <v>613.00102500000048</v>
      </c>
      <c r="Z1369" s="8" t="str">
        <f t="shared" si="106"/>
        <v>Medium</v>
      </c>
      <c r="AA1369" s="12">
        <f>DATE(YEAR(Table1[[#This Row],[OrderDate]]),MONTH(Table1[[#This Row],[OrderDate]]),1)</f>
        <v>45658</v>
      </c>
    </row>
    <row r="1370" spans="1:27" x14ac:dyDescent="0.3">
      <c r="A1370" s="3">
        <v>45031</v>
      </c>
      <c r="B1370" t="s">
        <v>16</v>
      </c>
      <c r="C1370" t="s">
        <v>35</v>
      </c>
      <c r="D1370" t="str">
        <f>TRIM(Table1[[#This Row],[Product]])</f>
        <v>Tablet</v>
      </c>
      <c r="E1370" t="str">
        <f>PROPER(Table1[[#This Row],[Column1]])</f>
        <v>Tablet</v>
      </c>
      <c r="F1370" s="8" t="str">
        <f t="shared" si="105"/>
        <v>Technology</v>
      </c>
      <c r="G1370" s="5">
        <v>8</v>
      </c>
      <c r="H1370">
        <v>304.14999999999998</v>
      </c>
      <c r="I1370" t="s">
        <v>57</v>
      </c>
      <c r="J1370" t="s">
        <v>58</v>
      </c>
      <c r="K1370" s="7">
        <v>0.05</v>
      </c>
      <c r="L1370" t="s">
        <v>21</v>
      </c>
      <c r="M1370" s="5">
        <v>2311.54</v>
      </c>
      <c r="N1370" t="s">
        <v>85</v>
      </c>
      <c r="P1370" s="5">
        <v>0</v>
      </c>
      <c r="Q1370" t="s">
        <v>2708</v>
      </c>
      <c r="R1370" t="s">
        <v>2709</v>
      </c>
      <c r="S1370" s="5">
        <v>41.73</v>
      </c>
      <c r="T1370" s="3">
        <v>45031</v>
      </c>
      <c r="U1370" s="3">
        <v>45034</v>
      </c>
      <c r="V1370" t="s">
        <v>95</v>
      </c>
      <c r="W1370">
        <f t="shared" si="107"/>
        <v>2195.9629999999997</v>
      </c>
      <c r="X1370">
        <f t="shared" si="108"/>
        <v>2433.1999999999998</v>
      </c>
      <c r="Y1370">
        <f t="shared" si="109"/>
        <v>237.23700000000008</v>
      </c>
      <c r="Z1370" s="8" t="str">
        <f t="shared" si="106"/>
        <v>Medium</v>
      </c>
      <c r="AA1370" s="12">
        <f>DATE(YEAR(Table1[[#This Row],[OrderDate]]),MONTH(Table1[[#This Row],[OrderDate]]),1)</f>
        <v>45017</v>
      </c>
    </row>
    <row r="1371" spans="1:27" x14ac:dyDescent="0.3">
      <c r="A1371" s="3">
        <v>45329</v>
      </c>
      <c r="B1371" t="s">
        <v>9</v>
      </c>
      <c r="C1371" t="s">
        <v>34</v>
      </c>
      <c r="D1371" t="str">
        <f>TRIM(Table1[[#This Row],[Product]])</f>
        <v>Printer</v>
      </c>
      <c r="E1371" t="str">
        <f>PROPER(Table1[[#This Row],[Column1]])</f>
        <v>Printer</v>
      </c>
      <c r="F1371" s="8" t="str">
        <f t="shared" si="105"/>
        <v>Office Supplies</v>
      </c>
      <c r="G1371" s="5">
        <v>10</v>
      </c>
      <c r="H1371">
        <v>452.21</v>
      </c>
      <c r="I1371" t="s">
        <v>64</v>
      </c>
      <c r="J1371" t="s">
        <v>65</v>
      </c>
      <c r="K1371" s="7">
        <v>0.1</v>
      </c>
      <c r="L1371" t="s">
        <v>25</v>
      </c>
      <c r="M1371" s="5">
        <v>4069.889999999999</v>
      </c>
      <c r="N1371" t="s">
        <v>88</v>
      </c>
      <c r="O1371" t="s">
        <v>71</v>
      </c>
      <c r="P1371" s="5">
        <v>0</v>
      </c>
      <c r="Q1371" t="s">
        <v>2710</v>
      </c>
      <c r="R1371" t="s">
        <v>2711</v>
      </c>
      <c r="S1371" s="5">
        <v>15.87</v>
      </c>
      <c r="T1371" s="3">
        <v>45329</v>
      </c>
      <c r="U1371" s="3">
        <v>45339</v>
      </c>
      <c r="V1371" t="s">
        <v>63</v>
      </c>
      <c r="W1371">
        <f t="shared" si="107"/>
        <v>3662.9009999999989</v>
      </c>
      <c r="X1371">
        <f t="shared" si="108"/>
        <v>4522.0999999999995</v>
      </c>
      <c r="Y1371">
        <f t="shared" si="109"/>
        <v>859.19900000000052</v>
      </c>
      <c r="Z1371" s="8" t="str">
        <f t="shared" si="106"/>
        <v>Medium</v>
      </c>
      <c r="AA1371" s="12">
        <f>DATE(YEAR(Table1[[#This Row],[OrderDate]]),MONTH(Table1[[#This Row],[OrderDate]]),1)</f>
        <v>45323</v>
      </c>
    </row>
    <row r="1372" spans="1:27" x14ac:dyDescent="0.3">
      <c r="A1372" s="3">
        <v>45079</v>
      </c>
      <c r="B1372" t="s">
        <v>9</v>
      </c>
      <c r="C1372" t="s">
        <v>34</v>
      </c>
      <c r="D1372" t="str">
        <f>TRIM(Table1[[#This Row],[Product]])</f>
        <v>Printer</v>
      </c>
      <c r="E1372" t="str">
        <f>PROPER(Table1[[#This Row],[Column1]])</f>
        <v>Printer</v>
      </c>
      <c r="F1372" s="8" t="str">
        <f t="shared" si="105"/>
        <v>Office Supplies</v>
      </c>
      <c r="G1372" s="5">
        <v>4</v>
      </c>
      <c r="H1372">
        <v>248.16</v>
      </c>
      <c r="I1372" t="s">
        <v>57</v>
      </c>
      <c r="J1372" t="s">
        <v>65</v>
      </c>
      <c r="K1372" s="7">
        <v>0.1</v>
      </c>
      <c r="L1372" t="s">
        <v>23</v>
      </c>
      <c r="M1372" s="5">
        <v>893.37599999999998</v>
      </c>
      <c r="N1372" t="s">
        <v>82</v>
      </c>
      <c r="P1372" s="5">
        <v>1</v>
      </c>
      <c r="Q1372" t="s">
        <v>2712</v>
      </c>
      <c r="R1372" t="s">
        <v>2713</v>
      </c>
      <c r="S1372" s="5">
        <v>45.11</v>
      </c>
      <c r="T1372" s="3">
        <v>45079</v>
      </c>
      <c r="U1372" s="3">
        <v>45082</v>
      </c>
      <c r="V1372" t="s">
        <v>63</v>
      </c>
      <c r="W1372">
        <f t="shared" si="107"/>
        <v>804.03840000000002</v>
      </c>
      <c r="X1372">
        <f t="shared" si="108"/>
        <v>992.64</v>
      </c>
      <c r="Y1372">
        <f t="shared" si="109"/>
        <v>188.60159999999996</v>
      </c>
      <c r="Z1372" s="8" t="str">
        <f t="shared" si="106"/>
        <v>Medium</v>
      </c>
      <c r="AA1372" s="12">
        <f>DATE(YEAR(Table1[[#This Row],[OrderDate]]),MONTH(Table1[[#This Row],[OrderDate]]),1)</f>
        <v>45078</v>
      </c>
    </row>
    <row r="1373" spans="1:27" x14ac:dyDescent="0.3">
      <c r="A1373" s="3">
        <v>45162</v>
      </c>
      <c r="B1373" t="s">
        <v>9</v>
      </c>
      <c r="C1373" t="s">
        <v>31</v>
      </c>
      <c r="D1373" t="str">
        <f>TRIM(Table1[[#This Row],[Product]])</f>
        <v>Laptop</v>
      </c>
      <c r="E1373" t="str">
        <f>PROPER(Table1[[#This Row],[Column1]])</f>
        <v>Laptop</v>
      </c>
      <c r="F1373" s="8" t="str">
        <f t="shared" si="105"/>
        <v>Technology</v>
      </c>
      <c r="G1373" s="5">
        <v>4</v>
      </c>
      <c r="H1373">
        <v>520</v>
      </c>
      <c r="I1373" t="s">
        <v>64</v>
      </c>
      <c r="J1373" t="s">
        <v>65</v>
      </c>
      <c r="K1373" s="7">
        <v>0</v>
      </c>
      <c r="L1373" t="s">
        <v>25</v>
      </c>
      <c r="M1373" s="5">
        <v>2080</v>
      </c>
      <c r="N1373" t="s">
        <v>82</v>
      </c>
      <c r="O1373" t="s">
        <v>71</v>
      </c>
      <c r="P1373" s="5">
        <v>0</v>
      </c>
      <c r="Q1373" t="s">
        <v>2714</v>
      </c>
      <c r="R1373" t="s">
        <v>2715</v>
      </c>
      <c r="S1373" s="5">
        <v>18.25</v>
      </c>
      <c r="T1373" s="3">
        <v>45162</v>
      </c>
      <c r="U1373" s="3">
        <v>45171</v>
      </c>
      <c r="V1373" t="s">
        <v>63</v>
      </c>
      <c r="W1373">
        <f t="shared" si="107"/>
        <v>2080</v>
      </c>
      <c r="X1373">
        <f t="shared" si="108"/>
        <v>2080</v>
      </c>
      <c r="Y1373">
        <f t="shared" si="109"/>
        <v>0</v>
      </c>
      <c r="Z1373" s="8" t="str">
        <f t="shared" si="106"/>
        <v>No Discount</v>
      </c>
      <c r="AA1373" s="12">
        <f>DATE(YEAR(Table1[[#This Row],[OrderDate]]),MONTH(Table1[[#This Row],[OrderDate]]),1)</f>
        <v>45139</v>
      </c>
    </row>
    <row r="1374" spans="1:27" x14ac:dyDescent="0.3">
      <c r="A1374" s="3">
        <v>45632</v>
      </c>
      <c r="B1374" t="s">
        <v>13</v>
      </c>
      <c r="C1374" t="s">
        <v>29</v>
      </c>
      <c r="D1374" t="str">
        <f>TRIM(Table1[[#This Row],[Product]])</f>
        <v>Chair</v>
      </c>
      <c r="E1374" t="str">
        <f>PROPER(Table1[[#This Row],[Column1]])</f>
        <v>Chair</v>
      </c>
      <c r="F1374" s="8" t="str">
        <f t="shared" si="105"/>
        <v>Furniture</v>
      </c>
      <c r="G1374" s="5">
        <v>11</v>
      </c>
      <c r="H1374">
        <v>571.07000000000005</v>
      </c>
      <c r="I1374" t="s">
        <v>64</v>
      </c>
      <c r="J1374" t="s">
        <v>65</v>
      </c>
      <c r="K1374" s="7">
        <v>0</v>
      </c>
      <c r="L1374" t="s">
        <v>27</v>
      </c>
      <c r="M1374" s="5">
        <v>6281.77</v>
      </c>
      <c r="N1374" t="s">
        <v>66</v>
      </c>
      <c r="O1374" t="s">
        <v>67</v>
      </c>
      <c r="P1374" s="5">
        <v>0</v>
      </c>
      <c r="Q1374" t="s">
        <v>2716</v>
      </c>
      <c r="R1374" t="s">
        <v>2717</v>
      </c>
      <c r="S1374" s="5">
        <v>12.6</v>
      </c>
      <c r="T1374" s="3">
        <v>45632</v>
      </c>
      <c r="U1374" s="3">
        <v>45637</v>
      </c>
      <c r="V1374" t="s">
        <v>70</v>
      </c>
      <c r="W1374">
        <f t="shared" si="107"/>
        <v>6281.77</v>
      </c>
      <c r="X1374">
        <f t="shared" si="108"/>
        <v>6281.77</v>
      </c>
      <c r="Y1374">
        <f t="shared" si="109"/>
        <v>0</v>
      </c>
      <c r="Z1374" s="8" t="str">
        <f t="shared" si="106"/>
        <v>No Discount</v>
      </c>
      <c r="AA1374" s="12">
        <f>DATE(YEAR(Table1[[#This Row],[OrderDate]]),MONTH(Table1[[#This Row],[OrderDate]]),1)</f>
        <v>45627</v>
      </c>
    </row>
    <row r="1375" spans="1:27" x14ac:dyDescent="0.3">
      <c r="A1375" s="3">
        <v>45268</v>
      </c>
      <c r="B1375" t="s">
        <v>9</v>
      </c>
      <c r="C1375" t="s">
        <v>35</v>
      </c>
      <c r="D1375" t="str">
        <f>TRIM(Table1[[#This Row],[Product]])</f>
        <v>Tablet</v>
      </c>
      <c r="E1375" t="str">
        <f>PROPER(Table1[[#This Row],[Column1]])</f>
        <v>Tablet</v>
      </c>
      <c r="F1375" s="8" t="str">
        <f t="shared" si="105"/>
        <v>Technology</v>
      </c>
      <c r="G1375" s="5">
        <v>11</v>
      </c>
      <c r="H1375">
        <v>65.569999999999993</v>
      </c>
      <c r="I1375" t="s">
        <v>81</v>
      </c>
      <c r="J1375" t="s">
        <v>65</v>
      </c>
      <c r="K1375" s="7">
        <v>0.1</v>
      </c>
      <c r="L1375" t="s">
        <v>23</v>
      </c>
      <c r="M1375" s="5">
        <v>649.14300000000003</v>
      </c>
      <c r="N1375" t="s">
        <v>85</v>
      </c>
      <c r="O1375" t="s">
        <v>67</v>
      </c>
      <c r="P1375" s="5">
        <v>1</v>
      </c>
      <c r="Q1375" t="s">
        <v>2718</v>
      </c>
      <c r="R1375" t="s">
        <v>2719</v>
      </c>
      <c r="S1375" s="5">
        <v>30.43</v>
      </c>
      <c r="T1375" s="3">
        <v>45268</v>
      </c>
      <c r="U1375" s="3">
        <v>45274</v>
      </c>
      <c r="V1375" t="s">
        <v>63</v>
      </c>
      <c r="W1375">
        <f t="shared" si="107"/>
        <v>584.2287</v>
      </c>
      <c r="X1375">
        <f t="shared" si="108"/>
        <v>721.27</v>
      </c>
      <c r="Y1375">
        <f t="shared" si="109"/>
        <v>137.04129999999998</v>
      </c>
      <c r="Z1375" s="8" t="str">
        <f t="shared" si="106"/>
        <v>Medium</v>
      </c>
      <c r="AA1375" s="12">
        <f>DATE(YEAR(Table1[[#This Row],[OrderDate]]),MONTH(Table1[[#This Row],[OrderDate]]),1)</f>
        <v>45261</v>
      </c>
    </row>
    <row r="1376" spans="1:27" x14ac:dyDescent="0.3">
      <c r="A1376" s="3">
        <v>45058</v>
      </c>
      <c r="B1376" t="s">
        <v>13</v>
      </c>
      <c r="C1376" t="s">
        <v>35</v>
      </c>
      <c r="D1376" t="str">
        <f>TRIM(Table1[[#This Row],[Product]])</f>
        <v>Tablet</v>
      </c>
      <c r="E1376" t="str">
        <f>PROPER(Table1[[#This Row],[Column1]])</f>
        <v>Tablet</v>
      </c>
      <c r="F1376" s="8" t="str">
        <f t="shared" si="105"/>
        <v>Technology</v>
      </c>
      <c r="G1376" s="5">
        <v>4</v>
      </c>
      <c r="H1376">
        <v>397.02</v>
      </c>
      <c r="I1376" t="s">
        <v>64</v>
      </c>
      <c r="J1376" t="s">
        <v>58</v>
      </c>
      <c r="K1376" s="7">
        <v>0</v>
      </c>
      <c r="L1376" t="s">
        <v>27</v>
      </c>
      <c r="M1376" s="5">
        <v>1588.08</v>
      </c>
      <c r="N1376" t="s">
        <v>88</v>
      </c>
      <c r="O1376" t="s">
        <v>60</v>
      </c>
      <c r="P1376" s="5">
        <v>0</v>
      </c>
      <c r="Q1376" t="s">
        <v>2720</v>
      </c>
      <c r="R1376" t="s">
        <v>2721</v>
      </c>
      <c r="S1376" s="5">
        <v>23.25</v>
      </c>
      <c r="T1376" s="3">
        <v>45058</v>
      </c>
      <c r="U1376" s="3">
        <v>45066</v>
      </c>
      <c r="V1376" t="s">
        <v>70</v>
      </c>
      <c r="W1376">
        <f t="shared" si="107"/>
        <v>1588.08</v>
      </c>
      <c r="X1376">
        <f t="shared" si="108"/>
        <v>1588.08</v>
      </c>
      <c r="Y1376">
        <f t="shared" si="109"/>
        <v>0</v>
      </c>
      <c r="Z1376" s="8" t="str">
        <f t="shared" si="106"/>
        <v>No Discount</v>
      </c>
      <c r="AA1376" s="12">
        <f>DATE(YEAR(Table1[[#This Row],[OrderDate]]),MONTH(Table1[[#This Row],[OrderDate]]),1)</f>
        <v>45047</v>
      </c>
    </row>
    <row r="1377" spans="1:27" x14ac:dyDescent="0.3">
      <c r="A1377" s="3">
        <v>45771</v>
      </c>
      <c r="B1377" t="s">
        <v>16</v>
      </c>
      <c r="C1377" t="s">
        <v>31</v>
      </c>
      <c r="D1377" t="str">
        <f>TRIM(Table1[[#This Row],[Product]])</f>
        <v>Laptop</v>
      </c>
      <c r="E1377" t="str">
        <f>PROPER(Table1[[#This Row],[Column1]])</f>
        <v>Laptop</v>
      </c>
      <c r="F1377" s="8" t="str">
        <f t="shared" si="105"/>
        <v>Technology</v>
      </c>
      <c r="G1377" s="5">
        <v>10</v>
      </c>
      <c r="H1377">
        <v>169.35</v>
      </c>
      <c r="I1377" t="s">
        <v>57</v>
      </c>
      <c r="J1377" t="s">
        <v>65</v>
      </c>
      <c r="K1377" s="7">
        <v>0.05</v>
      </c>
      <c r="L1377" t="s">
        <v>18</v>
      </c>
      <c r="M1377" s="5">
        <v>1608.825</v>
      </c>
      <c r="N1377" t="s">
        <v>82</v>
      </c>
      <c r="O1377" t="s">
        <v>71</v>
      </c>
      <c r="P1377" s="5">
        <v>0</v>
      </c>
      <c r="Q1377" t="s">
        <v>2722</v>
      </c>
      <c r="R1377" t="s">
        <v>2723</v>
      </c>
      <c r="S1377" s="5">
        <v>44.91</v>
      </c>
      <c r="T1377" s="3">
        <v>45771</v>
      </c>
      <c r="U1377" s="3">
        <v>45774</v>
      </c>
      <c r="V1377" t="s">
        <v>95</v>
      </c>
      <c r="W1377">
        <f t="shared" si="107"/>
        <v>1528.38375</v>
      </c>
      <c r="X1377">
        <f t="shared" si="108"/>
        <v>1693.5</v>
      </c>
      <c r="Y1377">
        <f t="shared" si="109"/>
        <v>165.11625000000004</v>
      </c>
      <c r="Z1377" s="8" t="str">
        <f t="shared" si="106"/>
        <v>Medium</v>
      </c>
      <c r="AA1377" s="12">
        <f>DATE(YEAR(Table1[[#This Row],[OrderDate]]),MONTH(Table1[[#This Row],[OrderDate]]),1)</f>
        <v>45748</v>
      </c>
    </row>
    <row r="1378" spans="1:27" x14ac:dyDescent="0.3">
      <c r="A1378" s="3">
        <v>45039</v>
      </c>
      <c r="B1378" t="s">
        <v>7</v>
      </c>
      <c r="C1378" t="s">
        <v>35</v>
      </c>
      <c r="D1378" t="str">
        <f>TRIM(Table1[[#This Row],[Product]])</f>
        <v>Tablet</v>
      </c>
      <c r="E1378" t="str">
        <f>PROPER(Table1[[#This Row],[Column1]])</f>
        <v>Tablet</v>
      </c>
      <c r="F1378" s="8" t="str">
        <f t="shared" si="105"/>
        <v>Technology</v>
      </c>
      <c r="G1378" s="5">
        <v>9</v>
      </c>
      <c r="H1378">
        <v>340.44</v>
      </c>
      <c r="I1378" t="s">
        <v>81</v>
      </c>
      <c r="J1378" t="s">
        <v>65</v>
      </c>
      <c r="K1378" s="7">
        <v>0.05</v>
      </c>
      <c r="L1378" t="s">
        <v>21</v>
      </c>
      <c r="M1378" s="5">
        <v>2910.7620000000002</v>
      </c>
      <c r="N1378" t="s">
        <v>85</v>
      </c>
      <c r="O1378" t="s">
        <v>60</v>
      </c>
      <c r="P1378" s="5">
        <v>1</v>
      </c>
      <c r="Q1378" t="s">
        <v>2724</v>
      </c>
      <c r="R1378" t="s">
        <v>2725</v>
      </c>
      <c r="S1378" s="5">
        <v>36.68</v>
      </c>
      <c r="T1378" s="3">
        <v>45039</v>
      </c>
      <c r="U1378" s="3">
        <v>45049</v>
      </c>
      <c r="V1378" t="s">
        <v>77</v>
      </c>
      <c r="W1378">
        <f t="shared" si="107"/>
        <v>2765.2239</v>
      </c>
      <c r="X1378">
        <f t="shared" si="108"/>
        <v>3063.96</v>
      </c>
      <c r="Y1378">
        <f t="shared" si="109"/>
        <v>298.73610000000008</v>
      </c>
      <c r="Z1378" s="8" t="str">
        <f t="shared" si="106"/>
        <v>Medium</v>
      </c>
      <c r="AA1378" s="12">
        <f>DATE(YEAR(Table1[[#This Row],[OrderDate]]),MONTH(Table1[[#This Row],[OrderDate]]),1)</f>
        <v>45017</v>
      </c>
    </row>
    <row r="1379" spans="1:27" x14ac:dyDescent="0.3">
      <c r="A1379" s="3">
        <v>44944</v>
      </c>
      <c r="B1379" t="s">
        <v>11</v>
      </c>
      <c r="C1379" t="s">
        <v>32</v>
      </c>
      <c r="D1379" t="str">
        <f>TRIM(Table1[[#This Row],[Product]])</f>
        <v>Monitor</v>
      </c>
      <c r="E1379" t="str">
        <f>PROPER(Table1[[#This Row],[Column1]])</f>
        <v>Monitor</v>
      </c>
      <c r="F1379" s="8" t="str">
        <f t="shared" si="105"/>
        <v>Technology</v>
      </c>
      <c r="G1379" s="5">
        <v>1</v>
      </c>
      <c r="H1379">
        <v>120.2</v>
      </c>
      <c r="I1379" t="s">
        <v>81</v>
      </c>
      <c r="J1379" t="s">
        <v>65</v>
      </c>
      <c r="K1379" s="7">
        <v>0.05</v>
      </c>
      <c r="L1379" t="s">
        <v>21</v>
      </c>
      <c r="M1379" s="5">
        <v>114.19</v>
      </c>
      <c r="N1379" t="s">
        <v>59</v>
      </c>
      <c r="O1379" t="s">
        <v>71</v>
      </c>
      <c r="P1379" s="5">
        <v>0</v>
      </c>
      <c r="Q1379" t="s">
        <v>2726</v>
      </c>
      <c r="R1379" t="s">
        <v>2595</v>
      </c>
      <c r="S1379" s="5">
        <v>44.99</v>
      </c>
      <c r="T1379" s="3">
        <v>44944</v>
      </c>
      <c r="U1379" s="3">
        <v>44947</v>
      </c>
      <c r="V1379" t="s">
        <v>74</v>
      </c>
      <c r="W1379">
        <f t="shared" si="107"/>
        <v>108.48049999999999</v>
      </c>
      <c r="X1379">
        <f t="shared" si="108"/>
        <v>120.2</v>
      </c>
      <c r="Y1379">
        <f t="shared" si="109"/>
        <v>11.719500000000011</v>
      </c>
      <c r="Z1379" s="8" t="str">
        <f t="shared" si="106"/>
        <v>Medium</v>
      </c>
      <c r="AA1379" s="12">
        <f>DATE(YEAR(Table1[[#This Row],[OrderDate]]),MONTH(Table1[[#This Row],[OrderDate]]),1)</f>
        <v>44927</v>
      </c>
    </row>
    <row r="1380" spans="1:27" x14ac:dyDescent="0.3">
      <c r="A1380" s="3">
        <v>45788</v>
      </c>
      <c r="B1380" t="s">
        <v>11</v>
      </c>
      <c r="C1380" t="s">
        <v>33</v>
      </c>
      <c r="D1380" t="str">
        <f>TRIM(Table1[[#This Row],[Product]])</f>
        <v>Phone</v>
      </c>
      <c r="E1380" t="str">
        <f>PROPER(Table1[[#This Row],[Column1]])</f>
        <v>Phone</v>
      </c>
      <c r="F1380" s="8" t="str">
        <f t="shared" si="105"/>
        <v>Technology</v>
      </c>
      <c r="G1380" s="5">
        <v>13</v>
      </c>
      <c r="H1380">
        <v>169.39</v>
      </c>
      <c r="I1380" t="s">
        <v>57</v>
      </c>
      <c r="J1380" t="s">
        <v>58</v>
      </c>
      <c r="K1380" s="7">
        <v>0.15</v>
      </c>
      <c r="L1380" t="s">
        <v>23</v>
      </c>
      <c r="M1380" s="5">
        <v>1871.7594999999999</v>
      </c>
      <c r="N1380" t="s">
        <v>82</v>
      </c>
      <c r="P1380" s="5">
        <v>0</v>
      </c>
      <c r="Q1380" t="s">
        <v>2727</v>
      </c>
      <c r="R1380" t="s">
        <v>2728</v>
      </c>
      <c r="S1380" s="5">
        <v>6.81</v>
      </c>
      <c r="T1380" s="3">
        <v>45788</v>
      </c>
      <c r="U1380" s="3">
        <v>45798</v>
      </c>
      <c r="V1380" t="s">
        <v>74</v>
      </c>
      <c r="W1380">
        <f t="shared" si="107"/>
        <v>1590.9955749999999</v>
      </c>
      <c r="X1380">
        <f t="shared" si="108"/>
        <v>2202.0699999999997</v>
      </c>
      <c r="Y1380">
        <f t="shared" si="109"/>
        <v>611.07442499999979</v>
      </c>
      <c r="Z1380" s="8" t="str">
        <f t="shared" si="106"/>
        <v>High</v>
      </c>
      <c r="AA1380" s="12">
        <f>DATE(YEAR(Table1[[#This Row],[OrderDate]]),MONTH(Table1[[#This Row],[OrderDate]]),1)</f>
        <v>45778</v>
      </c>
    </row>
    <row r="1381" spans="1:27" x14ac:dyDescent="0.3">
      <c r="A1381" s="3">
        <v>45649</v>
      </c>
      <c r="B1381" t="s">
        <v>16</v>
      </c>
      <c r="C1381" t="s">
        <v>35</v>
      </c>
      <c r="D1381" t="str">
        <f>TRIM(Table1[[#This Row],[Product]])</f>
        <v>Tablet</v>
      </c>
      <c r="E1381" t="str">
        <f>PROPER(Table1[[#This Row],[Column1]])</f>
        <v>Tablet</v>
      </c>
      <c r="F1381" s="8" t="str">
        <f t="shared" si="105"/>
        <v>Technology</v>
      </c>
      <c r="G1381" s="5">
        <v>10</v>
      </c>
      <c r="H1381">
        <v>170.72</v>
      </c>
      <c r="I1381" t="s">
        <v>64</v>
      </c>
      <c r="J1381" t="s">
        <v>58</v>
      </c>
      <c r="K1381" s="7">
        <v>0.05</v>
      </c>
      <c r="L1381" t="s">
        <v>27</v>
      </c>
      <c r="M1381" s="5">
        <v>1621.84</v>
      </c>
      <c r="N1381" t="s">
        <v>59</v>
      </c>
      <c r="O1381" t="s">
        <v>60</v>
      </c>
      <c r="P1381" s="5">
        <v>0</v>
      </c>
      <c r="Q1381" t="s">
        <v>2729</v>
      </c>
      <c r="R1381" t="s">
        <v>2730</v>
      </c>
      <c r="S1381" s="5">
        <v>29.18</v>
      </c>
      <c r="T1381" s="3">
        <v>45649</v>
      </c>
      <c r="U1381" s="3">
        <v>45659</v>
      </c>
      <c r="V1381" t="s">
        <v>95</v>
      </c>
      <c r="W1381">
        <f t="shared" si="107"/>
        <v>1540.7479999999998</v>
      </c>
      <c r="X1381">
        <f t="shared" si="108"/>
        <v>1707.2</v>
      </c>
      <c r="Y1381">
        <f t="shared" si="109"/>
        <v>166.45200000000023</v>
      </c>
      <c r="Z1381" s="8" t="str">
        <f t="shared" si="106"/>
        <v>Medium</v>
      </c>
      <c r="AA1381" s="12">
        <f>DATE(YEAR(Table1[[#This Row],[OrderDate]]),MONTH(Table1[[#This Row],[OrderDate]]),1)</f>
        <v>45627</v>
      </c>
    </row>
    <row r="1382" spans="1:27" x14ac:dyDescent="0.3">
      <c r="A1382" s="3">
        <v>45158</v>
      </c>
      <c r="B1382" t="s">
        <v>16</v>
      </c>
      <c r="C1382" t="s">
        <v>30</v>
      </c>
      <c r="D1382" t="str">
        <f>TRIM(Table1[[#This Row],[Product]])</f>
        <v>Desk</v>
      </c>
      <c r="E1382" t="str">
        <f>PROPER(Table1[[#This Row],[Column1]])</f>
        <v>Desk</v>
      </c>
      <c r="F1382" s="8" t="str">
        <f t="shared" si="105"/>
        <v>Furniture</v>
      </c>
      <c r="G1382" s="5">
        <v>9</v>
      </c>
      <c r="H1382">
        <v>323.77</v>
      </c>
      <c r="I1382" t="s">
        <v>64</v>
      </c>
      <c r="J1382" t="s">
        <v>58</v>
      </c>
      <c r="K1382" s="7">
        <v>0.15</v>
      </c>
      <c r="L1382" t="s">
        <v>21</v>
      </c>
      <c r="M1382" s="5">
        <v>2476.8404999999998</v>
      </c>
      <c r="N1382" t="s">
        <v>85</v>
      </c>
      <c r="P1382" s="5">
        <v>0</v>
      </c>
      <c r="Q1382" t="s">
        <v>2731</v>
      </c>
      <c r="R1382" t="s">
        <v>2732</v>
      </c>
      <c r="S1382" s="5">
        <v>6.36</v>
      </c>
      <c r="T1382" s="3">
        <v>45158</v>
      </c>
      <c r="U1382" s="3">
        <v>45166</v>
      </c>
      <c r="V1382" t="s">
        <v>95</v>
      </c>
      <c r="W1382">
        <f t="shared" si="107"/>
        <v>2105.3144249999996</v>
      </c>
      <c r="X1382">
        <f t="shared" si="108"/>
        <v>2913.93</v>
      </c>
      <c r="Y1382">
        <f t="shared" si="109"/>
        <v>808.61557500000026</v>
      </c>
      <c r="Z1382" s="8" t="str">
        <f t="shared" si="106"/>
        <v>High</v>
      </c>
      <c r="AA1382" s="12">
        <f>DATE(YEAR(Table1[[#This Row],[OrderDate]]),MONTH(Table1[[#This Row],[OrderDate]]),1)</f>
        <v>45139</v>
      </c>
    </row>
    <row r="1383" spans="1:27" x14ac:dyDescent="0.3">
      <c r="A1383" s="3">
        <v>45734</v>
      </c>
      <c r="B1383" t="s">
        <v>7</v>
      </c>
      <c r="C1383" t="s">
        <v>29</v>
      </c>
      <c r="D1383" t="str">
        <f>TRIM(Table1[[#This Row],[Product]])</f>
        <v>Chair</v>
      </c>
      <c r="E1383" t="str">
        <f>PROPER(Table1[[#This Row],[Column1]])</f>
        <v>Chair</v>
      </c>
      <c r="F1383" s="8" t="str">
        <f t="shared" si="105"/>
        <v>Furniture</v>
      </c>
      <c r="G1383" s="5">
        <v>4</v>
      </c>
      <c r="H1383">
        <v>481.86</v>
      </c>
      <c r="I1383" t="s">
        <v>57</v>
      </c>
      <c r="J1383" t="s">
        <v>58</v>
      </c>
      <c r="K1383" s="7">
        <v>0</v>
      </c>
      <c r="L1383" t="s">
        <v>19</v>
      </c>
      <c r="M1383" s="5">
        <v>1927.44</v>
      </c>
      <c r="N1383" t="s">
        <v>59</v>
      </c>
      <c r="O1383" t="s">
        <v>60</v>
      </c>
      <c r="P1383" s="5">
        <v>0</v>
      </c>
      <c r="Q1383" t="s">
        <v>2733</v>
      </c>
      <c r="R1383" t="s">
        <v>2734</v>
      </c>
      <c r="S1383" s="5">
        <v>21.92</v>
      </c>
      <c r="T1383" s="3">
        <v>45734</v>
      </c>
      <c r="U1383" s="3">
        <v>45739</v>
      </c>
      <c r="V1383" t="s">
        <v>77</v>
      </c>
      <c r="W1383">
        <f t="shared" si="107"/>
        <v>1927.44</v>
      </c>
      <c r="X1383">
        <f t="shared" si="108"/>
        <v>1927.44</v>
      </c>
      <c r="Y1383">
        <f t="shared" si="109"/>
        <v>0</v>
      </c>
      <c r="Z1383" s="8" t="str">
        <f t="shared" si="106"/>
        <v>No Discount</v>
      </c>
      <c r="AA1383" s="12">
        <f>DATE(YEAR(Table1[[#This Row],[OrderDate]]),MONTH(Table1[[#This Row],[OrderDate]]),1)</f>
        <v>45717</v>
      </c>
    </row>
    <row r="1384" spans="1:27" x14ac:dyDescent="0.3">
      <c r="A1384" s="3">
        <v>45307</v>
      </c>
      <c r="B1384" t="s">
        <v>7</v>
      </c>
      <c r="C1384" t="s">
        <v>33</v>
      </c>
      <c r="D1384" t="str">
        <f>TRIM(Table1[[#This Row],[Product]])</f>
        <v>Phone</v>
      </c>
      <c r="E1384" t="str">
        <f>PROPER(Table1[[#This Row],[Column1]])</f>
        <v>Phone</v>
      </c>
      <c r="F1384" s="8" t="str">
        <f t="shared" si="105"/>
        <v>Technology</v>
      </c>
      <c r="G1384" s="5">
        <v>4</v>
      </c>
      <c r="H1384">
        <v>78.05</v>
      </c>
      <c r="I1384" t="s">
        <v>64</v>
      </c>
      <c r="J1384" t="s">
        <v>65</v>
      </c>
      <c r="K1384" s="7">
        <v>0</v>
      </c>
      <c r="L1384" t="s">
        <v>21</v>
      </c>
      <c r="M1384" s="5">
        <v>312.2</v>
      </c>
      <c r="N1384" t="s">
        <v>82</v>
      </c>
      <c r="P1384" s="5">
        <v>0</v>
      </c>
      <c r="Q1384" t="s">
        <v>2735</v>
      </c>
      <c r="R1384" t="s">
        <v>2736</v>
      </c>
      <c r="S1384" s="5">
        <v>14.03</v>
      </c>
      <c r="T1384" s="3">
        <v>45307</v>
      </c>
      <c r="U1384" s="3">
        <v>45315</v>
      </c>
      <c r="V1384" t="s">
        <v>77</v>
      </c>
      <c r="W1384">
        <f t="shared" si="107"/>
        <v>312.2</v>
      </c>
      <c r="X1384">
        <f t="shared" si="108"/>
        <v>312.2</v>
      </c>
      <c r="Y1384">
        <f t="shared" si="109"/>
        <v>0</v>
      </c>
      <c r="Z1384" s="8" t="str">
        <f t="shared" si="106"/>
        <v>No Discount</v>
      </c>
      <c r="AA1384" s="12">
        <f>DATE(YEAR(Table1[[#This Row],[OrderDate]]),MONTH(Table1[[#This Row],[OrderDate]]),1)</f>
        <v>45292</v>
      </c>
    </row>
    <row r="1385" spans="1:27" x14ac:dyDescent="0.3">
      <c r="A1385" s="3">
        <v>45441</v>
      </c>
      <c r="B1385" t="s">
        <v>9</v>
      </c>
      <c r="C1385" t="s">
        <v>35</v>
      </c>
      <c r="D1385" t="str">
        <f>TRIM(Table1[[#This Row],[Product]])</f>
        <v>Tablet</v>
      </c>
      <c r="E1385" t="str">
        <f>PROPER(Table1[[#This Row],[Column1]])</f>
        <v>Tablet</v>
      </c>
      <c r="F1385" s="8" t="str">
        <f t="shared" si="105"/>
        <v>Technology</v>
      </c>
      <c r="G1385" s="5">
        <v>6</v>
      </c>
      <c r="H1385">
        <v>57.4</v>
      </c>
      <c r="I1385" t="s">
        <v>78</v>
      </c>
      <c r="J1385" t="s">
        <v>58</v>
      </c>
      <c r="K1385" s="7">
        <v>0.1</v>
      </c>
      <c r="L1385" t="s">
        <v>25</v>
      </c>
      <c r="M1385" s="5">
        <v>309.95999999999998</v>
      </c>
      <c r="N1385" t="s">
        <v>85</v>
      </c>
      <c r="O1385" t="s">
        <v>60</v>
      </c>
      <c r="P1385" s="5">
        <v>0</v>
      </c>
      <c r="Q1385" t="s">
        <v>2737</v>
      </c>
      <c r="R1385" t="s">
        <v>2738</v>
      </c>
      <c r="S1385" s="5">
        <v>26.42</v>
      </c>
      <c r="T1385" s="3">
        <v>45441</v>
      </c>
      <c r="U1385" s="3">
        <v>45451</v>
      </c>
      <c r="V1385" t="s">
        <v>63</v>
      </c>
      <c r="W1385">
        <f t="shared" si="107"/>
        <v>278.964</v>
      </c>
      <c r="X1385">
        <f t="shared" si="108"/>
        <v>344.4</v>
      </c>
      <c r="Y1385">
        <f t="shared" si="109"/>
        <v>65.435999999999979</v>
      </c>
      <c r="Z1385" s="8" t="str">
        <f t="shared" si="106"/>
        <v>Medium</v>
      </c>
      <c r="AA1385" s="12">
        <f>DATE(YEAR(Table1[[#This Row],[OrderDate]]),MONTH(Table1[[#This Row],[OrderDate]]),1)</f>
        <v>45413</v>
      </c>
    </row>
    <row r="1386" spans="1:27" x14ac:dyDescent="0.3">
      <c r="A1386" s="3">
        <v>45741</v>
      </c>
      <c r="B1386" t="s">
        <v>13</v>
      </c>
      <c r="C1386" t="s">
        <v>31</v>
      </c>
      <c r="D1386" t="str">
        <f>TRIM(Table1[[#This Row],[Product]])</f>
        <v>Laptop</v>
      </c>
      <c r="E1386" t="str">
        <f>PROPER(Table1[[#This Row],[Column1]])</f>
        <v>Laptop</v>
      </c>
      <c r="F1386" s="8" t="str">
        <f t="shared" si="105"/>
        <v>Technology</v>
      </c>
      <c r="G1386" s="5">
        <v>9</v>
      </c>
      <c r="H1386">
        <v>454.98</v>
      </c>
      <c r="I1386" t="s">
        <v>57</v>
      </c>
      <c r="J1386" t="s">
        <v>58</v>
      </c>
      <c r="K1386" s="7">
        <v>0.15</v>
      </c>
      <c r="L1386" t="s">
        <v>25</v>
      </c>
      <c r="M1386" s="5">
        <v>3480.5970000000002</v>
      </c>
      <c r="N1386" t="s">
        <v>82</v>
      </c>
      <c r="P1386" s="5">
        <v>0</v>
      </c>
      <c r="Q1386" t="s">
        <v>2739</v>
      </c>
      <c r="R1386" t="s">
        <v>2740</v>
      </c>
      <c r="S1386" s="5">
        <v>40.76</v>
      </c>
      <c r="T1386" s="3">
        <v>45741</v>
      </c>
      <c r="U1386" s="3">
        <v>45743</v>
      </c>
      <c r="V1386" t="s">
        <v>70</v>
      </c>
      <c r="W1386">
        <f t="shared" si="107"/>
        <v>2958.5074500000001</v>
      </c>
      <c r="X1386">
        <f t="shared" si="108"/>
        <v>4094.82</v>
      </c>
      <c r="Y1386">
        <f t="shared" si="109"/>
        <v>1136.3125500000001</v>
      </c>
      <c r="Z1386" s="8" t="str">
        <f t="shared" si="106"/>
        <v>High</v>
      </c>
      <c r="AA1386" s="12">
        <f>DATE(YEAR(Table1[[#This Row],[OrderDate]]),MONTH(Table1[[#This Row],[OrderDate]]),1)</f>
        <v>45717</v>
      </c>
    </row>
    <row r="1387" spans="1:27" x14ac:dyDescent="0.3">
      <c r="A1387" s="3">
        <v>45738</v>
      </c>
      <c r="B1387" t="s">
        <v>7</v>
      </c>
      <c r="C1387" t="s">
        <v>30</v>
      </c>
      <c r="D1387" t="str">
        <f>TRIM(Table1[[#This Row],[Product]])</f>
        <v>Desk</v>
      </c>
      <c r="E1387" t="str">
        <f>PROPER(Table1[[#This Row],[Column1]])</f>
        <v>Desk</v>
      </c>
      <c r="F1387" s="8" t="str">
        <f t="shared" si="105"/>
        <v>Furniture</v>
      </c>
      <c r="G1387" s="5">
        <v>11</v>
      </c>
      <c r="H1387">
        <v>365.75</v>
      </c>
      <c r="I1387" t="s">
        <v>81</v>
      </c>
      <c r="J1387" t="s">
        <v>58</v>
      </c>
      <c r="K1387" s="7">
        <v>0.05</v>
      </c>
      <c r="L1387" t="s">
        <v>19</v>
      </c>
      <c r="M1387" s="5">
        <v>3822.0875000000001</v>
      </c>
      <c r="N1387" t="s">
        <v>85</v>
      </c>
      <c r="O1387" t="s">
        <v>60</v>
      </c>
      <c r="P1387" s="5">
        <v>1</v>
      </c>
      <c r="Q1387" t="s">
        <v>2741</v>
      </c>
      <c r="R1387" t="s">
        <v>2742</v>
      </c>
      <c r="S1387" s="5">
        <v>8.3699999999999992</v>
      </c>
      <c r="T1387" s="3">
        <v>45738</v>
      </c>
      <c r="U1387" s="3">
        <v>45743</v>
      </c>
      <c r="V1387" t="s">
        <v>77</v>
      </c>
      <c r="W1387">
        <f t="shared" si="107"/>
        <v>3630.9831249999997</v>
      </c>
      <c r="X1387">
        <f t="shared" si="108"/>
        <v>4023.25</v>
      </c>
      <c r="Y1387">
        <f t="shared" si="109"/>
        <v>392.26687500000025</v>
      </c>
      <c r="Z1387" s="8" t="str">
        <f t="shared" si="106"/>
        <v>Medium</v>
      </c>
      <c r="AA1387" s="12">
        <f>DATE(YEAR(Table1[[#This Row],[OrderDate]]),MONTH(Table1[[#This Row],[OrderDate]]),1)</f>
        <v>45717</v>
      </c>
    </row>
    <row r="1388" spans="1:27" x14ac:dyDescent="0.3">
      <c r="A1388" s="3">
        <v>45521</v>
      </c>
      <c r="B1388" t="s">
        <v>9</v>
      </c>
      <c r="C1388" t="s">
        <v>33</v>
      </c>
      <c r="D1388" t="str">
        <f>TRIM(Table1[[#This Row],[Product]])</f>
        <v>Phone</v>
      </c>
      <c r="E1388" t="str">
        <f>PROPER(Table1[[#This Row],[Column1]])</f>
        <v>Phone</v>
      </c>
      <c r="F1388" s="8" t="str">
        <f t="shared" si="105"/>
        <v>Technology</v>
      </c>
      <c r="G1388" s="5">
        <v>7</v>
      </c>
      <c r="H1388">
        <v>106.88</v>
      </c>
      <c r="I1388" t="s">
        <v>78</v>
      </c>
      <c r="J1388" t="s">
        <v>65</v>
      </c>
      <c r="K1388" s="7">
        <v>0.05</v>
      </c>
      <c r="L1388" t="s">
        <v>23</v>
      </c>
      <c r="M1388" s="5">
        <v>710.75199999999995</v>
      </c>
      <c r="N1388" t="s">
        <v>88</v>
      </c>
      <c r="O1388" t="s">
        <v>71</v>
      </c>
      <c r="P1388" s="5">
        <v>1</v>
      </c>
      <c r="Q1388" t="s">
        <v>2743</v>
      </c>
      <c r="R1388" t="s">
        <v>2744</v>
      </c>
      <c r="S1388" s="5">
        <v>26.12</v>
      </c>
      <c r="T1388" s="3">
        <v>45521</v>
      </c>
      <c r="U1388" s="3">
        <v>45528</v>
      </c>
      <c r="V1388" t="s">
        <v>63</v>
      </c>
      <c r="W1388">
        <f t="shared" si="107"/>
        <v>675.21439999999996</v>
      </c>
      <c r="X1388">
        <f t="shared" si="108"/>
        <v>748.16</v>
      </c>
      <c r="Y1388">
        <f t="shared" si="109"/>
        <v>72.945600000000013</v>
      </c>
      <c r="Z1388" s="8" t="str">
        <f t="shared" si="106"/>
        <v>Medium</v>
      </c>
      <c r="AA1388" s="12">
        <f>DATE(YEAR(Table1[[#This Row],[OrderDate]]),MONTH(Table1[[#This Row],[OrderDate]]),1)</f>
        <v>45505</v>
      </c>
    </row>
    <row r="1389" spans="1:27" x14ac:dyDescent="0.3">
      <c r="A1389" s="3">
        <v>45445</v>
      </c>
      <c r="B1389" t="s">
        <v>13</v>
      </c>
      <c r="C1389" t="s">
        <v>34</v>
      </c>
      <c r="D1389" t="str">
        <f>TRIM(Table1[[#This Row],[Product]])</f>
        <v>Printer</v>
      </c>
      <c r="E1389" t="str">
        <f>PROPER(Table1[[#This Row],[Column1]])</f>
        <v>Printer</v>
      </c>
      <c r="F1389" s="8" t="str">
        <f t="shared" si="105"/>
        <v>Office Supplies</v>
      </c>
      <c r="G1389" s="5">
        <v>2</v>
      </c>
      <c r="H1389">
        <v>250.98</v>
      </c>
      <c r="I1389" t="s">
        <v>57</v>
      </c>
      <c r="J1389" t="s">
        <v>58</v>
      </c>
      <c r="K1389" s="7">
        <v>0.1</v>
      </c>
      <c r="L1389" t="s">
        <v>25</v>
      </c>
      <c r="M1389" s="5">
        <v>451.76400000000001</v>
      </c>
      <c r="N1389" t="s">
        <v>59</v>
      </c>
      <c r="O1389" t="s">
        <v>71</v>
      </c>
      <c r="P1389" s="5">
        <v>0</v>
      </c>
      <c r="Q1389" t="s">
        <v>2745</v>
      </c>
      <c r="R1389" t="s">
        <v>2746</v>
      </c>
      <c r="S1389" s="5">
        <v>18.8</v>
      </c>
      <c r="T1389" s="3">
        <v>45445</v>
      </c>
      <c r="U1389" s="3">
        <v>45455</v>
      </c>
      <c r="V1389" t="s">
        <v>70</v>
      </c>
      <c r="W1389">
        <f t="shared" si="107"/>
        <v>406.58760000000001</v>
      </c>
      <c r="X1389">
        <f t="shared" si="108"/>
        <v>501.96</v>
      </c>
      <c r="Y1389">
        <f t="shared" si="109"/>
        <v>95.372399999999971</v>
      </c>
      <c r="Z1389" s="8" t="str">
        <f t="shared" si="106"/>
        <v>Medium</v>
      </c>
      <c r="AA1389" s="12">
        <f>DATE(YEAR(Table1[[#This Row],[OrderDate]]),MONTH(Table1[[#This Row],[OrderDate]]),1)</f>
        <v>45444</v>
      </c>
    </row>
    <row r="1390" spans="1:27" x14ac:dyDescent="0.3">
      <c r="A1390" s="3">
        <v>45016</v>
      </c>
      <c r="B1390" t="s">
        <v>13</v>
      </c>
      <c r="C1390" t="s">
        <v>32</v>
      </c>
      <c r="D1390" t="str">
        <f>TRIM(Table1[[#This Row],[Product]])</f>
        <v>Monitor</v>
      </c>
      <c r="E1390" t="str">
        <f>PROPER(Table1[[#This Row],[Column1]])</f>
        <v>Monitor</v>
      </c>
      <c r="F1390" s="8" t="str">
        <f t="shared" si="105"/>
        <v>Technology</v>
      </c>
      <c r="G1390" s="5">
        <v>8</v>
      </c>
      <c r="H1390">
        <v>591.29</v>
      </c>
      <c r="I1390" t="s">
        <v>78</v>
      </c>
      <c r="J1390" t="s">
        <v>65</v>
      </c>
      <c r="K1390" s="7">
        <v>0.1</v>
      </c>
      <c r="L1390" t="s">
        <v>23</v>
      </c>
      <c r="M1390" s="5">
        <v>4257.2879999999996</v>
      </c>
      <c r="N1390" t="s">
        <v>82</v>
      </c>
      <c r="P1390" s="5">
        <v>1</v>
      </c>
      <c r="Q1390" t="s">
        <v>2747</v>
      </c>
      <c r="R1390" t="s">
        <v>2748</v>
      </c>
      <c r="S1390" s="5">
        <v>45.14</v>
      </c>
      <c r="T1390" s="3">
        <v>45016</v>
      </c>
      <c r="U1390" s="3">
        <v>45026</v>
      </c>
      <c r="V1390" t="s">
        <v>70</v>
      </c>
      <c r="W1390">
        <f t="shared" si="107"/>
        <v>3831.5591999999997</v>
      </c>
      <c r="X1390">
        <f t="shared" si="108"/>
        <v>4730.32</v>
      </c>
      <c r="Y1390">
        <f t="shared" si="109"/>
        <v>898.76080000000002</v>
      </c>
      <c r="Z1390" s="8" t="str">
        <f t="shared" si="106"/>
        <v>Medium</v>
      </c>
      <c r="AA1390" s="12">
        <f>DATE(YEAR(Table1[[#This Row],[OrderDate]]),MONTH(Table1[[#This Row],[OrderDate]]),1)</f>
        <v>44986</v>
      </c>
    </row>
    <row r="1391" spans="1:27" x14ac:dyDescent="0.3">
      <c r="A1391" s="3">
        <v>45431</v>
      </c>
      <c r="B1391" t="s">
        <v>16</v>
      </c>
      <c r="C1391" t="s">
        <v>32</v>
      </c>
      <c r="D1391" t="str">
        <f>TRIM(Table1[[#This Row],[Product]])</f>
        <v>Monitor</v>
      </c>
      <c r="E1391" t="str">
        <f>PROPER(Table1[[#This Row],[Column1]])</f>
        <v>Monitor</v>
      </c>
      <c r="F1391" s="8" t="str">
        <f t="shared" si="105"/>
        <v>Technology</v>
      </c>
      <c r="G1391" s="5">
        <v>18</v>
      </c>
      <c r="H1391">
        <v>369.79</v>
      </c>
      <c r="I1391" t="s">
        <v>64</v>
      </c>
      <c r="J1391" t="s">
        <v>58</v>
      </c>
      <c r="K1391" s="7">
        <v>0.05</v>
      </c>
      <c r="L1391" t="s">
        <v>25</v>
      </c>
      <c r="M1391" s="5">
        <v>6323.4089999999997</v>
      </c>
      <c r="N1391" t="s">
        <v>88</v>
      </c>
      <c r="O1391" t="s">
        <v>60</v>
      </c>
      <c r="P1391" s="5">
        <v>1</v>
      </c>
      <c r="Q1391" t="s">
        <v>2749</v>
      </c>
      <c r="R1391" t="s">
        <v>2750</v>
      </c>
      <c r="S1391" s="5">
        <v>16.399999999999999</v>
      </c>
      <c r="T1391" s="3">
        <v>45431</v>
      </c>
      <c r="U1391" s="3">
        <v>45435</v>
      </c>
      <c r="V1391" t="s">
        <v>95</v>
      </c>
      <c r="W1391">
        <f t="shared" si="107"/>
        <v>6007.2385499999991</v>
      </c>
      <c r="X1391">
        <f t="shared" si="108"/>
        <v>6656.22</v>
      </c>
      <c r="Y1391">
        <f t="shared" si="109"/>
        <v>648.98145000000113</v>
      </c>
      <c r="Z1391" s="8" t="str">
        <f t="shared" si="106"/>
        <v>Medium</v>
      </c>
      <c r="AA1391" s="12">
        <f>DATE(YEAR(Table1[[#This Row],[OrderDate]]),MONTH(Table1[[#This Row],[OrderDate]]),1)</f>
        <v>45413</v>
      </c>
    </row>
    <row r="1392" spans="1:27" x14ac:dyDescent="0.3">
      <c r="A1392" s="3">
        <v>44987</v>
      </c>
      <c r="B1392" t="s">
        <v>16</v>
      </c>
      <c r="C1392" t="s">
        <v>30</v>
      </c>
      <c r="D1392" t="str">
        <f>TRIM(Table1[[#This Row],[Product]])</f>
        <v>Desk</v>
      </c>
      <c r="E1392" t="str">
        <f>PROPER(Table1[[#This Row],[Column1]])</f>
        <v>Desk</v>
      </c>
      <c r="F1392" s="8" t="str">
        <f t="shared" si="105"/>
        <v>Furniture</v>
      </c>
      <c r="G1392" s="5">
        <v>15</v>
      </c>
      <c r="H1392">
        <v>166.24</v>
      </c>
      <c r="I1392" t="s">
        <v>81</v>
      </c>
      <c r="J1392" t="s">
        <v>58</v>
      </c>
      <c r="K1392" s="7">
        <v>0.1</v>
      </c>
      <c r="L1392" t="s">
        <v>23</v>
      </c>
      <c r="M1392" s="5">
        <v>2244.2399999999998</v>
      </c>
      <c r="N1392" t="s">
        <v>85</v>
      </c>
      <c r="O1392" t="s">
        <v>67</v>
      </c>
      <c r="P1392" s="5">
        <v>0</v>
      </c>
      <c r="Q1392" t="s">
        <v>2751</v>
      </c>
      <c r="R1392" t="s">
        <v>2752</v>
      </c>
      <c r="S1392" s="5">
        <v>9.86</v>
      </c>
      <c r="T1392" s="3">
        <v>44987</v>
      </c>
      <c r="U1392" s="3">
        <v>44990</v>
      </c>
      <c r="V1392" t="s">
        <v>95</v>
      </c>
      <c r="W1392">
        <f t="shared" si="107"/>
        <v>2019.8159999999998</v>
      </c>
      <c r="X1392">
        <f t="shared" si="108"/>
        <v>2493.6000000000004</v>
      </c>
      <c r="Y1392">
        <f t="shared" si="109"/>
        <v>473.78400000000056</v>
      </c>
      <c r="Z1392" s="8" t="str">
        <f t="shared" si="106"/>
        <v>Medium</v>
      </c>
      <c r="AA1392" s="12">
        <f>DATE(YEAR(Table1[[#This Row],[OrderDate]]),MONTH(Table1[[#This Row],[OrderDate]]),1)</f>
        <v>44986</v>
      </c>
    </row>
    <row r="1393" spans="1:27" x14ac:dyDescent="0.3">
      <c r="A1393" s="3">
        <v>44998</v>
      </c>
      <c r="B1393" t="s">
        <v>11</v>
      </c>
      <c r="C1393" t="s">
        <v>34</v>
      </c>
      <c r="D1393" t="str">
        <f>TRIM(Table1[[#This Row],[Product]])</f>
        <v>Printer</v>
      </c>
      <c r="E1393" t="str">
        <f>PROPER(Table1[[#This Row],[Column1]])</f>
        <v>Printer</v>
      </c>
      <c r="F1393" s="8" t="str">
        <f t="shared" si="105"/>
        <v>Office Supplies</v>
      </c>
      <c r="G1393" s="5">
        <v>12</v>
      </c>
      <c r="H1393">
        <v>260.76</v>
      </c>
      <c r="I1393" t="s">
        <v>78</v>
      </c>
      <c r="J1393" t="s">
        <v>58</v>
      </c>
      <c r="K1393" s="7">
        <v>0.15</v>
      </c>
      <c r="L1393" t="s">
        <v>21</v>
      </c>
      <c r="M1393" s="5">
        <v>2659.752</v>
      </c>
      <c r="N1393" t="s">
        <v>59</v>
      </c>
      <c r="P1393" s="5">
        <v>0</v>
      </c>
      <c r="Q1393" t="s">
        <v>2753</v>
      </c>
      <c r="R1393" t="s">
        <v>2754</v>
      </c>
      <c r="S1393" s="5">
        <v>20.92</v>
      </c>
      <c r="T1393" s="3">
        <v>44998</v>
      </c>
      <c r="U1393" s="3">
        <v>45007</v>
      </c>
      <c r="V1393" t="s">
        <v>74</v>
      </c>
      <c r="W1393">
        <f t="shared" si="107"/>
        <v>2260.7891999999997</v>
      </c>
      <c r="X1393">
        <f t="shared" si="108"/>
        <v>3129.12</v>
      </c>
      <c r="Y1393">
        <f t="shared" si="109"/>
        <v>868.33080000000018</v>
      </c>
      <c r="Z1393" s="8" t="str">
        <f t="shared" si="106"/>
        <v>High</v>
      </c>
      <c r="AA1393" s="12">
        <f>DATE(YEAR(Table1[[#This Row],[OrderDate]]),MONTH(Table1[[#This Row],[OrderDate]]),1)</f>
        <v>44986</v>
      </c>
    </row>
    <row r="1394" spans="1:27" x14ac:dyDescent="0.3">
      <c r="A1394" s="3">
        <v>45763</v>
      </c>
      <c r="B1394" t="s">
        <v>16</v>
      </c>
      <c r="C1394" t="s">
        <v>31</v>
      </c>
      <c r="D1394" t="str">
        <f>TRIM(Table1[[#This Row],[Product]])</f>
        <v>Laptop</v>
      </c>
      <c r="E1394" t="str">
        <f>PROPER(Table1[[#This Row],[Column1]])</f>
        <v>Laptop</v>
      </c>
      <c r="F1394" s="8" t="str">
        <f t="shared" si="105"/>
        <v>Technology</v>
      </c>
      <c r="G1394" s="5">
        <v>10</v>
      </c>
      <c r="H1394">
        <v>348.63</v>
      </c>
      <c r="I1394" t="s">
        <v>81</v>
      </c>
      <c r="J1394" t="s">
        <v>58</v>
      </c>
      <c r="K1394" s="7">
        <v>0.05</v>
      </c>
      <c r="L1394" t="s">
        <v>23</v>
      </c>
      <c r="M1394" s="5">
        <v>3311.9850000000001</v>
      </c>
      <c r="N1394" t="s">
        <v>82</v>
      </c>
      <c r="P1394" s="5">
        <v>1</v>
      </c>
      <c r="Q1394" t="s">
        <v>2755</v>
      </c>
      <c r="R1394" t="s">
        <v>2756</v>
      </c>
      <c r="S1394" s="5">
        <v>42.79</v>
      </c>
      <c r="T1394" s="3">
        <v>45763</v>
      </c>
      <c r="U1394" s="3">
        <v>45765</v>
      </c>
      <c r="V1394" t="s">
        <v>95</v>
      </c>
      <c r="W1394">
        <f t="shared" si="107"/>
        <v>3146.3857499999999</v>
      </c>
      <c r="X1394">
        <f t="shared" si="108"/>
        <v>3486.3</v>
      </c>
      <c r="Y1394">
        <f t="shared" si="109"/>
        <v>339.91425000000027</v>
      </c>
      <c r="Z1394" s="8" t="str">
        <f t="shared" si="106"/>
        <v>Medium</v>
      </c>
      <c r="AA1394" s="12">
        <f>DATE(YEAR(Table1[[#This Row],[OrderDate]]),MONTH(Table1[[#This Row],[OrderDate]]),1)</f>
        <v>45748</v>
      </c>
    </row>
    <row r="1395" spans="1:27" x14ac:dyDescent="0.3">
      <c r="A1395" s="3">
        <v>45448</v>
      </c>
      <c r="B1395" t="s">
        <v>11</v>
      </c>
      <c r="C1395" t="s">
        <v>29</v>
      </c>
      <c r="D1395" t="str">
        <f>TRIM(Table1[[#This Row],[Product]])</f>
        <v>Chair</v>
      </c>
      <c r="E1395" t="str">
        <f>PROPER(Table1[[#This Row],[Column1]])</f>
        <v>Chair</v>
      </c>
      <c r="F1395" s="8" t="str">
        <f t="shared" si="105"/>
        <v>Furniture</v>
      </c>
      <c r="G1395" s="5">
        <v>5</v>
      </c>
      <c r="H1395">
        <v>473.28</v>
      </c>
      <c r="I1395" t="s">
        <v>64</v>
      </c>
      <c r="J1395" t="s">
        <v>65</v>
      </c>
      <c r="K1395" s="7">
        <v>0</v>
      </c>
      <c r="L1395" t="s">
        <v>23</v>
      </c>
      <c r="M1395" s="5">
        <v>2366.4</v>
      </c>
      <c r="N1395" t="s">
        <v>82</v>
      </c>
      <c r="O1395" t="s">
        <v>67</v>
      </c>
      <c r="P1395" s="5">
        <v>1</v>
      </c>
      <c r="Q1395" t="s">
        <v>2757</v>
      </c>
      <c r="R1395" t="s">
        <v>2758</v>
      </c>
      <c r="S1395" s="5">
        <v>30.69</v>
      </c>
      <c r="T1395" s="3">
        <v>45448</v>
      </c>
      <c r="U1395" s="3">
        <v>45458</v>
      </c>
      <c r="V1395" t="s">
        <v>74</v>
      </c>
      <c r="W1395">
        <f t="shared" si="107"/>
        <v>2366.4</v>
      </c>
      <c r="X1395">
        <f t="shared" si="108"/>
        <v>2366.3999999999996</v>
      </c>
      <c r="Y1395">
        <f t="shared" si="109"/>
        <v>0</v>
      </c>
      <c r="Z1395" s="8" t="str">
        <f t="shared" si="106"/>
        <v>No Discount</v>
      </c>
      <c r="AA1395" s="12">
        <f>DATE(YEAR(Table1[[#This Row],[OrderDate]]),MONTH(Table1[[#This Row],[OrderDate]]),1)</f>
        <v>45444</v>
      </c>
    </row>
    <row r="1396" spans="1:27" x14ac:dyDescent="0.3">
      <c r="A1396" s="3">
        <v>45536</v>
      </c>
      <c r="B1396" t="s">
        <v>11</v>
      </c>
      <c r="C1396" t="s">
        <v>29</v>
      </c>
      <c r="D1396" t="str">
        <f>TRIM(Table1[[#This Row],[Product]])</f>
        <v>Chair</v>
      </c>
      <c r="E1396" t="str">
        <f>PROPER(Table1[[#This Row],[Column1]])</f>
        <v>Chair</v>
      </c>
      <c r="F1396" s="8" t="str">
        <f t="shared" si="105"/>
        <v>Furniture</v>
      </c>
      <c r="G1396" s="5">
        <v>16</v>
      </c>
      <c r="H1396">
        <v>401.83</v>
      </c>
      <c r="I1396" t="s">
        <v>57</v>
      </c>
      <c r="J1396" t="s">
        <v>65</v>
      </c>
      <c r="K1396" s="7">
        <v>0</v>
      </c>
      <c r="L1396" t="s">
        <v>25</v>
      </c>
      <c r="M1396" s="5">
        <v>6429.28</v>
      </c>
      <c r="N1396" t="s">
        <v>88</v>
      </c>
      <c r="O1396" t="s">
        <v>60</v>
      </c>
      <c r="P1396" s="5">
        <v>0</v>
      </c>
      <c r="Q1396" t="s">
        <v>2759</v>
      </c>
      <c r="R1396" t="s">
        <v>1328</v>
      </c>
      <c r="S1396" s="5">
        <v>21.54</v>
      </c>
      <c r="T1396" s="3">
        <v>45536</v>
      </c>
      <c r="U1396" s="3">
        <v>45540</v>
      </c>
      <c r="V1396" t="s">
        <v>74</v>
      </c>
      <c r="W1396">
        <f t="shared" si="107"/>
        <v>6429.28</v>
      </c>
      <c r="X1396">
        <f t="shared" si="108"/>
        <v>6429.28</v>
      </c>
      <c r="Y1396">
        <f t="shared" si="109"/>
        <v>0</v>
      </c>
      <c r="Z1396" s="8" t="str">
        <f t="shared" si="106"/>
        <v>No Discount</v>
      </c>
      <c r="AA1396" s="12">
        <f>DATE(YEAR(Table1[[#This Row],[OrderDate]]),MONTH(Table1[[#This Row],[OrderDate]]),1)</f>
        <v>45536</v>
      </c>
    </row>
    <row r="1397" spans="1:27" x14ac:dyDescent="0.3">
      <c r="A1397" s="3">
        <v>45556</v>
      </c>
      <c r="B1397" t="s">
        <v>11</v>
      </c>
      <c r="C1397" t="s">
        <v>33</v>
      </c>
      <c r="D1397" t="str">
        <f>TRIM(Table1[[#This Row],[Product]])</f>
        <v>Phone</v>
      </c>
      <c r="E1397" t="str">
        <f>PROPER(Table1[[#This Row],[Column1]])</f>
        <v>Phone</v>
      </c>
      <c r="F1397" s="8" t="str">
        <f t="shared" si="105"/>
        <v>Technology</v>
      </c>
      <c r="G1397" s="5">
        <v>10</v>
      </c>
      <c r="H1397">
        <v>269.29000000000002</v>
      </c>
      <c r="I1397" t="s">
        <v>78</v>
      </c>
      <c r="J1397" t="s">
        <v>65</v>
      </c>
      <c r="K1397" s="7">
        <v>0</v>
      </c>
      <c r="L1397" t="s">
        <v>25</v>
      </c>
      <c r="M1397" s="5">
        <v>2692.9</v>
      </c>
      <c r="N1397" t="s">
        <v>85</v>
      </c>
      <c r="O1397" t="s">
        <v>67</v>
      </c>
      <c r="P1397" s="5">
        <v>0</v>
      </c>
      <c r="Q1397" t="s">
        <v>2760</v>
      </c>
      <c r="R1397" t="s">
        <v>2501</v>
      </c>
      <c r="S1397" s="5">
        <v>14.09</v>
      </c>
      <c r="T1397" s="3">
        <v>45556</v>
      </c>
      <c r="U1397" s="3">
        <v>45565</v>
      </c>
      <c r="V1397" t="s">
        <v>74</v>
      </c>
      <c r="W1397">
        <f t="shared" si="107"/>
        <v>2692.9</v>
      </c>
      <c r="X1397">
        <f t="shared" si="108"/>
        <v>2692.9</v>
      </c>
      <c r="Y1397">
        <f t="shared" si="109"/>
        <v>0</v>
      </c>
      <c r="Z1397" s="8" t="str">
        <f t="shared" si="106"/>
        <v>No Discount</v>
      </c>
      <c r="AA1397" s="12">
        <f>DATE(YEAR(Table1[[#This Row],[OrderDate]]),MONTH(Table1[[#This Row],[OrderDate]]),1)</f>
        <v>45536</v>
      </c>
    </row>
    <row r="1398" spans="1:27" x14ac:dyDescent="0.3">
      <c r="A1398" s="3">
        <v>45668</v>
      </c>
      <c r="B1398" t="s">
        <v>11</v>
      </c>
      <c r="C1398" t="s">
        <v>30</v>
      </c>
      <c r="D1398" t="str">
        <f>TRIM(Table1[[#This Row],[Product]])</f>
        <v>Desk</v>
      </c>
      <c r="E1398" t="str">
        <f>PROPER(Table1[[#This Row],[Column1]])</f>
        <v>Desk</v>
      </c>
      <c r="F1398" s="8" t="str">
        <f t="shared" si="105"/>
        <v>Furniture</v>
      </c>
      <c r="G1398" s="5">
        <v>4</v>
      </c>
      <c r="H1398">
        <v>323.02</v>
      </c>
      <c r="I1398" t="s">
        <v>78</v>
      </c>
      <c r="J1398" t="s">
        <v>65</v>
      </c>
      <c r="K1398" s="7">
        <v>0.05</v>
      </c>
      <c r="L1398" t="s">
        <v>23</v>
      </c>
      <c r="M1398" s="5">
        <v>1227.4760000000001</v>
      </c>
      <c r="N1398" t="s">
        <v>88</v>
      </c>
      <c r="P1398" s="5">
        <v>0</v>
      </c>
      <c r="Q1398" t="s">
        <v>2761</v>
      </c>
      <c r="R1398" t="s">
        <v>2762</v>
      </c>
      <c r="S1398" s="5">
        <v>19.53</v>
      </c>
      <c r="T1398" s="3">
        <v>45668</v>
      </c>
      <c r="U1398" s="3">
        <v>45673</v>
      </c>
      <c r="V1398" t="s">
        <v>74</v>
      </c>
      <c r="W1398">
        <f t="shared" si="107"/>
        <v>1166.1022</v>
      </c>
      <c r="X1398">
        <f t="shared" si="108"/>
        <v>1292.08</v>
      </c>
      <c r="Y1398">
        <f t="shared" si="109"/>
        <v>125.97779999999989</v>
      </c>
      <c r="Z1398" s="8" t="str">
        <f t="shared" si="106"/>
        <v>Medium</v>
      </c>
      <c r="AA1398" s="12">
        <f>DATE(YEAR(Table1[[#This Row],[OrderDate]]),MONTH(Table1[[#This Row],[OrderDate]]),1)</f>
        <v>45658</v>
      </c>
    </row>
    <row r="1399" spans="1:27" x14ac:dyDescent="0.3">
      <c r="A1399" s="3">
        <v>44930</v>
      </c>
      <c r="B1399" t="s">
        <v>16</v>
      </c>
      <c r="C1399" t="s">
        <v>32</v>
      </c>
      <c r="D1399" t="str">
        <f>TRIM(Table1[[#This Row],[Product]])</f>
        <v>Monitor</v>
      </c>
      <c r="E1399" t="str">
        <f>PROPER(Table1[[#This Row],[Column1]])</f>
        <v>Monitor</v>
      </c>
      <c r="F1399" s="8" t="str">
        <f t="shared" si="105"/>
        <v>Technology</v>
      </c>
      <c r="G1399" s="5">
        <v>15</v>
      </c>
      <c r="H1399">
        <v>439.89</v>
      </c>
      <c r="I1399" t="s">
        <v>81</v>
      </c>
      <c r="J1399" t="s">
        <v>65</v>
      </c>
      <c r="K1399" s="7">
        <v>0.15</v>
      </c>
      <c r="L1399" t="s">
        <v>23</v>
      </c>
      <c r="M1399" s="5">
        <v>5608.5974999999989</v>
      </c>
      <c r="N1399" t="s">
        <v>59</v>
      </c>
      <c r="O1399" t="s">
        <v>60</v>
      </c>
      <c r="P1399" s="5">
        <v>0</v>
      </c>
      <c r="Q1399" t="s">
        <v>2763</v>
      </c>
      <c r="R1399" t="s">
        <v>2764</v>
      </c>
      <c r="S1399" s="5">
        <v>49.71</v>
      </c>
      <c r="T1399" s="3">
        <v>44930</v>
      </c>
      <c r="U1399" s="3">
        <v>44934</v>
      </c>
      <c r="V1399" t="s">
        <v>95</v>
      </c>
      <c r="W1399">
        <f t="shared" si="107"/>
        <v>4767.3078749999986</v>
      </c>
      <c r="X1399">
        <f t="shared" si="108"/>
        <v>6598.3499999999995</v>
      </c>
      <c r="Y1399">
        <f t="shared" si="109"/>
        <v>1831.0421250000009</v>
      </c>
      <c r="Z1399" s="8" t="str">
        <f t="shared" si="106"/>
        <v>High</v>
      </c>
      <c r="AA1399" s="12">
        <f>DATE(YEAR(Table1[[#This Row],[OrderDate]]),MONTH(Table1[[#This Row],[OrderDate]]),1)</f>
        <v>44927</v>
      </c>
    </row>
    <row r="1400" spans="1:27" x14ac:dyDescent="0.3">
      <c r="A1400" s="3">
        <v>45048</v>
      </c>
      <c r="B1400" t="s">
        <v>16</v>
      </c>
      <c r="C1400" t="s">
        <v>32</v>
      </c>
      <c r="D1400" t="str">
        <f>TRIM(Table1[[#This Row],[Product]])</f>
        <v>Monitor</v>
      </c>
      <c r="E1400" t="str">
        <f>PROPER(Table1[[#This Row],[Column1]])</f>
        <v>Monitor</v>
      </c>
      <c r="F1400" s="8" t="str">
        <f t="shared" si="105"/>
        <v>Technology</v>
      </c>
      <c r="G1400" s="5">
        <v>16</v>
      </c>
      <c r="H1400">
        <v>483.09</v>
      </c>
      <c r="I1400" t="s">
        <v>78</v>
      </c>
      <c r="J1400" t="s">
        <v>58</v>
      </c>
      <c r="K1400" s="7">
        <v>0.05</v>
      </c>
      <c r="L1400" t="s">
        <v>18</v>
      </c>
      <c r="M1400" s="5">
        <v>7342.9679999999989</v>
      </c>
      <c r="N1400" t="s">
        <v>85</v>
      </c>
      <c r="P1400" s="5">
        <v>1</v>
      </c>
      <c r="Q1400" t="s">
        <v>2765</v>
      </c>
      <c r="R1400" t="s">
        <v>2531</v>
      </c>
      <c r="S1400" s="5">
        <v>37.659999999999997</v>
      </c>
      <c r="T1400" s="3">
        <v>45048</v>
      </c>
      <c r="U1400" s="3">
        <v>45051</v>
      </c>
      <c r="V1400" t="s">
        <v>95</v>
      </c>
      <c r="W1400">
        <f t="shared" si="107"/>
        <v>6975.8195999999989</v>
      </c>
      <c r="X1400">
        <f t="shared" si="108"/>
        <v>7729.44</v>
      </c>
      <c r="Y1400">
        <f t="shared" si="109"/>
        <v>753.6204000000007</v>
      </c>
      <c r="Z1400" s="8" t="str">
        <f t="shared" si="106"/>
        <v>Medium</v>
      </c>
      <c r="AA1400" s="12">
        <f>DATE(YEAR(Table1[[#This Row],[OrderDate]]),MONTH(Table1[[#This Row],[OrderDate]]),1)</f>
        <v>45047</v>
      </c>
    </row>
    <row r="1401" spans="1:27" x14ac:dyDescent="0.3">
      <c r="A1401" s="3">
        <v>45116</v>
      </c>
      <c r="B1401" t="s">
        <v>9</v>
      </c>
      <c r="C1401" t="s">
        <v>33</v>
      </c>
      <c r="D1401" t="str">
        <f>TRIM(Table1[[#This Row],[Product]])</f>
        <v>Phone</v>
      </c>
      <c r="E1401" t="str">
        <f>PROPER(Table1[[#This Row],[Column1]])</f>
        <v>Phone</v>
      </c>
      <c r="F1401" s="8" t="str">
        <f t="shared" si="105"/>
        <v>Technology</v>
      </c>
      <c r="G1401" s="5">
        <v>13</v>
      </c>
      <c r="H1401">
        <v>27.39</v>
      </c>
      <c r="I1401" t="s">
        <v>57</v>
      </c>
      <c r="J1401" t="s">
        <v>65</v>
      </c>
      <c r="K1401" s="7">
        <v>0.15</v>
      </c>
      <c r="L1401" t="s">
        <v>27</v>
      </c>
      <c r="M1401" s="5">
        <v>302.65949999999998</v>
      </c>
      <c r="N1401" t="s">
        <v>88</v>
      </c>
      <c r="P1401" s="5">
        <v>0</v>
      </c>
      <c r="Q1401" t="s">
        <v>2766</v>
      </c>
      <c r="R1401" t="s">
        <v>2767</v>
      </c>
      <c r="S1401" s="5">
        <v>22.95</v>
      </c>
      <c r="T1401" s="3">
        <v>45116</v>
      </c>
      <c r="U1401" s="3">
        <v>45121</v>
      </c>
      <c r="V1401" t="s">
        <v>63</v>
      </c>
      <c r="W1401">
        <f t="shared" si="107"/>
        <v>257.26057499999996</v>
      </c>
      <c r="X1401">
        <f t="shared" si="108"/>
        <v>356.07</v>
      </c>
      <c r="Y1401">
        <f t="shared" si="109"/>
        <v>98.809425000000033</v>
      </c>
      <c r="Z1401" s="8" t="str">
        <f t="shared" si="106"/>
        <v>High</v>
      </c>
      <c r="AA1401" s="12">
        <f>DATE(YEAR(Table1[[#This Row],[OrderDate]]),MONTH(Table1[[#This Row],[OrderDate]]),1)</f>
        <v>45108</v>
      </c>
    </row>
    <row r="1402" spans="1:27" x14ac:dyDescent="0.3">
      <c r="A1402" s="3">
        <v>45715</v>
      </c>
      <c r="B1402" t="s">
        <v>9</v>
      </c>
      <c r="C1402" t="s">
        <v>32</v>
      </c>
      <c r="D1402" t="str">
        <f>TRIM(Table1[[#This Row],[Product]])</f>
        <v>Monitor</v>
      </c>
      <c r="E1402" t="str">
        <f>PROPER(Table1[[#This Row],[Column1]])</f>
        <v>Monitor</v>
      </c>
      <c r="F1402" s="8" t="str">
        <f t="shared" si="105"/>
        <v>Technology</v>
      </c>
      <c r="G1402" s="5">
        <v>18</v>
      </c>
      <c r="H1402">
        <v>432.52</v>
      </c>
      <c r="I1402" t="s">
        <v>81</v>
      </c>
      <c r="J1402" t="s">
        <v>65</v>
      </c>
      <c r="K1402" s="7">
        <v>0.05</v>
      </c>
      <c r="L1402" t="s">
        <v>19</v>
      </c>
      <c r="M1402" s="5">
        <v>7396.0919999999996</v>
      </c>
      <c r="N1402" t="s">
        <v>82</v>
      </c>
      <c r="O1402" t="s">
        <v>67</v>
      </c>
      <c r="P1402" s="5">
        <v>1</v>
      </c>
      <c r="Q1402" t="s">
        <v>2768</v>
      </c>
      <c r="R1402" t="s">
        <v>101</v>
      </c>
      <c r="S1402" s="5">
        <v>34.19</v>
      </c>
      <c r="T1402" s="3">
        <v>45715</v>
      </c>
      <c r="U1402" s="3">
        <v>45720</v>
      </c>
      <c r="V1402" t="s">
        <v>63</v>
      </c>
      <c r="W1402">
        <f t="shared" si="107"/>
        <v>7026.2873999999993</v>
      </c>
      <c r="X1402">
        <f t="shared" si="108"/>
        <v>7785.36</v>
      </c>
      <c r="Y1402">
        <f t="shared" si="109"/>
        <v>759.07260000000042</v>
      </c>
      <c r="Z1402" s="8" t="str">
        <f t="shared" si="106"/>
        <v>Medium</v>
      </c>
      <c r="AA1402" s="12">
        <f>DATE(YEAR(Table1[[#This Row],[OrderDate]]),MONTH(Table1[[#This Row],[OrderDate]]),1)</f>
        <v>45689</v>
      </c>
    </row>
    <row r="1403" spans="1:27" x14ac:dyDescent="0.3">
      <c r="A1403" s="3">
        <v>45558</v>
      </c>
      <c r="B1403" t="s">
        <v>16</v>
      </c>
      <c r="C1403" t="s">
        <v>34</v>
      </c>
      <c r="D1403" t="str">
        <f>TRIM(Table1[[#This Row],[Product]])</f>
        <v>Printer</v>
      </c>
      <c r="E1403" t="str">
        <f>PROPER(Table1[[#This Row],[Column1]])</f>
        <v>Printer</v>
      </c>
      <c r="F1403" s="8" t="str">
        <f t="shared" si="105"/>
        <v>Office Supplies</v>
      </c>
      <c r="G1403" s="5">
        <v>3</v>
      </c>
      <c r="H1403">
        <v>360.93</v>
      </c>
      <c r="I1403" t="s">
        <v>57</v>
      </c>
      <c r="J1403" t="s">
        <v>58</v>
      </c>
      <c r="K1403" s="7">
        <v>0.15</v>
      </c>
      <c r="L1403" t="s">
        <v>23</v>
      </c>
      <c r="M1403" s="5">
        <v>920.37149999999997</v>
      </c>
      <c r="N1403" t="s">
        <v>85</v>
      </c>
      <c r="O1403" t="s">
        <v>71</v>
      </c>
      <c r="P1403" s="5">
        <v>0</v>
      </c>
      <c r="Q1403" t="s">
        <v>2769</v>
      </c>
      <c r="R1403" t="s">
        <v>2770</v>
      </c>
      <c r="S1403" s="5">
        <v>35.61</v>
      </c>
      <c r="T1403" s="3">
        <v>45558</v>
      </c>
      <c r="U1403" s="3">
        <v>45564</v>
      </c>
      <c r="V1403" t="s">
        <v>95</v>
      </c>
      <c r="W1403">
        <f t="shared" si="107"/>
        <v>782.31577499999992</v>
      </c>
      <c r="X1403">
        <f t="shared" si="108"/>
        <v>1082.79</v>
      </c>
      <c r="Y1403">
        <f t="shared" si="109"/>
        <v>300.47422500000005</v>
      </c>
      <c r="Z1403" s="8" t="str">
        <f t="shared" si="106"/>
        <v>High</v>
      </c>
      <c r="AA1403" s="12">
        <f>DATE(YEAR(Table1[[#This Row],[OrderDate]]),MONTH(Table1[[#This Row],[OrderDate]]),1)</f>
        <v>45536</v>
      </c>
    </row>
    <row r="1404" spans="1:27" x14ac:dyDescent="0.3">
      <c r="A1404" s="3">
        <v>45830</v>
      </c>
      <c r="B1404" t="s">
        <v>9</v>
      </c>
      <c r="C1404" t="s">
        <v>35</v>
      </c>
      <c r="D1404" t="str">
        <f>TRIM(Table1[[#This Row],[Product]])</f>
        <v>Tablet</v>
      </c>
      <c r="E1404" t="str">
        <f>PROPER(Table1[[#This Row],[Column1]])</f>
        <v>Tablet</v>
      </c>
      <c r="F1404" s="8" t="str">
        <f t="shared" si="105"/>
        <v>Technology</v>
      </c>
      <c r="G1404" s="5">
        <v>5</v>
      </c>
      <c r="H1404">
        <v>414.58</v>
      </c>
      <c r="I1404" t="s">
        <v>57</v>
      </c>
      <c r="J1404" t="s">
        <v>65</v>
      </c>
      <c r="K1404" s="7">
        <v>0.1</v>
      </c>
      <c r="L1404" t="s">
        <v>23</v>
      </c>
      <c r="M1404" s="5">
        <v>1865.61</v>
      </c>
      <c r="N1404" t="s">
        <v>66</v>
      </c>
      <c r="P1404" s="5">
        <v>0</v>
      </c>
      <c r="Q1404" t="s">
        <v>2771</v>
      </c>
      <c r="R1404" t="s">
        <v>2772</v>
      </c>
      <c r="S1404" s="5">
        <v>14.98</v>
      </c>
      <c r="T1404" s="3">
        <v>45830</v>
      </c>
      <c r="U1404" s="3">
        <v>45839</v>
      </c>
      <c r="V1404" t="s">
        <v>63</v>
      </c>
      <c r="W1404">
        <f t="shared" si="107"/>
        <v>1679.049</v>
      </c>
      <c r="X1404">
        <f t="shared" si="108"/>
        <v>2072.9</v>
      </c>
      <c r="Y1404">
        <f t="shared" si="109"/>
        <v>393.85100000000011</v>
      </c>
      <c r="Z1404" s="8" t="str">
        <f t="shared" si="106"/>
        <v>Medium</v>
      </c>
      <c r="AA1404" s="12">
        <f>DATE(YEAR(Table1[[#This Row],[OrderDate]]),MONTH(Table1[[#This Row],[OrderDate]]),1)</f>
        <v>45809</v>
      </c>
    </row>
    <row r="1405" spans="1:27" x14ac:dyDescent="0.3">
      <c r="A1405" s="3">
        <v>45676</v>
      </c>
      <c r="B1405" t="s">
        <v>7</v>
      </c>
      <c r="C1405" t="s">
        <v>35</v>
      </c>
      <c r="D1405" t="str">
        <f>TRIM(Table1[[#This Row],[Product]])</f>
        <v>Tablet</v>
      </c>
      <c r="E1405" t="str">
        <f>PROPER(Table1[[#This Row],[Column1]])</f>
        <v>Tablet</v>
      </c>
      <c r="F1405" s="8" t="str">
        <f t="shared" si="105"/>
        <v>Technology</v>
      </c>
      <c r="G1405" s="5">
        <v>4</v>
      </c>
      <c r="H1405">
        <v>68.040000000000006</v>
      </c>
      <c r="I1405" t="s">
        <v>78</v>
      </c>
      <c r="J1405" t="s">
        <v>58</v>
      </c>
      <c r="K1405" s="7">
        <v>0</v>
      </c>
      <c r="L1405" t="s">
        <v>19</v>
      </c>
      <c r="M1405" s="5">
        <v>272.16000000000003</v>
      </c>
      <c r="N1405" t="s">
        <v>59</v>
      </c>
      <c r="O1405" t="s">
        <v>60</v>
      </c>
      <c r="P1405" s="5">
        <v>0</v>
      </c>
      <c r="Q1405" t="s">
        <v>2773</v>
      </c>
      <c r="R1405" t="s">
        <v>2774</v>
      </c>
      <c r="S1405" s="5">
        <v>18.72</v>
      </c>
      <c r="T1405" s="3">
        <v>45676</v>
      </c>
      <c r="U1405" s="3">
        <v>45685</v>
      </c>
      <c r="V1405" t="s">
        <v>77</v>
      </c>
      <c r="W1405">
        <f t="shared" si="107"/>
        <v>272.16000000000003</v>
      </c>
      <c r="X1405">
        <f t="shared" si="108"/>
        <v>272.16000000000003</v>
      </c>
      <c r="Y1405">
        <f t="shared" si="109"/>
        <v>0</v>
      </c>
      <c r="Z1405" s="8" t="str">
        <f t="shared" si="106"/>
        <v>No Discount</v>
      </c>
      <c r="AA1405" s="12">
        <f>DATE(YEAR(Table1[[#This Row],[OrderDate]]),MONTH(Table1[[#This Row],[OrderDate]]),1)</f>
        <v>45658</v>
      </c>
    </row>
    <row r="1406" spans="1:27" x14ac:dyDescent="0.3">
      <c r="A1406" s="3">
        <v>45691</v>
      </c>
      <c r="B1406" t="s">
        <v>9</v>
      </c>
      <c r="C1406" t="s">
        <v>33</v>
      </c>
      <c r="D1406" t="str">
        <f>TRIM(Table1[[#This Row],[Product]])</f>
        <v>Phone</v>
      </c>
      <c r="E1406" t="str">
        <f>PROPER(Table1[[#This Row],[Column1]])</f>
        <v>Phone</v>
      </c>
      <c r="F1406" s="8" t="str">
        <f t="shared" si="105"/>
        <v>Technology</v>
      </c>
      <c r="G1406" s="5">
        <v>10</v>
      </c>
      <c r="H1406">
        <v>407.99</v>
      </c>
      <c r="I1406" t="s">
        <v>78</v>
      </c>
      <c r="J1406" t="s">
        <v>65</v>
      </c>
      <c r="K1406" s="7">
        <v>0.15</v>
      </c>
      <c r="L1406" t="s">
        <v>25</v>
      </c>
      <c r="M1406" s="5">
        <v>3467.915</v>
      </c>
      <c r="N1406" t="s">
        <v>88</v>
      </c>
      <c r="P1406" s="5">
        <v>0</v>
      </c>
      <c r="Q1406" t="s">
        <v>2775</v>
      </c>
      <c r="R1406" t="s">
        <v>2776</v>
      </c>
      <c r="S1406" s="5">
        <v>49.59</v>
      </c>
      <c r="T1406" s="3">
        <v>45691</v>
      </c>
      <c r="U1406" s="3">
        <v>45696</v>
      </c>
      <c r="V1406" t="s">
        <v>63</v>
      </c>
      <c r="W1406">
        <f t="shared" si="107"/>
        <v>2947.72775</v>
      </c>
      <c r="X1406">
        <f t="shared" si="108"/>
        <v>4079.9</v>
      </c>
      <c r="Y1406">
        <f t="shared" si="109"/>
        <v>1132.1722500000001</v>
      </c>
      <c r="Z1406" s="8" t="str">
        <f t="shared" si="106"/>
        <v>High</v>
      </c>
      <c r="AA1406" s="12">
        <f>DATE(YEAR(Table1[[#This Row],[OrderDate]]),MONTH(Table1[[#This Row],[OrderDate]]),1)</f>
        <v>45689</v>
      </c>
    </row>
    <row r="1407" spans="1:27" x14ac:dyDescent="0.3">
      <c r="A1407" s="3">
        <v>45241</v>
      </c>
      <c r="B1407" t="s">
        <v>9</v>
      </c>
      <c r="C1407" t="s">
        <v>35</v>
      </c>
      <c r="D1407" t="str">
        <f>TRIM(Table1[[#This Row],[Product]])</f>
        <v>Tablet</v>
      </c>
      <c r="E1407" t="str">
        <f>PROPER(Table1[[#This Row],[Column1]])</f>
        <v>Tablet</v>
      </c>
      <c r="F1407" s="8" t="str">
        <f t="shared" si="105"/>
        <v>Technology</v>
      </c>
      <c r="G1407" s="5">
        <v>15</v>
      </c>
      <c r="H1407">
        <v>274.77</v>
      </c>
      <c r="I1407" t="s">
        <v>81</v>
      </c>
      <c r="J1407" t="s">
        <v>65</v>
      </c>
      <c r="K1407" s="7">
        <v>0</v>
      </c>
      <c r="L1407" t="s">
        <v>25</v>
      </c>
      <c r="M1407" s="5">
        <v>4121.5499999999993</v>
      </c>
      <c r="N1407" t="s">
        <v>88</v>
      </c>
      <c r="P1407" s="5">
        <v>1</v>
      </c>
      <c r="Q1407" t="s">
        <v>2777</v>
      </c>
      <c r="R1407" t="s">
        <v>2778</v>
      </c>
      <c r="S1407" s="5">
        <v>19.37</v>
      </c>
      <c r="T1407" s="3">
        <v>45241</v>
      </c>
      <c r="U1407" s="3">
        <v>45247</v>
      </c>
      <c r="V1407" t="s">
        <v>63</v>
      </c>
      <c r="W1407">
        <f t="shared" si="107"/>
        <v>4121.5499999999993</v>
      </c>
      <c r="X1407">
        <f t="shared" si="108"/>
        <v>4121.5499999999993</v>
      </c>
      <c r="Y1407">
        <f t="shared" si="109"/>
        <v>0</v>
      </c>
      <c r="Z1407" s="8" t="str">
        <f t="shared" si="106"/>
        <v>No Discount</v>
      </c>
      <c r="AA1407" s="12">
        <f>DATE(YEAR(Table1[[#This Row],[OrderDate]]),MONTH(Table1[[#This Row],[OrderDate]]),1)</f>
        <v>45231</v>
      </c>
    </row>
    <row r="1408" spans="1:27" x14ac:dyDescent="0.3">
      <c r="A1408" s="3">
        <v>45420</v>
      </c>
      <c r="B1408" t="s">
        <v>9</v>
      </c>
      <c r="C1408" t="s">
        <v>30</v>
      </c>
      <c r="D1408" t="str">
        <f>TRIM(Table1[[#This Row],[Product]])</f>
        <v>Desk</v>
      </c>
      <c r="E1408" t="str">
        <f>PROPER(Table1[[#This Row],[Column1]])</f>
        <v>Desk</v>
      </c>
      <c r="F1408" s="8" t="str">
        <f t="shared" si="105"/>
        <v>Furniture</v>
      </c>
      <c r="G1408" s="5">
        <v>15</v>
      </c>
      <c r="H1408">
        <v>31.81</v>
      </c>
      <c r="I1408" t="s">
        <v>78</v>
      </c>
      <c r="J1408" t="s">
        <v>58</v>
      </c>
      <c r="K1408" s="7">
        <v>0.15</v>
      </c>
      <c r="L1408" t="s">
        <v>25</v>
      </c>
      <c r="M1408" s="5">
        <v>405.57749999999999</v>
      </c>
      <c r="N1408" t="s">
        <v>88</v>
      </c>
      <c r="O1408" t="s">
        <v>67</v>
      </c>
      <c r="P1408" s="5">
        <v>0</v>
      </c>
      <c r="Q1408" t="s">
        <v>2779</v>
      </c>
      <c r="R1408" t="s">
        <v>2780</v>
      </c>
      <c r="S1408" s="5">
        <v>23.61</v>
      </c>
      <c r="T1408" s="3">
        <v>45420</v>
      </c>
      <c r="U1408" s="3">
        <v>45422</v>
      </c>
      <c r="V1408" t="s">
        <v>63</v>
      </c>
      <c r="W1408">
        <f t="shared" si="107"/>
        <v>344.74087499999996</v>
      </c>
      <c r="X1408">
        <f t="shared" si="108"/>
        <v>477.15</v>
      </c>
      <c r="Y1408">
        <f t="shared" si="109"/>
        <v>132.40912500000002</v>
      </c>
      <c r="Z1408" s="8" t="str">
        <f t="shared" si="106"/>
        <v>High</v>
      </c>
      <c r="AA1408" s="12">
        <f>DATE(YEAR(Table1[[#This Row],[OrderDate]]),MONTH(Table1[[#This Row],[OrderDate]]),1)</f>
        <v>45413</v>
      </c>
    </row>
    <row r="1409" spans="1:27" x14ac:dyDescent="0.3">
      <c r="A1409" s="3">
        <v>45187</v>
      </c>
      <c r="B1409" t="s">
        <v>13</v>
      </c>
      <c r="C1409" t="s">
        <v>34</v>
      </c>
      <c r="D1409" t="str">
        <f>TRIM(Table1[[#This Row],[Product]])</f>
        <v>Printer</v>
      </c>
      <c r="E1409" t="str">
        <f>PROPER(Table1[[#This Row],[Column1]])</f>
        <v>Printer</v>
      </c>
      <c r="F1409" s="8" t="str">
        <f t="shared" si="105"/>
        <v>Office Supplies</v>
      </c>
      <c r="G1409" s="5">
        <v>14</v>
      </c>
      <c r="H1409">
        <v>268.32</v>
      </c>
      <c r="I1409" t="s">
        <v>81</v>
      </c>
      <c r="J1409" t="s">
        <v>65</v>
      </c>
      <c r="K1409" s="7">
        <v>0</v>
      </c>
      <c r="L1409" t="s">
        <v>27</v>
      </c>
      <c r="M1409" s="5">
        <v>3756.48</v>
      </c>
      <c r="N1409" t="s">
        <v>59</v>
      </c>
      <c r="O1409" t="s">
        <v>71</v>
      </c>
      <c r="P1409" s="5">
        <v>0</v>
      </c>
      <c r="Q1409" t="s">
        <v>2781</v>
      </c>
      <c r="R1409" t="s">
        <v>2782</v>
      </c>
      <c r="S1409" s="5">
        <v>43.14</v>
      </c>
      <c r="T1409" s="3">
        <v>45187</v>
      </c>
      <c r="U1409" s="3">
        <v>45196</v>
      </c>
      <c r="V1409" t="s">
        <v>70</v>
      </c>
      <c r="W1409">
        <f t="shared" si="107"/>
        <v>3756.48</v>
      </c>
      <c r="X1409">
        <f t="shared" si="108"/>
        <v>3756.48</v>
      </c>
      <c r="Y1409">
        <f t="shared" si="109"/>
        <v>0</v>
      </c>
      <c r="Z1409" s="8" t="str">
        <f t="shared" si="106"/>
        <v>No Discount</v>
      </c>
      <c r="AA1409" s="12">
        <f>DATE(YEAR(Table1[[#This Row],[OrderDate]]),MONTH(Table1[[#This Row],[OrderDate]]),1)</f>
        <v>45170</v>
      </c>
    </row>
    <row r="1410" spans="1:27" x14ac:dyDescent="0.3">
      <c r="A1410" s="3">
        <v>45752</v>
      </c>
      <c r="B1410" t="s">
        <v>7</v>
      </c>
      <c r="C1410" t="s">
        <v>35</v>
      </c>
      <c r="D1410" t="str">
        <f>TRIM(Table1[[#This Row],[Product]])</f>
        <v>Tablet</v>
      </c>
      <c r="E1410" t="str">
        <f>PROPER(Table1[[#This Row],[Column1]])</f>
        <v>Tablet</v>
      </c>
      <c r="F1410" s="8" t="str">
        <f t="shared" ref="F1410:F1473" si="110">IF(OR(E1410="Chair",E1410="Desk"),"Furniture",IF(OR(E1410="Laptop",E1410="Monitor",E1410="Phone",E1410="Tablet"),"Technology",IF(E1410="Printer","Office Supplies","Other")))</f>
        <v>Technology</v>
      </c>
      <c r="G1410" s="5">
        <v>19</v>
      </c>
      <c r="H1410">
        <v>350.12</v>
      </c>
      <c r="I1410" t="s">
        <v>81</v>
      </c>
      <c r="J1410" t="s">
        <v>65</v>
      </c>
      <c r="K1410" s="7">
        <v>0.05</v>
      </c>
      <c r="L1410" t="s">
        <v>18</v>
      </c>
      <c r="M1410" s="5">
        <v>6319.6659999999993</v>
      </c>
      <c r="N1410" t="s">
        <v>82</v>
      </c>
      <c r="O1410" t="s">
        <v>60</v>
      </c>
      <c r="P1410" s="5">
        <v>0</v>
      </c>
      <c r="Q1410" t="s">
        <v>2783</v>
      </c>
      <c r="R1410" t="s">
        <v>1806</v>
      </c>
      <c r="S1410" s="5">
        <v>48.98</v>
      </c>
      <c r="T1410" s="3">
        <v>45752</v>
      </c>
      <c r="U1410" s="3">
        <v>45760</v>
      </c>
      <c r="V1410" t="s">
        <v>77</v>
      </c>
      <c r="W1410">
        <f t="shared" si="107"/>
        <v>6003.6826999999994</v>
      </c>
      <c r="X1410">
        <f t="shared" si="108"/>
        <v>6652.28</v>
      </c>
      <c r="Y1410">
        <f t="shared" si="109"/>
        <v>648.59730000000036</v>
      </c>
      <c r="Z1410" s="8" t="str">
        <f t="shared" ref="Z1410:Z1473" si="111">IF(K1410=0,"No Discount",IF(K1410&lt;5%,"Low",IF(K1410&lt;15%,"Medium","High")))</f>
        <v>Medium</v>
      </c>
      <c r="AA1410" s="12">
        <f>DATE(YEAR(Table1[[#This Row],[OrderDate]]),MONTH(Table1[[#This Row],[OrderDate]]),1)</f>
        <v>45748</v>
      </c>
    </row>
    <row r="1411" spans="1:27" x14ac:dyDescent="0.3">
      <c r="A1411" s="3">
        <v>45182</v>
      </c>
      <c r="B1411" t="s">
        <v>7</v>
      </c>
      <c r="C1411" t="s">
        <v>30</v>
      </c>
      <c r="D1411" t="str">
        <f>TRIM(Table1[[#This Row],[Product]])</f>
        <v>Desk</v>
      </c>
      <c r="E1411" t="str">
        <f>PROPER(Table1[[#This Row],[Column1]])</f>
        <v>Desk</v>
      </c>
      <c r="F1411" s="8" t="str">
        <f t="shared" si="110"/>
        <v>Furniture</v>
      </c>
      <c r="G1411" s="5">
        <v>9</v>
      </c>
      <c r="H1411">
        <v>329.15</v>
      </c>
      <c r="I1411" t="s">
        <v>64</v>
      </c>
      <c r="J1411" t="s">
        <v>65</v>
      </c>
      <c r="K1411" s="7">
        <v>0.05</v>
      </c>
      <c r="L1411" t="s">
        <v>23</v>
      </c>
      <c r="M1411" s="5">
        <v>2814.2325000000001</v>
      </c>
      <c r="N1411" t="s">
        <v>66</v>
      </c>
      <c r="O1411" t="s">
        <v>60</v>
      </c>
      <c r="P1411" s="5">
        <v>0</v>
      </c>
      <c r="Q1411" t="s">
        <v>2784</v>
      </c>
      <c r="R1411" t="s">
        <v>2785</v>
      </c>
      <c r="S1411" s="5">
        <v>29.41</v>
      </c>
      <c r="T1411" s="3">
        <v>45182</v>
      </c>
      <c r="U1411" s="3">
        <v>45184</v>
      </c>
      <c r="V1411" t="s">
        <v>77</v>
      </c>
      <c r="W1411">
        <f t="shared" ref="W1411:W1474" si="112">M1411*(1-K1411)</f>
        <v>2673.5208750000002</v>
      </c>
      <c r="X1411">
        <f t="shared" ref="X1411:X1474" si="113">G1411*H1411</f>
        <v>2962.35</v>
      </c>
      <c r="Y1411">
        <f t="shared" ref="Y1411:Y1474" si="114">X1411-W1411</f>
        <v>288.82912499999975</v>
      </c>
      <c r="Z1411" s="8" t="str">
        <f t="shared" si="111"/>
        <v>Medium</v>
      </c>
      <c r="AA1411" s="12">
        <f>DATE(YEAR(Table1[[#This Row],[OrderDate]]),MONTH(Table1[[#This Row],[OrderDate]]),1)</f>
        <v>45170</v>
      </c>
    </row>
    <row r="1412" spans="1:27" x14ac:dyDescent="0.3">
      <c r="A1412" s="3">
        <v>45471</v>
      </c>
      <c r="B1412" t="s">
        <v>9</v>
      </c>
      <c r="C1412" t="s">
        <v>32</v>
      </c>
      <c r="D1412" t="str">
        <f>TRIM(Table1[[#This Row],[Product]])</f>
        <v>Monitor</v>
      </c>
      <c r="E1412" t="str">
        <f>PROPER(Table1[[#This Row],[Column1]])</f>
        <v>Monitor</v>
      </c>
      <c r="F1412" s="8" t="str">
        <f t="shared" si="110"/>
        <v>Technology</v>
      </c>
      <c r="G1412" s="5">
        <v>1</v>
      </c>
      <c r="H1412">
        <v>577.07000000000005</v>
      </c>
      <c r="I1412" t="s">
        <v>78</v>
      </c>
      <c r="J1412" t="s">
        <v>58</v>
      </c>
      <c r="K1412" s="7">
        <v>0.05</v>
      </c>
      <c r="L1412" t="s">
        <v>27</v>
      </c>
      <c r="M1412" s="5">
        <v>548.2165</v>
      </c>
      <c r="N1412" t="s">
        <v>59</v>
      </c>
      <c r="O1412" t="s">
        <v>71</v>
      </c>
      <c r="P1412" s="5">
        <v>0</v>
      </c>
      <c r="Q1412" t="s">
        <v>2786</v>
      </c>
      <c r="R1412" t="s">
        <v>2787</v>
      </c>
      <c r="S1412" s="5">
        <v>22.97</v>
      </c>
      <c r="T1412" s="3">
        <v>45471</v>
      </c>
      <c r="U1412" s="3">
        <v>45479</v>
      </c>
      <c r="V1412" t="s">
        <v>63</v>
      </c>
      <c r="W1412">
        <f t="shared" si="112"/>
        <v>520.80567499999995</v>
      </c>
      <c r="X1412">
        <f t="shared" si="113"/>
        <v>577.07000000000005</v>
      </c>
      <c r="Y1412">
        <f t="shared" si="114"/>
        <v>56.264325000000099</v>
      </c>
      <c r="Z1412" s="8" t="str">
        <f t="shared" si="111"/>
        <v>Medium</v>
      </c>
      <c r="AA1412" s="12">
        <f>DATE(YEAR(Table1[[#This Row],[OrderDate]]),MONTH(Table1[[#This Row],[OrderDate]]),1)</f>
        <v>45444</v>
      </c>
    </row>
    <row r="1413" spans="1:27" x14ac:dyDescent="0.3">
      <c r="A1413" s="3">
        <v>45022</v>
      </c>
      <c r="B1413" t="s">
        <v>7</v>
      </c>
      <c r="C1413" t="s">
        <v>29</v>
      </c>
      <c r="D1413" t="str">
        <f>TRIM(Table1[[#This Row],[Product]])</f>
        <v>Chair</v>
      </c>
      <c r="E1413" t="str">
        <f>PROPER(Table1[[#This Row],[Column1]])</f>
        <v>Chair</v>
      </c>
      <c r="F1413" s="8" t="str">
        <f t="shared" si="110"/>
        <v>Furniture</v>
      </c>
      <c r="G1413" s="5">
        <v>6</v>
      </c>
      <c r="H1413">
        <v>544.33000000000004</v>
      </c>
      <c r="I1413" t="s">
        <v>57</v>
      </c>
      <c r="J1413" t="s">
        <v>58</v>
      </c>
      <c r="K1413" s="7">
        <v>0.1</v>
      </c>
      <c r="L1413" t="s">
        <v>21</v>
      </c>
      <c r="M1413" s="5">
        <v>2939.382000000001</v>
      </c>
      <c r="N1413" t="s">
        <v>88</v>
      </c>
      <c r="P1413" s="5">
        <v>0</v>
      </c>
      <c r="Q1413" t="s">
        <v>2788</v>
      </c>
      <c r="R1413" t="s">
        <v>1007</v>
      </c>
      <c r="S1413" s="5">
        <v>11.52</v>
      </c>
      <c r="T1413" s="3">
        <v>45022</v>
      </c>
      <c r="U1413" s="3">
        <v>45024</v>
      </c>
      <c r="V1413" t="s">
        <v>77</v>
      </c>
      <c r="W1413">
        <f t="shared" si="112"/>
        <v>2645.4438000000009</v>
      </c>
      <c r="X1413">
        <f t="shared" si="113"/>
        <v>3265.9800000000005</v>
      </c>
      <c r="Y1413">
        <f t="shared" si="114"/>
        <v>620.53619999999955</v>
      </c>
      <c r="Z1413" s="8" t="str">
        <f t="shared" si="111"/>
        <v>Medium</v>
      </c>
      <c r="AA1413" s="12">
        <f>DATE(YEAR(Table1[[#This Row],[OrderDate]]),MONTH(Table1[[#This Row],[OrderDate]]),1)</f>
        <v>45017</v>
      </c>
    </row>
    <row r="1414" spans="1:27" x14ac:dyDescent="0.3">
      <c r="A1414" s="3">
        <v>45059</v>
      </c>
      <c r="B1414" t="s">
        <v>13</v>
      </c>
      <c r="C1414" t="s">
        <v>31</v>
      </c>
      <c r="D1414" t="str">
        <f>TRIM(Table1[[#This Row],[Product]])</f>
        <v>Laptop</v>
      </c>
      <c r="E1414" t="str">
        <f>PROPER(Table1[[#This Row],[Column1]])</f>
        <v>Laptop</v>
      </c>
      <c r="F1414" s="8" t="str">
        <f t="shared" si="110"/>
        <v>Technology</v>
      </c>
      <c r="G1414" s="5">
        <v>18</v>
      </c>
      <c r="H1414">
        <v>331.45</v>
      </c>
      <c r="I1414" t="s">
        <v>81</v>
      </c>
      <c r="J1414" t="s">
        <v>65</v>
      </c>
      <c r="K1414" s="7">
        <v>0.15</v>
      </c>
      <c r="L1414" t="s">
        <v>18</v>
      </c>
      <c r="M1414" s="5">
        <v>5071.1849999999986</v>
      </c>
      <c r="N1414" t="s">
        <v>88</v>
      </c>
      <c r="O1414" t="s">
        <v>71</v>
      </c>
      <c r="P1414" s="5">
        <v>1</v>
      </c>
      <c r="Q1414" t="s">
        <v>2789</v>
      </c>
      <c r="R1414" t="s">
        <v>2168</v>
      </c>
      <c r="S1414" s="5">
        <v>32.92</v>
      </c>
      <c r="T1414" s="3">
        <v>45059</v>
      </c>
      <c r="U1414" s="3">
        <v>45064</v>
      </c>
      <c r="V1414" t="s">
        <v>70</v>
      </c>
      <c r="W1414">
        <f t="shared" si="112"/>
        <v>4310.5072499999987</v>
      </c>
      <c r="X1414">
        <f t="shared" si="113"/>
        <v>5966.0999999999995</v>
      </c>
      <c r="Y1414">
        <f t="shared" si="114"/>
        <v>1655.5927500000007</v>
      </c>
      <c r="Z1414" s="8" t="str">
        <f t="shared" si="111"/>
        <v>High</v>
      </c>
      <c r="AA1414" s="12">
        <f>DATE(YEAR(Table1[[#This Row],[OrderDate]]),MONTH(Table1[[#This Row],[OrderDate]]),1)</f>
        <v>45047</v>
      </c>
    </row>
    <row r="1415" spans="1:27" x14ac:dyDescent="0.3">
      <c r="A1415" s="3">
        <v>45784</v>
      </c>
      <c r="B1415" t="s">
        <v>9</v>
      </c>
      <c r="C1415" t="s">
        <v>31</v>
      </c>
      <c r="D1415" t="str">
        <f>TRIM(Table1[[#This Row],[Product]])</f>
        <v>Laptop</v>
      </c>
      <c r="E1415" t="str">
        <f>PROPER(Table1[[#This Row],[Column1]])</f>
        <v>Laptop</v>
      </c>
      <c r="F1415" s="8" t="str">
        <f t="shared" si="110"/>
        <v>Technology</v>
      </c>
      <c r="G1415" s="5">
        <v>1</v>
      </c>
      <c r="H1415">
        <v>421.26</v>
      </c>
      <c r="I1415" t="s">
        <v>81</v>
      </c>
      <c r="J1415" t="s">
        <v>65</v>
      </c>
      <c r="K1415" s="7">
        <v>0.1</v>
      </c>
      <c r="L1415" t="s">
        <v>25</v>
      </c>
      <c r="M1415" s="5">
        <v>379.13400000000001</v>
      </c>
      <c r="N1415" t="s">
        <v>85</v>
      </c>
      <c r="O1415" t="s">
        <v>60</v>
      </c>
      <c r="P1415" s="5">
        <v>0</v>
      </c>
      <c r="Q1415" t="s">
        <v>2790</v>
      </c>
      <c r="R1415" t="s">
        <v>2791</v>
      </c>
      <c r="S1415" s="5">
        <v>36.340000000000003</v>
      </c>
      <c r="T1415" s="3">
        <v>45784</v>
      </c>
      <c r="U1415" s="3">
        <v>45792</v>
      </c>
      <c r="V1415" t="s">
        <v>63</v>
      </c>
      <c r="W1415">
        <f t="shared" si="112"/>
        <v>341.22060000000005</v>
      </c>
      <c r="X1415">
        <f t="shared" si="113"/>
        <v>421.26</v>
      </c>
      <c r="Y1415">
        <f t="shared" si="114"/>
        <v>80.039399999999944</v>
      </c>
      <c r="Z1415" s="8" t="str">
        <f t="shared" si="111"/>
        <v>Medium</v>
      </c>
      <c r="AA1415" s="12">
        <f>DATE(YEAR(Table1[[#This Row],[OrderDate]]),MONTH(Table1[[#This Row],[OrderDate]]),1)</f>
        <v>45778</v>
      </c>
    </row>
    <row r="1416" spans="1:27" x14ac:dyDescent="0.3">
      <c r="A1416" s="3">
        <v>45738</v>
      </c>
      <c r="B1416" t="s">
        <v>11</v>
      </c>
      <c r="C1416" t="s">
        <v>35</v>
      </c>
      <c r="D1416" t="str">
        <f>TRIM(Table1[[#This Row],[Product]])</f>
        <v>Tablet</v>
      </c>
      <c r="E1416" t="str">
        <f>PROPER(Table1[[#This Row],[Column1]])</f>
        <v>Tablet</v>
      </c>
      <c r="F1416" s="8" t="str">
        <f t="shared" si="110"/>
        <v>Technology</v>
      </c>
      <c r="G1416" s="5">
        <v>4</v>
      </c>
      <c r="H1416">
        <v>555.02</v>
      </c>
      <c r="I1416" t="s">
        <v>57</v>
      </c>
      <c r="J1416" t="s">
        <v>65</v>
      </c>
      <c r="K1416" s="7">
        <v>0.1</v>
      </c>
      <c r="L1416" t="s">
        <v>23</v>
      </c>
      <c r="M1416" s="5">
        <v>1998.0719999999999</v>
      </c>
      <c r="N1416" t="s">
        <v>88</v>
      </c>
      <c r="O1416" t="s">
        <v>67</v>
      </c>
      <c r="P1416" s="5">
        <v>0</v>
      </c>
      <c r="Q1416" t="s">
        <v>2792</v>
      </c>
      <c r="R1416" t="s">
        <v>2793</v>
      </c>
      <c r="S1416" s="5">
        <v>45.25</v>
      </c>
      <c r="T1416" s="3">
        <v>45738</v>
      </c>
      <c r="U1416" s="3">
        <v>45743</v>
      </c>
      <c r="V1416" t="s">
        <v>74</v>
      </c>
      <c r="W1416">
        <f t="shared" si="112"/>
        <v>1798.2647999999999</v>
      </c>
      <c r="X1416">
        <f t="shared" si="113"/>
        <v>2220.08</v>
      </c>
      <c r="Y1416">
        <f t="shared" si="114"/>
        <v>421.8152</v>
      </c>
      <c r="Z1416" s="8" t="str">
        <f t="shared" si="111"/>
        <v>Medium</v>
      </c>
      <c r="AA1416" s="12">
        <f>DATE(YEAR(Table1[[#This Row],[OrderDate]]),MONTH(Table1[[#This Row],[OrderDate]]),1)</f>
        <v>45717</v>
      </c>
    </row>
    <row r="1417" spans="1:27" x14ac:dyDescent="0.3">
      <c r="A1417" s="3">
        <v>45467</v>
      </c>
      <c r="B1417" t="s">
        <v>13</v>
      </c>
      <c r="C1417" t="s">
        <v>31</v>
      </c>
      <c r="D1417" t="str">
        <f>TRIM(Table1[[#This Row],[Product]])</f>
        <v>Laptop</v>
      </c>
      <c r="E1417" t="str">
        <f>PROPER(Table1[[#This Row],[Column1]])</f>
        <v>Laptop</v>
      </c>
      <c r="F1417" s="8" t="str">
        <f t="shared" si="110"/>
        <v>Technology</v>
      </c>
      <c r="G1417" s="5">
        <v>19</v>
      </c>
      <c r="H1417">
        <v>254.03</v>
      </c>
      <c r="I1417" t="s">
        <v>78</v>
      </c>
      <c r="J1417" t="s">
        <v>58</v>
      </c>
      <c r="K1417" s="7">
        <v>0</v>
      </c>
      <c r="L1417" t="s">
        <v>27</v>
      </c>
      <c r="M1417" s="5">
        <v>4826.57</v>
      </c>
      <c r="N1417" t="s">
        <v>59</v>
      </c>
      <c r="O1417" t="s">
        <v>67</v>
      </c>
      <c r="P1417" s="5">
        <v>1</v>
      </c>
      <c r="Q1417" t="s">
        <v>2794</v>
      </c>
      <c r="R1417" t="s">
        <v>1783</v>
      </c>
      <c r="S1417" s="5">
        <v>11.21</v>
      </c>
      <c r="T1417" s="3">
        <v>45467</v>
      </c>
      <c r="U1417" s="3">
        <v>45475</v>
      </c>
      <c r="V1417" t="s">
        <v>70</v>
      </c>
      <c r="W1417">
        <f t="shared" si="112"/>
        <v>4826.57</v>
      </c>
      <c r="X1417">
        <f t="shared" si="113"/>
        <v>4826.57</v>
      </c>
      <c r="Y1417">
        <f t="shared" si="114"/>
        <v>0</v>
      </c>
      <c r="Z1417" s="8" t="str">
        <f t="shared" si="111"/>
        <v>No Discount</v>
      </c>
      <c r="AA1417" s="12">
        <f>DATE(YEAR(Table1[[#This Row],[OrderDate]]),MONTH(Table1[[#This Row],[OrderDate]]),1)</f>
        <v>45444</v>
      </c>
    </row>
    <row r="1418" spans="1:27" x14ac:dyDescent="0.3">
      <c r="A1418" s="3">
        <v>45837</v>
      </c>
      <c r="B1418" t="s">
        <v>16</v>
      </c>
      <c r="C1418" t="s">
        <v>35</v>
      </c>
      <c r="D1418" t="str">
        <f>TRIM(Table1[[#This Row],[Product]])</f>
        <v>Tablet</v>
      </c>
      <c r="E1418" t="str">
        <f>PROPER(Table1[[#This Row],[Column1]])</f>
        <v>Tablet</v>
      </c>
      <c r="F1418" s="8" t="str">
        <f t="shared" si="110"/>
        <v>Technology</v>
      </c>
      <c r="G1418" s="5">
        <v>9</v>
      </c>
      <c r="H1418">
        <v>533.92999999999995</v>
      </c>
      <c r="I1418" t="s">
        <v>81</v>
      </c>
      <c r="J1418" t="s">
        <v>65</v>
      </c>
      <c r="K1418" s="7">
        <v>0.15</v>
      </c>
      <c r="L1418" t="s">
        <v>27</v>
      </c>
      <c r="M1418" s="5">
        <v>4084.5645</v>
      </c>
      <c r="N1418" t="s">
        <v>66</v>
      </c>
      <c r="P1418" s="5">
        <v>0</v>
      </c>
      <c r="Q1418" t="s">
        <v>2795</v>
      </c>
      <c r="R1418" t="s">
        <v>2796</v>
      </c>
      <c r="S1418" s="5">
        <v>34.76</v>
      </c>
      <c r="T1418" s="3">
        <v>45837</v>
      </c>
      <c r="U1418" s="3">
        <v>45841</v>
      </c>
      <c r="V1418" t="s">
        <v>95</v>
      </c>
      <c r="W1418">
        <f t="shared" si="112"/>
        <v>3471.879825</v>
      </c>
      <c r="X1418">
        <f t="shared" si="113"/>
        <v>4805.37</v>
      </c>
      <c r="Y1418">
        <f t="shared" si="114"/>
        <v>1333.4901749999999</v>
      </c>
      <c r="Z1418" s="8" t="str">
        <f t="shared" si="111"/>
        <v>High</v>
      </c>
      <c r="AA1418" s="12">
        <f>DATE(YEAR(Table1[[#This Row],[OrderDate]]),MONTH(Table1[[#This Row],[OrderDate]]),1)</f>
        <v>45809</v>
      </c>
    </row>
    <row r="1419" spans="1:27" x14ac:dyDescent="0.3">
      <c r="A1419" s="3">
        <v>45383</v>
      </c>
      <c r="B1419" t="s">
        <v>16</v>
      </c>
      <c r="C1419" t="s">
        <v>30</v>
      </c>
      <c r="D1419" t="str">
        <f>TRIM(Table1[[#This Row],[Product]])</f>
        <v>Desk</v>
      </c>
      <c r="E1419" t="str">
        <f>PROPER(Table1[[#This Row],[Column1]])</f>
        <v>Desk</v>
      </c>
      <c r="F1419" s="8" t="str">
        <f t="shared" si="110"/>
        <v>Furniture</v>
      </c>
      <c r="G1419" s="5">
        <v>7</v>
      </c>
      <c r="H1419">
        <v>241.35</v>
      </c>
      <c r="I1419" t="s">
        <v>57</v>
      </c>
      <c r="J1419" t="s">
        <v>58</v>
      </c>
      <c r="K1419" s="7">
        <v>0.1</v>
      </c>
      <c r="L1419" t="s">
        <v>23</v>
      </c>
      <c r="M1419" s="5">
        <v>1520.5050000000001</v>
      </c>
      <c r="N1419" t="s">
        <v>82</v>
      </c>
      <c r="O1419" t="s">
        <v>67</v>
      </c>
      <c r="P1419" s="5">
        <v>0</v>
      </c>
      <c r="Q1419" t="s">
        <v>2797</v>
      </c>
      <c r="R1419" t="s">
        <v>2798</v>
      </c>
      <c r="S1419" s="5">
        <v>42.43</v>
      </c>
      <c r="T1419" s="3">
        <v>45383</v>
      </c>
      <c r="U1419" s="3">
        <v>45392</v>
      </c>
      <c r="V1419" t="s">
        <v>95</v>
      </c>
      <c r="W1419">
        <f t="shared" si="112"/>
        <v>1368.4545000000001</v>
      </c>
      <c r="X1419">
        <f t="shared" si="113"/>
        <v>1689.45</v>
      </c>
      <c r="Y1419">
        <f t="shared" si="114"/>
        <v>320.99549999999999</v>
      </c>
      <c r="Z1419" s="8" t="str">
        <f t="shared" si="111"/>
        <v>Medium</v>
      </c>
      <c r="AA1419" s="12">
        <f>DATE(YEAR(Table1[[#This Row],[OrderDate]]),MONTH(Table1[[#This Row],[OrderDate]]),1)</f>
        <v>45383</v>
      </c>
    </row>
    <row r="1420" spans="1:27" x14ac:dyDescent="0.3">
      <c r="A1420" s="3">
        <v>45447</v>
      </c>
      <c r="B1420" t="s">
        <v>11</v>
      </c>
      <c r="C1420" t="s">
        <v>35</v>
      </c>
      <c r="D1420" t="str">
        <f>TRIM(Table1[[#This Row],[Product]])</f>
        <v>Tablet</v>
      </c>
      <c r="E1420" t="str">
        <f>PROPER(Table1[[#This Row],[Column1]])</f>
        <v>Tablet</v>
      </c>
      <c r="F1420" s="8" t="str">
        <f t="shared" si="110"/>
        <v>Technology</v>
      </c>
      <c r="G1420" s="5">
        <v>11</v>
      </c>
      <c r="H1420">
        <v>160.37</v>
      </c>
      <c r="I1420" t="s">
        <v>57</v>
      </c>
      <c r="J1420" t="s">
        <v>58</v>
      </c>
      <c r="K1420" s="7">
        <v>0.05</v>
      </c>
      <c r="L1420" t="s">
        <v>21</v>
      </c>
      <c r="M1420" s="5">
        <v>1675.8665000000001</v>
      </c>
      <c r="N1420" t="s">
        <v>88</v>
      </c>
      <c r="P1420" s="5">
        <v>0</v>
      </c>
      <c r="Q1420" t="s">
        <v>2799</v>
      </c>
      <c r="R1420" t="s">
        <v>2800</v>
      </c>
      <c r="S1420" s="5">
        <v>36.049999999999997</v>
      </c>
      <c r="T1420" s="3">
        <v>45447</v>
      </c>
      <c r="U1420" s="3">
        <v>45457</v>
      </c>
      <c r="V1420" t="s">
        <v>74</v>
      </c>
      <c r="W1420">
        <f t="shared" si="112"/>
        <v>1592.073175</v>
      </c>
      <c r="X1420">
        <f t="shared" si="113"/>
        <v>1764.0700000000002</v>
      </c>
      <c r="Y1420">
        <f t="shared" si="114"/>
        <v>171.99682500000017</v>
      </c>
      <c r="Z1420" s="8" t="str">
        <f t="shared" si="111"/>
        <v>Medium</v>
      </c>
      <c r="AA1420" s="12">
        <f>DATE(YEAR(Table1[[#This Row],[OrderDate]]),MONTH(Table1[[#This Row],[OrderDate]]),1)</f>
        <v>45444</v>
      </c>
    </row>
    <row r="1421" spans="1:27" x14ac:dyDescent="0.3">
      <c r="A1421" s="3">
        <v>45015</v>
      </c>
      <c r="B1421" t="s">
        <v>9</v>
      </c>
      <c r="C1421" t="s">
        <v>35</v>
      </c>
      <c r="D1421" t="str">
        <f>TRIM(Table1[[#This Row],[Product]])</f>
        <v>Tablet</v>
      </c>
      <c r="E1421" t="str">
        <f>PROPER(Table1[[#This Row],[Column1]])</f>
        <v>Tablet</v>
      </c>
      <c r="F1421" s="8" t="str">
        <f t="shared" si="110"/>
        <v>Technology</v>
      </c>
      <c r="G1421" s="5">
        <v>1</v>
      </c>
      <c r="H1421">
        <v>419.1</v>
      </c>
      <c r="I1421" t="s">
        <v>57</v>
      </c>
      <c r="J1421" t="s">
        <v>58</v>
      </c>
      <c r="K1421" s="7">
        <v>0.1</v>
      </c>
      <c r="L1421" t="s">
        <v>21</v>
      </c>
      <c r="M1421" s="5">
        <v>377.19000000000011</v>
      </c>
      <c r="N1421" t="s">
        <v>66</v>
      </c>
      <c r="O1421" t="s">
        <v>67</v>
      </c>
      <c r="P1421" s="5">
        <v>1</v>
      </c>
      <c r="Q1421" t="s">
        <v>2801</v>
      </c>
      <c r="R1421" t="s">
        <v>2802</v>
      </c>
      <c r="S1421" s="5">
        <v>38.81</v>
      </c>
      <c r="T1421" s="3">
        <v>45015</v>
      </c>
      <c r="U1421" s="3">
        <v>45022</v>
      </c>
      <c r="V1421" t="s">
        <v>63</v>
      </c>
      <c r="W1421">
        <f t="shared" si="112"/>
        <v>339.47100000000012</v>
      </c>
      <c r="X1421">
        <f t="shared" si="113"/>
        <v>419.1</v>
      </c>
      <c r="Y1421">
        <f t="shared" si="114"/>
        <v>79.628999999999905</v>
      </c>
      <c r="Z1421" s="8" t="str">
        <f t="shared" si="111"/>
        <v>Medium</v>
      </c>
      <c r="AA1421" s="12">
        <f>DATE(YEAR(Table1[[#This Row],[OrderDate]]),MONTH(Table1[[#This Row],[OrderDate]]),1)</f>
        <v>44986</v>
      </c>
    </row>
    <row r="1422" spans="1:27" x14ac:dyDescent="0.3">
      <c r="A1422" s="3">
        <v>45742</v>
      </c>
      <c r="B1422" t="s">
        <v>9</v>
      </c>
      <c r="C1422" t="s">
        <v>31</v>
      </c>
      <c r="D1422" t="str">
        <f>TRIM(Table1[[#This Row],[Product]])</f>
        <v>Laptop</v>
      </c>
      <c r="E1422" t="str">
        <f>PROPER(Table1[[#This Row],[Column1]])</f>
        <v>Laptop</v>
      </c>
      <c r="F1422" s="8" t="str">
        <f t="shared" si="110"/>
        <v>Technology</v>
      </c>
      <c r="G1422" s="5">
        <v>13</v>
      </c>
      <c r="H1422">
        <v>138.72</v>
      </c>
      <c r="I1422" t="s">
        <v>81</v>
      </c>
      <c r="J1422" t="s">
        <v>58</v>
      </c>
      <c r="K1422" s="7">
        <v>0.15</v>
      </c>
      <c r="L1422" t="s">
        <v>21</v>
      </c>
      <c r="M1422" s="5">
        <v>1532.856</v>
      </c>
      <c r="N1422" t="s">
        <v>88</v>
      </c>
      <c r="O1422" t="s">
        <v>71</v>
      </c>
      <c r="P1422" s="5">
        <v>1</v>
      </c>
      <c r="Q1422" t="s">
        <v>2803</v>
      </c>
      <c r="R1422" t="s">
        <v>2804</v>
      </c>
      <c r="S1422" s="5">
        <v>17.89</v>
      </c>
      <c r="T1422" s="3">
        <v>45742</v>
      </c>
      <c r="U1422" s="3">
        <v>45744</v>
      </c>
      <c r="V1422" t="s">
        <v>63</v>
      </c>
      <c r="W1422">
        <f t="shared" si="112"/>
        <v>1302.9276</v>
      </c>
      <c r="X1422">
        <f t="shared" si="113"/>
        <v>1803.36</v>
      </c>
      <c r="Y1422">
        <f t="shared" si="114"/>
        <v>500.43239999999992</v>
      </c>
      <c r="Z1422" s="8" t="str">
        <f t="shared" si="111"/>
        <v>High</v>
      </c>
      <c r="AA1422" s="12">
        <f>DATE(YEAR(Table1[[#This Row],[OrderDate]]),MONTH(Table1[[#This Row],[OrderDate]]),1)</f>
        <v>45717</v>
      </c>
    </row>
    <row r="1423" spans="1:27" x14ac:dyDescent="0.3">
      <c r="A1423" s="3">
        <v>45160</v>
      </c>
      <c r="B1423" t="s">
        <v>16</v>
      </c>
      <c r="C1423" t="s">
        <v>32</v>
      </c>
      <c r="D1423" t="str">
        <f>TRIM(Table1[[#This Row],[Product]])</f>
        <v>Monitor</v>
      </c>
      <c r="E1423" t="str">
        <f>PROPER(Table1[[#This Row],[Column1]])</f>
        <v>Monitor</v>
      </c>
      <c r="F1423" s="8" t="str">
        <f t="shared" si="110"/>
        <v>Technology</v>
      </c>
      <c r="G1423" s="5">
        <v>8</v>
      </c>
      <c r="H1423">
        <v>461.04</v>
      </c>
      <c r="I1423" t="s">
        <v>57</v>
      </c>
      <c r="J1423" t="s">
        <v>65</v>
      </c>
      <c r="K1423" s="7">
        <v>0</v>
      </c>
      <c r="L1423" t="s">
        <v>18</v>
      </c>
      <c r="M1423" s="5">
        <v>3688.32</v>
      </c>
      <c r="N1423" t="s">
        <v>59</v>
      </c>
      <c r="O1423" t="s">
        <v>60</v>
      </c>
      <c r="P1423" s="5">
        <v>0</v>
      </c>
      <c r="Q1423" t="s">
        <v>2805</v>
      </c>
      <c r="R1423" t="s">
        <v>2806</v>
      </c>
      <c r="S1423" s="5">
        <v>13.62</v>
      </c>
      <c r="T1423" s="3">
        <v>45160</v>
      </c>
      <c r="U1423" s="3">
        <v>45162</v>
      </c>
      <c r="V1423" t="s">
        <v>95</v>
      </c>
      <c r="W1423">
        <f t="shared" si="112"/>
        <v>3688.32</v>
      </c>
      <c r="X1423">
        <f t="shared" si="113"/>
        <v>3688.32</v>
      </c>
      <c r="Y1423">
        <f t="shared" si="114"/>
        <v>0</v>
      </c>
      <c r="Z1423" s="8" t="str">
        <f t="shared" si="111"/>
        <v>No Discount</v>
      </c>
      <c r="AA1423" s="12">
        <f>DATE(YEAR(Table1[[#This Row],[OrderDate]]),MONTH(Table1[[#This Row],[OrderDate]]),1)</f>
        <v>45139</v>
      </c>
    </row>
    <row r="1424" spans="1:27" x14ac:dyDescent="0.3">
      <c r="A1424" s="3">
        <v>45398</v>
      </c>
      <c r="B1424" t="s">
        <v>13</v>
      </c>
      <c r="C1424" t="s">
        <v>33</v>
      </c>
      <c r="D1424" t="str">
        <f>TRIM(Table1[[#This Row],[Product]])</f>
        <v>Phone</v>
      </c>
      <c r="E1424" t="str">
        <f>PROPER(Table1[[#This Row],[Column1]])</f>
        <v>Phone</v>
      </c>
      <c r="F1424" s="8" t="str">
        <f t="shared" si="110"/>
        <v>Technology</v>
      </c>
      <c r="G1424" s="5">
        <v>6</v>
      </c>
      <c r="H1424">
        <v>524.19000000000005</v>
      </c>
      <c r="I1424" t="s">
        <v>81</v>
      </c>
      <c r="J1424" t="s">
        <v>65</v>
      </c>
      <c r="K1424" s="7">
        <v>0.15</v>
      </c>
      <c r="L1424" t="s">
        <v>27</v>
      </c>
      <c r="M1424" s="5">
        <v>2673.3690000000001</v>
      </c>
      <c r="N1424" t="s">
        <v>88</v>
      </c>
      <c r="O1424" t="s">
        <v>71</v>
      </c>
      <c r="P1424" s="5">
        <v>0</v>
      </c>
      <c r="Q1424" t="s">
        <v>2807</v>
      </c>
      <c r="R1424" t="s">
        <v>1255</v>
      </c>
      <c r="S1424" s="5">
        <v>31.04</v>
      </c>
      <c r="T1424" s="3">
        <v>45398</v>
      </c>
      <c r="U1424" s="3">
        <v>45402</v>
      </c>
      <c r="V1424" t="s">
        <v>70</v>
      </c>
      <c r="W1424">
        <f t="shared" si="112"/>
        <v>2272.3636500000002</v>
      </c>
      <c r="X1424">
        <f t="shared" si="113"/>
        <v>3145.1400000000003</v>
      </c>
      <c r="Y1424">
        <f t="shared" si="114"/>
        <v>872.77635000000009</v>
      </c>
      <c r="Z1424" s="8" t="str">
        <f t="shared" si="111"/>
        <v>High</v>
      </c>
      <c r="AA1424" s="12">
        <f>DATE(YEAR(Table1[[#This Row],[OrderDate]]),MONTH(Table1[[#This Row],[OrderDate]]),1)</f>
        <v>45383</v>
      </c>
    </row>
    <row r="1425" spans="1:27" x14ac:dyDescent="0.3">
      <c r="A1425" s="3">
        <v>45788</v>
      </c>
      <c r="B1425" t="s">
        <v>7</v>
      </c>
      <c r="C1425" t="s">
        <v>29</v>
      </c>
      <c r="D1425" t="str">
        <f>TRIM(Table1[[#This Row],[Product]])</f>
        <v>Chair</v>
      </c>
      <c r="E1425" t="str">
        <f>PROPER(Table1[[#This Row],[Column1]])</f>
        <v>Chair</v>
      </c>
      <c r="F1425" s="8" t="str">
        <f t="shared" si="110"/>
        <v>Furniture</v>
      </c>
      <c r="G1425" s="5">
        <v>16</v>
      </c>
      <c r="H1425">
        <v>305.20999999999998</v>
      </c>
      <c r="I1425" t="s">
        <v>64</v>
      </c>
      <c r="J1425" t="s">
        <v>58</v>
      </c>
      <c r="K1425" s="7">
        <v>0.1</v>
      </c>
      <c r="L1425" t="s">
        <v>18</v>
      </c>
      <c r="M1425" s="5">
        <v>4395.0239999999994</v>
      </c>
      <c r="N1425" t="s">
        <v>85</v>
      </c>
      <c r="O1425" t="s">
        <v>67</v>
      </c>
      <c r="P1425" s="5">
        <v>0</v>
      </c>
      <c r="Q1425" t="s">
        <v>2808</v>
      </c>
      <c r="R1425" t="s">
        <v>803</v>
      </c>
      <c r="S1425" s="5">
        <v>33.369999999999997</v>
      </c>
      <c r="T1425" s="3">
        <v>45788</v>
      </c>
      <c r="U1425" s="3">
        <v>45796</v>
      </c>
      <c r="V1425" t="s">
        <v>77</v>
      </c>
      <c r="W1425">
        <f t="shared" si="112"/>
        <v>3955.5215999999996</v>
      </c>
      <c r="X1425">
        <f t="shared" si="113"/>
        <v>4883.3599999999997</v>
      </c>
      <c r="Y1425">
        <f t="shared" si="114"/>
        <v>927.83840000000009</v>
      </c>
      <c r="Z1425" s="8" t="str">
        <f t="shared" si="111"/>
        <v>Medium</v>
      </c>
      <c r="AA1425" s="12">
        <f>DATE(YEAR(Table1[[#This Row],[OrderDate]]),MONTH(Table1[[#This Row],[OrderDate]]),1)</f>
        <v>45778</v>
      </c>
    </row>
    <row r="1426" spans="1:27" x14ac:dyDescent="0.3">
      <c r="A1426" s="3">
        <v>45271</v>
      </c>
      <c r="B1426" t="s">
        <v>11</v>
      </c>
      <c r="C1426" t="s">
        <v>34</v>
      </c>
      <c r="D1426" t="str">
        <f>TRIM(Table1[[#This Row],[Product]])</f>
        <v>Printer</v>
      </c>
      <c r="E1426" t="str">
        <f>PROPER(Table1[[#This Row],[Column1]])</f>
        <v>Printer</v>
      </c>
      <c r="F1426" s="8" t="str">
        <f t="shared" si="110"/>
        <v>Office Supplies</v>
      </c>
      <c r="G1426" s="5">
        <v>16</v>
      </c>
      <c r="H1426">
        <v>438.71</v>
      </c>
      <c r="I1426" t="s">
        <v>78</v>
      </c>
      <c r="J1426" t="s">
        <v>65</v>
      </c>
      <c r="K1426" s="7">
        <v>0</v>
      </c>
      <c r="L1426" t="s">
        <v>18</v>
      </c>
      <c r="M1426" s="5">
        <v>7019.36</v>
      </c>
      <c r="N1426" t="s">
        <v>59</v>
      </c>
      <c r="P1426" s="5">
        <v>0</v>
      </c>
      <c r="Q1426" t="s">
        <v>2809</v>
      </c>
      <c r="R1426" t="s">
        <v>2810</v>
      </c>
      <c r="S1426" s="5">
        <v>6.53</v>
      </c>
      <c r="T1426" s="3">
        <v>45271</v>
      </c>
      <c r="U1426" s="3">
        <v>45281</v>
      </c>
      <c r="V1426" t="s">
        <v>74</v>
      </c>
      <c r="W1426">
        <f t="shared" si="112"/>
        <v>7019.36</v>
      </c>
      <c r="X1426">
        <f t="shared" si="113"/>
        <v>7019.36</v>
      </c>
      <c r="Y1426">
        <f t="shared" si="114"/>
        <v>0</v>
      </c>
      <c r="Z1426" s="8" t="str">
        <f t="shared" si="111"/>
        <v>No Discount</v>
      </c>
      <c r="AA1426" s="12">
        <f>DATE(YEAR(Table1[[#This Row],[OrderDate]]),MONTH(Table1[[#This Row],[OrderDate]]),1)</f>
        <v>45261</v>
      </c>
    </row>
    <row r="1427" spans="1:27" x14ac:dyDescent="0.3">
      <c r="A1427" s="3">
        <v>44942</v>
      </c>
      <c r="B1427" t="s">
        <v>11</v>
      </c>
      <c r="C1427" t="s">
        <v>34</v>
      </c>
      <c r="D1427" t="str">
        <f>TRIM(Table1[[#This Row],[Product]])</f>
        <v>Printer</v>
      </c>
      <c r="E1427" t="str">
        <f>PROPER(Table1[[#This Row],[Column1]])</f>
        <v>Printer</v>
      </c>
      <c r="F1427" s="8" t="str">
        <f t="shared" si="110"/>
        <v>Office Supplies</v>
      </c>
      <c r="G1427" s="5">
        <v>10</v>
      </c>
      <c r="H1427">
        <v>193.96</v>
      </c>
      <c r="I1427" t="s">
        <v>81</v>
      </c>
      <c r="J1427" t="s">
        <v>58</v>
      </c>
      <c r="K1427" s="7">
        <v>0.1</v>
      </c>
      <c r="L1427" t="s">
        <v>18</v>
      </c>
      <c r="M1427" s="5">
        <v>1745.64</v>
      </c>
      <c r="N1427" t="s">
        <v>66</v>
      </c>
      <c r="P1427" s="5">
        <v>0</v>
      </c>
      <c r="Q1427" t="s">
        <v>2811</v>
      </c>
      <c r="R1427" t="s">
        <v>2812</v>
      </c>
      <c r="S1427" s="5">
        <v>41.3</v>
      </c>
      <c r="T1427" s="3">
        <v>44942</v>
      </c>
      <c r="U1427" s="3">
        <v>44947</v>
      </c>
      <c r="V1427" t="s">
        <v>74</v>
      </c>
      <c r="W1427">
        <f t="shared" si="112"/>
        <v>1571.076</v>
      </c>
      <c r="X1427">
        <f t="shared" si="113"/>
        <v>1939.6000000000001</v>
      </c>
      <c r="Y1427">
        <f t="shared" si="114"/>
        <v>368.52400000000011</v>
      </c>
      <c r="Z1427" s="8" t="str">
        <f t="shared" si="111"/>
        <v>Medium</v>
      </c>
      <c r="AA1427" s="12">
        <f>DATE(YEAR(Table1[[#This Row],[OrderDate]]),MONTH(Table1[[#This Row],[OrderDate]]),1)</f>
        <v>44927</v>
      </c>
    </row>
    <row r="1428" spans="1:27" x14ac:dyDescent="0.3">
      <c r="A1428" s="3">
        <v>45056</v>
      </c>
      <c r="B1428" t="s">
        <v>9</v>
      </c>
      <c r="C1428" t="s">
        <v>33</v>
      </c>
      <c r="D1428" t="str">
        <f>TRIM(Table1[[#This Row],[Product]])</f>
        <v>Phone</v>
      </c>
      <c r="E1428" t="str">
        <f>PROPER(Table1[[#This Row],[Column1]])</f>
        <v>Phone</v>
      </c>
      <c r="F1428" s="8" t="str">
        <f t="shared" si="110"/>
        <v>Technology</v>
      </c>
      <c r="G1428" s="5">
        <v>18</v>
      </c>
      <c r="H1428">
        <v>580.41999999999996</v>
      </c>
      <c r="I1428" t="s">
        <v>64</v>
      </c>
      <c r="J1428" t="s">
        <v>58</v>
      </c>
      <c r="K1428" s="7">
        <v>0.05</v>
      </c>
      <c r="L1428" t="s">
        <v>19</v>
      </c>
      <c r="M1428" s="5">
        <v>9925.1819999999989</v>
      </c>
      <c r="N1428" t="s">
        <v>59</v>
      </c>
      <c r="O1428" t="s">
        <v>67</v>
      </c>
      <c r="P1428" s="5">
        <v>0</v>
      </c>
      <c r="Q1428" t="s">
        <v>2813</v>
      </c>
      <c r="R1428" t="s">
        <v>2814</v>
      </c>
      <c r="S1428" s="5">
        <v>37.81</v>
      </c>
      <c r="T1428" s="3">
        <v>45056</v>
      </c>
      <c r="U1428" s="3">
        <v>45063</v>
      </c>
      <c r="V1428" t="s">
        <v>63</v>
      </c>
      <c r="W1428">
        <f t="shared" si="112"/>
        <v>9428.9228999999978</v>
      </c>
      <c r="X1428">
        <f t="shared" si="113"/>
        <v>10447.56</v>
      </c>
      <c r="Y1428">
        <f t="shared" si="114"/>
        <v>1018.6371000000017</v>
      </c>
      <c r="Z1428" s="8" t="str">
        <f t="shared" si="111"/>
        <v>Medium</v>
      </c>
      <c r="AA1428" s="12">
        <f>DATE(YEAR(Table1[[#This Row],[OrderDate]]),MONTH(Table1[[#This Row],[OrderDate]]),1)</f>
        <v>45047</v>
      </c>
    </row>
    <row r="1429" spans="1:27" x14ac:dyDescent="0.3">
      <c r="A1429" s="3">
        <v>45465</v>
      </c>
      <c r="B1429" t="s">
        <v>7</v>
      </c>
      <c r="C1429" t="s">
        <v>32</v>
      </c>
      <c r="D1429" t="str">
        <f>TRIM(Table1[[#This Row],[Product]])</f>
        <v>Monitor</v>
      </c>
      <c r="E1429" t="str">
        <f>PROPER(Table1[[#This Row],[Column1]])</f>
        <v>Monitor</v>
      </c>
      <c r="F1429" s="8" t="str">
        <f t="shared" si="110"/>
        <v>Technology</v>
      </c>
      <c r="G1429" s="5">
        <v>18</v>
      </c>
      <c r="H1429">
        <v>91.55</v>
      </c>
      <c r="I1429" t="s">
        <v>78</v>
      </c>
      <c r="J1429" t="s">
        <v>65</v>
      </c>
      <c r="K1429" s="7">
        <v>0.1</v>
      </c>
      <c r="L1429" t="s">
        <v>18</v>
      </c>
      <c r="M1429" s="5">
        <v>1483.11</v>
      </c>
      <c r="N1429" t="s">
        <v>85</v>
      </c>
      <c r="O1429" t="s">
        <v>60</v>
      </c>
      <c r="P1429" s="5">
        <v>0</v>
      </c>
      <c r="Q1429" t="s">
        <v>2815</v>
      </c>
      <c r="R1429" t="s">
        <v>2816</v>
      </c>
      <c r="S1429" s="5">
        <v>32.54</v>
      </c>
      <c r="T1429" s="3">
        <v>45465</v>
      </c>
      <c r="U1429" s="3">
        <v>45472</v>
      </c>
      <c r="V1429" t="s">
        <v>77</v>
      </c>
      <c r="W1429">
        <f t="shared" si="112"/>
        <v>1334.799</v>
      </c>
      <c r="X1429">
        <f t="shared" si="113"/>
        <v>1647.8999999999999</v>
      </c>
      <c r="Y1429">
        <f t="shared" si="114"/>
        <v>313.10099999999989</v>
      </c>
      <c r="Z1429" s="8" t="str">
        <f t="shared" si="111"/>
        <v>Medium</v>
      </c>
      <c r="AA1429" s="12">
        <f>DATE(YEAR(Table1[[#This Row],[OrderDate]]),MONTH(Table1[[#This Row],[OrderDate]]),1)</f>
        <v>45444</v>
      </c>
    </row>
    <row r="1430" spans="1:27" x14ac:dyDescent="0.3">
      <c r="A1430" s="3">
        <v>45745</v>
      </c>
      <c r="B1430" t="s">
        <v>16</v>
      </c>
      <c r="C1430" t="s">
        <v>35</v>
      </c>
      <c r="D1430" t="str">
        <f>TRIM(Table1[[#This Row],[Product]])</f>
        <v>Tablet</v>
      </c>
      <c r="E1430" t="str">
        <f>PROPER(Table1[[#This Row],[Column1]])</f>
        <v>Tablet</v>
      </c>
      <c r="F1430" s="8" t="str">
        <f t="shared" si="110"/>
        <v>Technology</v>
      </c>
      <c r="G1430" s="5">
        <v>13</v>
      </c>
      <c r="H1430">
        <v>113.78</v>
      </c>
      <c r="I1430" t="s">
        <v>78</v>
      </c>
      <c r="J1430" t="s">
        <v>58</v>
      </c>
      <c r="K1430" s="7">
        <v>0.1</v>
      </c>
      <c r="L1430" t="s">
        <v>25</v>
      </c>
      <c r="M1430" s="5">
        <v>1331.2260000000001</v>
      </c>
      <c r="N1430" t="s">
        <v>59</v>
      </c>
      <c r="O1430" t="s">
        <v>60</v>
      </c>
      <c r="P1430" s="5">
        <v>0</v>
      </c>
      <c r="Q1430" t="s">
        <v>2817</v>
      </c>
      <c r="R1430" t="s">
        <v>2818</v>
      </c>
      <c r="S1430" s="5">
        <v>28.07</v>
      </c>
      <c r="T1430" s="3">
        <v>45745</v>
      </c>
      <c r="U1430" s="3">
        <v>45754</v>
      </c>
      <c r="V1430" t="s">
        <v>95</v>
      </c>
      <c r="W1430">
        <f t="shared" si="112"/>
        <v>1198.1034000000002</v>
      </c>
      <c r="X1430">
        <f t="shared" si="113"/>
        <v>1479.14</v>
      </c>
      <c r="Y1430">
        <f t="shared" si="114"/>
        <v>281.03659999999991</v>
      </c>
      <c r="Z1430" s="8" t="str">
        <f t="shared" si="111"/>
        <v>Medium</v>
      </c>
      <c r="AA1430" s="12">
        <f>DATE(YEAR(Table1[[#This Row],[OrderDate]]),MONTH(Table1[[#This Row],[OrderDate]]),1)</f>
        <v>45717</v>
      </c>
    </row>
    <row r="1431" spans="1:27" x14ac:dyDescent="0.3">
      <c r="A1431" s="3">
        <v>45034</v>
      </c>
      <c r="B1431" t="s">
        <v>11</v>
      </c>
      <c r="C1431" t="s">
        <v>35</v>
      </c>
      <c r="D1431" t="str">
        <f>TRIM(Table1[[#This Row],[Product]])</f>
        <v>Tablet</v>
      </c>
      <c r="E1431" t="str">
        <f>PROPER(Table1[[#This Row],[Column1]])</f>
        <v>Tablet</v>
      </c>
      <c r="F1431" s="8" t="str">
        <f t="shared" si="110"/>
        <v>Technology</v>
      </c>
      <c r="G1431" s="5">
        <v>16</v>
      </c>
      <c r="H1431">
        <v>477.91</v>
      </c>
      <c r="I1431" t="s">
        <v>64</v>
      </c>
      <c r="J1431" t="s">
        <v>58</v>
      </c>
      <c r="K1431" s="7">
        <v>0</v>
      </c>
      <c r="L1431" t="s">
        <v>21</v>
      </c>
      <c r="M1431" s="5">
        <v>7646.56</v>
      </c>
      <c r="N1431" t="s">
        <v>82</v>
      </c>
      <c r="O1431" t="s">
        <v>71</v>
      </c>
      <c r="P1431" s="5">
        <v>0</v>
      </c>
      <c r="Q1431" t="s">
        <v>2819</v>
      </c>
      <c r="R1431" t="s">
        <v>2820</v>
      </c>
      <c r="S1431" s="5">
        <v>21.89</v>
      </c>
      <c r="T1431" s="3">
        <v>45034</v>
      </c>
      <c r="U1431" s="3">
        <v>45039</v>
      </c>
      <c r="V1431" t="s">
        <v>74</v>
      </c>
      <c r="W1431">
        <f t="shared" si="112"/>
        <v>7646.56</v>
      </c>
      <c r="X1431">
        <f t="shared" si="113"/>
        <v>7646.56</v>
      </c>
      <c r="Y1431">
        <f t="shared" si="114"/>
        <v>0</v>
      </c>
      <c r="Z1431" s="8" t="str">
        <f t="shared" si="111"/>
        <v>No Discount</v>
      </c>
      <c r="AA1431" s="12">
        <f>DATE(YEAR(Table1[[#This Row],[OrderDate]]),MONTH(Table1[[#This Row],[OrderDate]]),1)</f>
        <v>45017</v>
      </c>
    </row>
    <row r="1432" spans="1:27" x14ac:dyDescent="0.3">
      <c r="A1432" s="3">
        <v>44964</v>
      </c>
      <c r="B1432" t="s">
        <v>7</v>
      </c>
      <c r="C1432" t="s">
        <v>31</v>
      </c>
      <c r="D1432" t="str">
        <f>TRIM(Table1[[#This Row],[Product]])</f>
        <v>Laptop</v>
      </c>
      <c r="E1432" t="str">
        <f>PROPER(Table1[[#This Row],[Column1]])</f>
        <v>Laptop</v>
      </c>
      <c r="F1432" s="8" t="str">
        <f t="shared" si="110"/>
        <v>Technology</v>
      </c>
      <c r="G1432" s="5">
        <v>14</v>
      </c>
      <c r="H1432">
        <v>306.39</v>
      </c>
      <c r="I1432" t="s">
        <v>64</v>
      </c>
      <c r="J1432" t="s">
        <v>65</v>
      </c>
      <c r="K1432" s="7">
        <v>0.1</v>
      </c>
      <c r="L1432" t="s">
        <v>25</v>
      </c>
      <c r="M1432" s="5">
        <v>3860.5140000000001</v>
      </c>
      <c r="N1432" t="s">
        <v>88</v>
      </c>
      <c r="O1432" t="s">
        <v>71</v>
      </c>
      <c r="P1432" s="5">
        <v>0</v>
      </c>
      <c r="Q1432" t="s">
        <v>2821</v>
      </c>
      <c r="R1432" t="s">
        <v>2822</v>
      </c>
      <c r="S1432" s="5">
        <v>38.729999999999997</v>
      </c>
      <c r="T1432" s="3">
        <v>44964</v>
      </c>
      <c r="U1432" s="3">
        <v>44966</v>
      </c>
      <c r="V1432" t="s">
        <v>77</v>
      </c>
      <c r="W1432">
        <f t="shared" si="112"/>
        <v>3474.4626000000003</v>
      </c>
      <c r="X1432">
        <f t="shared" si="113"/>
        <v>4289.46</v>
      </c>
      <c r="Y1432">
        <f t="shared" si="114"/>
        <v>814.99739999999974</v>
      </c>
      <c r="Z1432" s="8" t="str">
        <f t="shared" si="111"/>
        <v>Medium</v>
      </c>
      <c r="AA1432" s="12">
        <f>DATE(YEAR(Table1[[#This Row],[OrderDate]]),MONTH(Table1[[#This Row],[OrderDate]]),1)</f>
        <v>44958</v>
      </c>
    </row>
    <row r="1433" spans="1:27" x14ac:dyDescent="0.3">
      <c r="A1433" s="3">
        <v>45679</v>
      </c>
      <c r="B1433" t="s">
        <v>9</v>
      </c>
      <c r="C1433" t="s">
        <v>35</v>
      </c>
      <c r="D1433" t="str">
        <f>TRIM(Table1[[#This Row],[Product]])</f>
        <v>Tablet</v>
      </c>
      <c r="E1433" t="str">
        <f>PROPER(Table1[[#This Row],[Column1]])</f>
        <v>Tablet</v>
      </c>
      <c r="F1433" s="8" t="str">
        <f t="shared" si="110"/>
        <v>Technology</v>
      </c>
      <c r="G1433" s="5">
        <v>17</v>
      </c>
      <c r="H1433">
        <v>8.33</v>
      </c>
      <c r="I1433" t="s">
        <v>64</v>
      </c>
      <c r="J1433" t="s">
        <v>65</v>
      </c>
      <c r="K1433" s="7">
        <v>0.05</v>
      </c>
      <c r="L1433" t="s">
        <v>25</v>
      </c>
      <c r="M1433" s="5">
        <v>134.52950000000001</v>
      </c>
      <c r="N1433" t="s">
        <v>88</v>
      </c>
      <c r="P1433" s="5">
        <v>0</v>
      </c>
      <c r="Q1433" t="s">
        <v>2823</v>
      </c>
      <c r="R1433" t="s">
        <v>2824</v>
      </c>
      <c r="S1433" s="5">
        <v>43.29</v>
      </c>
      <c r="T1433" s="3">
        <v>45679</v>
      </c>
      <c r="U1433" s="3">
        <v>45682</v>
      </c>
      <c r="V1433" t="s">
        <v>63</v>
      </c>
      <c r="W1433">
        <f t="shared" si="112"/>
        <v>127.80302500000001</v>
      </c>
      <c r="X1433">
        <f t="shared" si="113"/>
        <v>141.61000000000001</v>
      </c>
      <c r="Y1433">
        <f t="shared" si="114"/>
        <v>13.806975000000008</v>
      </c>
      <c r="Z1433" s="8" t="str">
        <f t="shared" si="111"/>
        <v>Medium</v>
      </c>
      <c r="AA1433" s="12">
        <f>DATE(YEAR(Table1[[#This Row],[OrderDate]]),MONTH(Table1[[#This Row],[OrderDate]]),1)</f>
        <v>45658</v>
      </c>
    </row>
    <row r="1434" spans="1:27" x14ac:dyDescent="0.3">
      <c r="A1434" s="3">
        <v>45111</v>
      </c>
      <c r="B1434" t="s">
        <v>9</v>
      </c>
      <c r="C1434" t="s">
        <v>33</v>
      </c>
      <c r="D1434" t="str">
        <f>TRIM(Table1[[#This Row],[Product]])</f>
        <v>Phone</v>
      </c>
      <c r="E1434" t="str">
        <f>PROPER(Table1[[#This Row],[Column1]])</f>
        <v>Phone</v>
      </c>
      <c r="F1434" s="8" t="str">
        <f t="shared" si="110"/>
        <v>Technology</v>
      </c>
      <c r="G1434" s="5">
        <v>6</v>
      </c>
      <c r="H1434">
        <v>346.86</v>
      </c>
      <c r="I1434" t="s">
        <v>78</v>
      </c>
      <c r="J1434" t="s">
        <v>65</v>
      </c>
      <c r="K1434" s="7">
        <v>0.05</v>
      </c>
      <c r="L1434" t="s">
        <v>25</v>
      </c>
      <c r="M1434" s="5">
        <v>1977.1020000000001</v>
      </c>
      <c r="N1434" t="s">
        <v>66</v>
      </c>
      <c r="O1434" t="s">
        <v>60</v>
      </c>
      <c r="P1434" s="5">
        <v>0</v>
      </c>
      <c r="Q1434" t="s">
        <v>2825</v>
      </c>
      <c r="R1434" t="s">
        <v>2826</v>
      </c>
      <c r="S1434" s="5">
        <v>29.18</v>
      </c>
      <c r="T1434" s="3">
        <v>45111</v>
      </c>
      <c r="U1434" s="3">
        <v>45119</v>
      </c>
      <c r="V1434" t="s">
        <v>63</v>
      </c>
      <c r="W1434">
        <f t="shared" si="112"/>
        <v>1878.2469000000001</v>
      </c>
      <c r="X1434">
        <f t="shared" si="113"/>
        <v>2081.16</v>
      </c>
      <c r="Y1434">
        <f t="shared" si="114"/>
        <v>202.91309999999976</v>
      </c>
      <c r="Z1434" s="8" t="str">
        <f t="shared" si="111"/>
        <v>Medium</v>
      </c>
      <c r="AA1434" s="12">
        <f>DATE(YEAR(Table1[[#This Row],[OrderDate]]),MONTH(Table1[[#This Row],[OrderDate]]),1)</f>
        <v>45108</v>
      </c>
    </row>
    <row r="1435" spans="1:27" x14ac:dyDescent="0.3">
      <c r="A1435" s="3">
        <v>45138</v>
      </c>
      <c r="B1435" t="s">
        <v>7</v>
      </c>
      <c r="C1435" t="s">
        <v>30</v>
      </c>
      <c r="D1435" t="str">
        <f>TRIM(Table1[[#This Row],[Product]])</f>
        <v>Desk</v>
      </c>
      <c r="E1435" t="str">
        <f>PROPER(Table1[[#This Row],[Column1]])</f>
        <v>Desk</v>
      </c>
      <c r="F1435" s="8" t="str">
        <f t="shared" si="110"/>
        <v>Furniture</v>
      </c>
      <c r="G1435" s="5">
        <v>14</v>
      </c>
      <c r="H1435">
        <v>223.26</v>
      </c>
      <c r="I1435" t="s">
        <v>57</v>
      </c>
      <c r="J1435" t="s">
        <v>58</v>
      </c>
      <c r="K1435" s="7">
        <v>0.1</v>
      </c>
      <c r="L1435" t="s">
        <v>18</v>
      </c>
      <c r="M1435" s="5">
        <v>2813.076</v>
      </c>
      <c r="N1435" t="s">
        <v>82</v>
      </c>
      <c r="O1435" t="s">
        <v>71</v>
      </c>
      <c r="P1435" s="5">
        <v>0</v>
      </c>
      <c r="Q1435" t="s">
        <v>2827</v>
      </c>
      <c r="R1435" t="s">
        <v>2828</v>
      </c>
      <c r="S1435" s="5">
        <v>12.88</v>
      </c>
      <c r="T1435" s="3">
        <v>45138</v>
      </c>
      <c r="U1435" s="3">
        <v>45141</v>
      </c>
      <c r="V1435" t="s">
        <v>77</v>
      </c>
      <c r="W1435">
        <f t="shared" si="112"/>
        <v>2531.7683999999999</v>
      </c>
      <c r="X1435">
        <f t="shared" si="113"/>
        <v>3125.64</v>
      </c>
      <c r="Y1435">
        <f t="shared" si="114"/>
        <v>593.87159999999994</v>
      </c>
      <c r="Z1435" s="8" t="str">
        <f t="shared" si="111"/>
        <v>Medium</v>
      </c>
      <c r="AA1435" s="12">
        <f>DATE(YEAR(Table1[[#This Row],[OrderDate]]),MONTH(Table1[[#This Row],[OrderDate]]),1)</f>
        <v>45108</v>
      </c>
    </row>
    <row r="1436" spans="1:27" x14ac:dyDescent="0.3">
      <c r="A1436" s="3">
        <v>45036</v>
      </c>
      <c r="B1436" t="s">
        <v>11</v>
      </c>
      <c r="C1436" t="s">
        <v>30</v>
      </c>
      <c r="D1436" t="str">
        <f>TRIM(Table1[[#This Row],[Product]])</f>
        <v>Desk</v>
      </c>
      <c r="E1436" t="str">
        <f>PROPER(Table1[[#This Row],[Column1]])</f>
        <v>Desk</v>
      </c>
      <c r="F1436" s="8" t="str">
        <f t="shared" si="110"/>
        <v>Furniture</v>
      </c>
      <c r="G1436" s="5">
        <v>6</v>
      </c>
      <c r="H1436">
        <v>529.1</v>
      </c>
      <c r="I1436" t="s">
        <v>81</v>
      </c>
      <c r="J1436" t="s">
        <v>58</v>
      </c>
      <c r="K1436" s="7">
        <v>0</v>
      </c>
      <c r="L1436" t="s">
        <v>25</v>
      </c>
      <c r="M1436" s="5">
        <v>3174.6</v>
      </c>
      <c r="N1436" t="s">
        <v>85</v>
      </c>
      <c r="O1436" t="s">
        <v>71</v>
      </c>
      <c r="P1436" s="5">
        <v>0</v>
      </c>
      <c r="Q1436" t="s">
        <v>2829</v>
      </c>
      <c r="R1436" t="s">
        <v>2830</v>
      </c>
      <c r="S1436" s="5">
        <v>5.13</v>
      </c>
      <c r="T1436" s="3">
        <v>45036</v>
      </c>
      <c r="U1436" s="3">
        <v>45043</v>
      </c>
      <c r="V1436" t="s">
        <v>74</v>
      </c>
      <c r="W1436">
        <f t="shared" si="112"/>
        <v>3174.6</v>
      </c>
      <c r="X1436">
        <f t="shared" si="113"/>
        <v>3174.6000000000004</v>
      </c>
      <c r="Y1436">
        <f t="shared" si="114"/>
        <v>0</v>
      </c>
      <c r="Z1436" s="8" t="str">
        <f t="shared" si="111"/>
        <v>No Discount</v>
      </c>
      <c r="AA1436" s="12">
        <f>DATE(YEAR(Table1[[#This Row],[OrderDate]]),MONTH(Table1[[#This Row],[OrderDate]]),1)</f>
        <v>45017</v>
      </c>
    </row>
    <row r="1437" spans="1:27" x14ac:dyDescent="0.3">
      <c r="A1437" s="3">
        <v>45573</v>
      </c>
      <c r="B1437" t="s">
        <v>7</v>
      </c>
      <c r="C1437" t="s">
        <v>35</v>
      </c>
      <c r="D1437" t="str">
        <f>TRIM(Table1[[#This Row],[Product]])</f>
        <v>Tablet</v>
      </c>
      <c r="E1437" t="str">
        <f>PROPER(Table1[[#This Row],[Column1]])</f>
        <v>Tablet</v>
      </c>
      <c r="F1437" s="8" t="str">
        <f t="shared" si="110"/>
        <v>Technology</v>
      </c>
      <c r="G1437" s="5">
        <v>11</v>
      </c>
      <c r="H1437">
        <v>97.34</v>
      </c>
      <c r="I1437" t="s">
        <v>81</v>
      </c>
      <c r="J1437" t="s">
        <v>58</v>
      </c>
      <c r="K1437" s="7">
        <v>0.1</v>
      </c>
      <c r="L1437" t="s">
        <v>21</v>
      </c>
      <c r="M1437" s="5">
        <v>963.66600000000005</v>
      </c>
      <c r="N1437" t="s">
        <v>85</v>
      </c>
      <c r="O1437" t="s">
        <v>67</v>
      </c>
      <c r="P1437" s="5">
        <v>0</v>
      </c>
      <c r="Q1437" t="s">
        <v>2831</v>
      </c>
      <c r="R1437" t="s">
        <v>2832</v>
      </c>
      <c r="S1437" s="5">
        <v>10.61</v>
      </c>
      <c r="T1437" s="3">
        <v>45573</v>
      </c>
      <c r="U1437" s="3">
        <v>45576</v>
      </c>
      <c r="V1437" t="s">
        <v>77</v>
      </c>
      <c r="W1437">
        <f t="shared" si="112"/>
        <v>867.29940000000011</v>
      </c>
      <c r="X1437">
        <f t="shared" si="113"/>
        <v>1070.74</v>
      </c>
      <c r="Y1437">
        <f t="shared" si="114"/>
        <v>203.4405999999999</v>
      </c>
      <c r="Z1437" s="8" t="str">
        <f t="shared" si="111"/>
        <v>Medium</v>
      </c>
      <c r="AA1437" s="12">
        <f>DATE(YEAR(Table1[[#This Row],[OrderDate]]),MONTH(Table1[[#This Row],[OrderDate]]),1)</f>
        <v>45566</v>
      </c>
    </row>
    <row r="1438" spans="1:27" x14ac:dyDescent="0.3">
      <c r="A1438" s="3">
        <v>45316</v>
      </c>
      <c r="B1438" t="s">
        <v>9</v>
      </c>
      <c r="C1438" t="s">
        <v>29</v>
      </c>
      <c r="D1438" t="str">
        <f>TRIM(Table1[[#This Row],[Product]])</f>
        <v>Chair</v>
      </c>
      <c r="E1438" t="str">
        <f>PROPER(Table1[[#This Row],[Column1]])</f>
        <v>Chair</v>
      </c>
      <c r="F1438" s="8" t="str">
        <f t="shared" si="110"/>
        <v>Furniture</v>
      </c>
      <c r="G1438" s="5">
        <v>11</v>
      </c>
      <c r="H1438">
        <v>422.89</v>
      </c>
      <c r="I1438" t="s">
        <v>57</v>
      </c>
      <c r="J1438" t="s">
        <v>65</v>
      </c>
      <c r="K1438" s="7">
        <v>0.1</v>
      </c>
      <c r="L1438" t="s">
        <v>27</v>
      </c>
      <c r="M1438" s="5">
        <v>4186.6109999999999</v>
      </c>
      <c r="N1438" t="s">
        <v>82</v>
      </c>
      <c r="O1438" t="s">
        <v>67</v>
      </c>
      <c r="P1438" s="5">
        <v>0</v>
      </c>
      <c r="Q1438" t="s">
        <v>2833</v>
      </c>
      <c r="R1438" t="s">
        <v>2834</v>
      </c>
      <c r="S1438" s="5">
        <v>45.89</v>
      </c>
      <c r="T1438" s="3">
        <v>45316</v>
      </c>
      <c r="U1438" s="3">
        <v>45318</v>
      </c>
      <c r="V1438" t="s">
        <v>63</v>
      </c>
      <c r="W1438">
        <f t="shared" si="112"/>
        <v>3767.9499000000001</v>
      </c>
      <c r="X1438">
        <f t="shared" si="113"/>
        <v>4651.79</v>
      </c>
      <c r="Y1438">
        <f t="shared" si="114"/>
        <v>883.84009999999989</v>
      </c>
      <c r="Z1438" s="8" t="str">
        <f t="shared" si="111"/>
        <v>Medium</v>
      </c>
      <c r="AA1438" s="12">
        <f>DATE(YEAR(Table1[[#This Row],[OrderDate]]),MONTH(Table1[[#This Row],[OrderDate]]),1)</f>
        <v>45292</v>
      </c>
    </row>
    <row r="1439" spans="1:27" x14ac:dyDescent="0.3">
      <c r="A1439" s="3">
        <v>45642</v>
      </c>
      <c r="B1439" t="s">
        <v>13</v>
      </c>
      <c r="C1439" t="s">
        <v>32</v>
      </c>
      <c r="D1439" t="str">
        <f>TRIM(Table1[[#This Row],[Product]])</f>
        <v>Monitor</v>
      </c>
      <c r="E1439" t="str">
        <f>PROPER(Table1[[#This Row],[Column1]])</f>
        <v>Monitor</v>
      </c>
      <c r="F1439" s="8" t="str">
        <f t="shared" si="110"/>
        <v>Technology</v>
      </c>
      <c r="G1439" s="5">
        <v>4</v>
      </c>
      <c r="H1439">
        <v>557.16999999999996</v>
      </c>
      <c r="I1439" t="s">
        <v>78</v>
      </c>
      <c r="J1439" t="s">
        <v>58</v>
      </c>
      <c r="K1439" s="7">
        <v>0.05</v>
      </c>
      <c r="L1439" t="s">
        <v>27</v>
      </c>
      <c r="M1439" s="5">
        <v>2117.2460000000001</v>
      </c>
      <c r="N1439" t="s">
        <v>82</v>
      </c>
      <c r="P1439" s="5">
        <v>0</v>
      </c>
      <c r="Q1439" t="s">
        <v>2835</v>
      </c>
      <c r="R1439" t="s">
        <v>2836</v>
      </c>
      <c r="S1439" s="5">
        <v>32.159999999999997</v>
      </c>
      <c r="T1439" s="3">
        <v>45642</v>
      </c>
      <c r="U1439" s="3">
        <v>45651</v>
      </c>
      <c r="V1439" t="s">
        <v>70</v>
      </c>
      <c r="W1439">
        <f t="shared" si="112"/>
        <v>2011.3837000000001</v>
      </c>
      <c r="X1439">
        <f t="shared" si="113"/>
        <v>2228.6799999999998</v>
      </c>
      <c r="Y1439">
        <f t="shared" si="114"/>
        <v>217.29629999999975</v>
      </c>
      <c r="Z1439" s="8" t="str">
        <f t="shared" si="111"/>
        <v>Medium</v>
      </c>
      <c r="AA1439" s="12">
        <f>DATE(YEAR(Table1[[#This Row],[OrderDate]]),MONTH(Table1[[#This Row],[OrderDate]]),1)</f>
        <v>45627</v>
      </c>
    </row>
    <row r="1440" spans="1:27" x14ac:dyDescent="0.3">
      <c r="A1440" s="3">
        <v>45589</v>
      </c>
      <c r="B1440" t="s">
        <v>7</v>
      </c>
      <c r="C1440" t="s">
        <v>34</v>
      </c>
      <c r="D1440" t="str">
        <f>TRIM(Table1[[#This Row],[Product]])</f>
        <v>Printer</v>
      </c>
      <c r="E1440" t="str">
        <f>PROPER(Table1[[#This Row],[Column1]])</f>
        <v>Printer</v>
      </c>
      <c r="F1440" s="8" t="str">
        <f t="shared" si="110"/>
        <v>Office Supplies</v>
      </c>
      <c r="G1440" s="5">
        <v>9</v>
      </c>
      <c r="H1440">
        <v>459.65</v>
      </c>
      <c r="I1440" t="s">
        <v>57</v>
      </c>
      <c r="J1440" t="s">
        <v>65</v>
      </c>
      <c r="K1440" s="7">
        <v>0.1</v>
      </c>
      <c r="L1440" t="s">
        <v>19</v>
      </c>
      <c r="M1440" s="5">
        <v>3723.165</v>
      </c>
      <c r="N1440" t="s">
        <v>66</v>
      </c>
      <c r="O1440" t="s">
        <v>71</v>
      </c>
      <c r="P1440" s="5">
        <v>1</v>
      </c>
      <c r="Q1440" t="s">
        <v>2837</v>
      </c>
      <c r="R1440" t="s">
        <v>97</v>
      </c>
      <c r="S1440" s="5">
        <v>22.24</v>
      </c>
      <c r="T1440" s="3">
        <v>45589</v>
      </c>
      <c r="U1440" s="3">
        <v>45597</v>
      </c>
      <c r="V1440" t="s">
        <v>77</v>
      </c>
      <c r="W1440">
        <f t="shared" si="112"/>
        <v>3350.8485000000001</v>
      </c>
      <c r="X1440">
        <f t="shared" si="113"/>
        <v>4136.8499999999995</v>
      </c>
      <c r="Y1440">
        <f t="shared" si="114"/>
        <v>786.0014999999994</v>
      </c>
      <c r="Z1440" s="8" t="str">
        <f t="shared" si="111"/>
        <v>Medium</v>
      </c>
      <c r="AA1440" s="12">
        <f>DATE(YEAR(Table1[[#This Row],[OrderDate]]),MONTH(Table1[[#This Row],[OrderDate]]),1)</f>
        <v>45566</v>
      </c>
    </row>
    <row r="1441" spans="1:27" x14ac:dyDescent="0.3">
      <c r="A1441" s="3">
        <v>45246</v>
      </c>
      <c r="B1441" t="s">
        <v>16</v>
      </c>
      <c r="C1441" t="s">
        <v>32</v>
      </c>
      <c r="D1441" t="str">
        <f>TRIM(Table1[[#This Row],[Product]])</f>
        <v>Monitor</v>
      </c>
      <c r="E1441" t="str">
        <f>PROPER(Table1[[#This Row],[Column1]])</f>
        <v>Monitor</v>
      </c>
      <c r="F1441" s="8" t="str">
        <f t="shared" si="110"/>
        <v>Technology</v>
      </c>
      <c r="G1441" s="5">
        <v>8</v>
      </c>
      <c r="H1441">
        <v>493.35</v>
      </c>
      <c r="I1441" t="s">
        <v>64</v>
      </c>
      <c r="J1441" t="s">
        <v>65</v>
      </c>
      <c r="K1441" s="7">
        <v>0.1</v>
      </c>
      <c r="L1441" t="s">
        <v>18</v>
      </c>
      <c r="M1441" s="5">
        <v>3552.12</v>
      </c>
      <c r="N1441" t="s">
        <v>88</v>
      </c>
      <c r="O1441" t="s">
        <v>60</v>
      </c>
      <c r="P1441" s="5">
        <v>1</v>
      </c>
      <c r="Q1441" t="s">
        <v>2838</v>
      </c>
      <c r="R1441" t="s">
        <v>2839</v>
      </c>
      <c r="S1441" s="5">
        <v>12.86</v>
      </c>
      <c r="T1441" s="3">
        <v>45246</v>
      </c>
      <c r="U1441" s="3">
        <v>45250</v>
      </c>
      <c r="V1441" t="s">
        <v>95</v>
      </c>
      <c r="W1441">
        <f t="shared" si="112"/>
        <v>3196.9079999999999</v>
      </c>
      <c r="X1441">
        <f t="shared" si="113"/>
        <v>3946.8</v>
      </c>
      <c r="Y1441">
        <f t="shared" si="114"/>
        <v>749.89200000000028</v>
      </c>
      <c r="Z1441" s="8" t="str">
        <f t="shared" si="111"/>
        <v>Medium</v>
      </c>
      <c r="AA1441" s="12">
        <f>DATE(YEAR(Table1[[#This Row],[OrderDate]]),MONTH(Table1[[#This Row],[OrderDate]]),1)</f>
        <v>45231</v>
      </c>
    </row>
    <row r="1442" spans="1:27" x14ac:dyDescent="0.3">
      <c r="A1442" s="3">
        <v>45382</v>
      </c>
      <c r="B1442" t="s">
        <v>13</v>
      </c>
      <c r="C1442" t="s">
        <v>31</v>
      </c>
      <c r="D1442" t="str">
        <f>TRIM(Table1[[#This Row],[Product]])</f>
        <v>Laptop</v>
      </c>
      <c r="E1442" t="str">
        <f>PROPER(Table1[[#This Row],[Column1]])</f>
        <v>Laptop</v>
      </c>
      <c r="F1442" s="8" t="str">
        <f t="shared" si="110"/>
        <v>Technology</v>
      </c>
      <c r="G1442" s="5">
        <v>13</v>
      </c>
      <c r="H1442">
        <v>428.59</v>
      </c>
      <c r="I1442" t="s">
        <v>81</v>
      </c>
      <c r="J1442" t="s">
        <v>65</v>
      </c>
      <c r="K1442" s="7">
        <v>0</v>
      </c>
      <c r="L1442" t="s">
        <v>19</v>
      </c>
      <c r="M1442" s="5">
        <v>5571.67</v>
      </c>
      <c r="N1442" t="s">
        <v>88</v>
      </c>
      <c r="O1442" t="s">
        <v>60</v>
      </c>
      <c r="P1442" s="5">
        <v>0</v>
      </c>
      <c r="Q1442" t="s">
        <v>2840</v>
      </c>
      <c r="R1442" t="s">
        <v>2841</v>
      </c>
      <c r="S1442" s="5">
        <v>23.89</v>
      </c>
      <c r="T1442" s="3">
        <v>45382</v>
      </c>
      <c r="U1442" s="3">
        <v>45390</v>
      </c>
      <c r="V1442" t="s">
        <v>70</v>
      </c>
      <c r="W1442">
        <f t="shared" si="112"/>
        <v>5571.67</v>
      </c>
      <c r="X1442">
        <f t="shared" si="113"/>
        <v>5571.67</v>
      </c>
      <c r="Y1442">
        <f t="shared" si="114"/>
        <v>0</v>
      </c>
      <c r="Z1442" s="8" t="str">
        <f t="shared" si="111"/>
        <v>No Discount</v>
      </c>
      <c r="AA1442" s="12">
        <f>DATE(YEAR(Table1[[#This Row],[OrderDate]]),MONTH(Table1[[#This Row],[OrderDate]]),1)</f>
        <v>45352</v>
      </c>
    </row>
    <row r="1443" spans="1:27" x14ac:dyDescent="0.3">
      <c r="A1443" s="3">
        <v>44970</v>
      </c>
      <c r="B1443" t="s">
        <v>9</v>
      </c>
      <c r="C1443" t="s">
        <v>31</v>
      </c>
      <c r="D1443" t="str">
        <f>TRIM(Table1[[#This Row],[Product]])</f>
        <v>Laptop</v>
      </c>
      <c r="E1443" t="str">
        <f>PROPER(Table1[[#This Row],[Column1]])</f>
        <v>Laptop</v>
      </c>
      <c r="F1443" s="8" t="str">
        <f t="shared" si="110"/>
        <v>Technology</v>
      </c>
      <c r="G1443" s="5">
        <v>7</v>
      </c>
      <c r="H1443">
        <v>242.11</v>
      </c>
      <c r="I1443" t="s">
        <v>78</v>
      </c>
      <c r="J1443" t="s">
        <v>58</v>
      </c>
      <c r="K1443" s="7">
        <v>0.05</v>
      </c>
      <c r="L1443" t="s">
        <v>25</v>
      </c>
      <c r="M1443" s="5">
        <v>1610.0315000000001</v>
      </c>
      <c r="N1443" t="s">
        <v>85</v>
      </c>
      <c r="O1443" t="s">
        <v>71</v>
      </c>
      <c r="P1443" s="5">
        <v>0</v>
      </c>
      <c r="Q1443" t="s">
        <v>2842</v>
      </c>
      <c r="R1443" t="s">
        <v>1768</v>
      </c>
      <c r="S1443" s="5">
        <v>47.19</v>
      </c>
      <c r="T1443" s="3">
        <v>44970</v>
      </c>
      <c r="U1443" s="3">
        <v>44975</v>
      </c>
      <c r="V1443" t="s">
        <v>63</v>
      </c>
      <c r="W1443">
        <f t="shared" si="112"/>
        <v>1529.529925</v>
      </c>
      <c r="X1443">
        <f t="shared" si="113"/>
        <v>1694.77</v>
      </c>
      <c r="Y1443">
        <f t="shared" si="114"/>
        <v>165.24007499999993</v>
      </c>
      <c r="Z1443" s="8" t="str">
        <f t="shared" si="111"/>
        <v>Medium</v>
      </c>
      <c r="AA1443" s="12">
        <f>DATE(YEAR(Table1[[#This Row],[OrderDate]]),MONTH(Table1[[#This Row],[OrderDate]]),1)</f>
        <v>44958</v>
      </c>
    </row>
    <row r="1444" spans="1:27" x14ac:dyDescent="0.3">
      <c r="A1444" s="3">
        <v>45189</v>
      </c>
      <c r="B1444" t="s">
        <v>13</v>
      </c>
      <c r="C1444" t="s">
        <v>35</v>
      </c>
      <c r="D1444" t="str">
        <f>TRIM(Table1[[#This Row],[Product]])</f>
        <v>Tablet</v>
      </c>
      <c r="E1444" t="str">
        <f>PROPER(Table1[[#This Row],[Column1]])</f>
        <v>Tablet</v>
      </c>
      <c r="F1444" s="8" t="str">
        <f t="shared" si="110"/>
        <v>Technology</v>
      </c>
      <c r="G1444" s="5">
        <v>17</v>
      </c>
      <c r="H1444">
        <v>477.38</v>
      </c>
      <c r="I1444" t="s">
        <v>78</v>
      </c>
      <c r="J1444" t="s">
        <v>65</v>
      </c>
      <c r="K1444" s="7">
        <v>0.05</v>
      </c>
      <c r="L1444" t="s">
        <v>18</v>
      </c>
      <c r="M1444" s="5">
        <v>7709.6869999999999</v>
      </c>
      <c r="N1444" t="s">
        <v>66</v>
      </c>
      <c r="O1444" t="s">
        <v>60</v>
      </c>
      <c r="P1444" s="5">
        <v>0</v>
      </c>
      <c r="Q1444" t="s">
        <v>2843</v>
      </c>
      <c r="R1444" t="s">
        <v>2844</v>
      </c>
      <c r="S1444" s="5">
        <v>35.28</v>
      </c>
      <c r="T1444" s="3">
        <v>45189</v>
      </c>
      <c r="U1444" s="3">
        <v>45196</v>
      </c>
      <c r="V1444" t="s">
        <v>70</v>
      </c>
      <c r="W1444">
        <f t="shared" si="112"/>
        <v>7324.2026499999993</v>
      </c>
      <c r="X1444">
        <f t="shared" si="113"/>
        <v>8115.46</v>
      </c>
      <c r="Y1444">
        <f t="shared" si="114"/>
        <v>791.25735000000077</v>
      </c>
      <c r="Z1444" s="8" t="str">
        <f t="shared" si="111"/>
        <v>Medium</v>
      </c>
      <c r="AA1444" s="12">
        <f>DATE(YEAR(Table1[[#This Row],[OrderDate]]),MONTH(Table1[[#This Row],[OrderDate]]),1)</f>
        <v>45170</v>
      </c>
    </row>
    <row r="1445" spans="1:27" x14ac:dyDescent="0.3">
      <c r="A1445" s="3">
        <v>45104</v>
      </c>
      <c r="B1445" t="s">
        <v>13</v>
      </c>
      <c r="C1445" t="s">
        <v>29</v>
      </c>
      <c r="D1445" t="str">
        <f>TRIM(Table1[[#This Row],[Product]])</f>
        <v>Chair</v>
      </c>
      <c r="E1445" t="str">
        <f>PROPER(Table1[[#This Row],[Column1]])</f>
        <v>Chair</v>
      </c>
      <c r="F1445" s="8" t="str">
        <f t="shared" si="110"/>
        <v>Furniture</v>
      </c>
      <c r="G1445" s="5">
        <v>3</v>
      </c>
      <c r="H1445">
        <v>261.60000000000002</v>
      </c>
      <c r="I1445" t="s">
        <v>81</v>
      </c>
      <c r="J1445" t="s">
        <v>65</v>
      </c>
      <c r="K1445" s="7">
        <v>0.05</v>
      </c>
      <c r="L1445" t="s">
        <v>23</v>
      </c>
      <c r="M1445" s="5">
        <v>745.56000000000006</v>
      </c>
      <c r="N1445" t="s">
        <v>88</v>
      </c>
      <c r="O1445" t="s">
        <v>71</v>
      </c>
      <c r="P1445" s="5">
        <v>0</v>
      </c>
      <c r="Q1445" t="s">
        <v>2845</v>
      </c>
      <c r="R1445" t="s">
        <v>2846</v>
      </c>
      <c r="S1445" s="5">
        <v>42.11</v>
      </c>
      <c r="T1445" s="3">
        <v>45104</v>
      </c>
      <c r="U1445" s="3">
        <v>45114</v>
      </c>
      <c r="V1445" t="s">
        <v>70</v>
      </c>
      <c r="W1445">
        <f t="shared" si="112"/>
        <v>708.28200000000004</v>
      </c>
      <c r="X1445">
        <f t="shared" si="113"/>
        <v>784.80000000000007</v>
      </c>
      <c r="Y1445">
        <f t="shared" si="114"/>
        <v>76.518000000000029</v>
      </c>
      <c r="Z1445" s="8" t="str">
        <f t="shared" si="111"/>
        <v>Medium</v>
      </c>
      <c r="AA1445" s="12">
        <f>DATE(YEAR(Table1[[#This Row],[OrderDate]]),MONTH(Table1[[#This Row],[OrderDate]]),1)</f>
        <v>45078</v>
      </c>
    </row>
    <row r="1446" spans="1:27" x14ac:dyDescent="0.3">
      <c r="A1446" s="3">
        <v>45749</v>
      </c>
      <c r="B1446" t="s">
        <v>7</v>
      </c>
      <c r="C1446" t="s">
        <v>31</v>
      </c>
      <c r="D1446" t="str">
        <f>TRIM(Table1[[#This Row],[Product]])</f>
        <v>Laptop</v>
      </c>
      <c r="E1446" t="str">
        <f>PROPER(Table1[[#This Row],[Column1]])</f>
        <v>Laptop</v>
      </c>
      <c r="F1446" s="8" t="str">
        <f t="shared" si="110"/>
        <v>Technology</v>
      </c>
      <c r="G1446" s="5">
        <v>6</v>
      </c>
      <c r="H1446">
        <v>416.2</v>
      </c>
      <c r="I1446" t="s">
        <v>64</v>
      </c>
      <c r="J1446" t="s">
        <v>58</v>
      </c>
      <c r="K1446" s="7">
        <v>0.05</v>
      </c>
      <c r="L1446" t="s">
        <v>18</v>
      </c>
      <c r="M1446" s="5">
        <v>2372.34</v>
      </c>
      <c r="N1446" t="s">
        <v>88</v>
      </c>
      <c r="O1446" t="s">
        <v>71</v>
      </c>
      <c r="P1446" s="5">
        <v>1</v>
      </c>
      <c r="Q1446" t="s">
        <v>2847</v>
      </c>
      <c r="R1446" t="s">
        <v>2848</v>
      </c>
      <c r="S1446" s="5">
        <v>44.14</v>
      </c>
      <c r="T1446" s="3">
        <v>45749</v>
      </c>
      <c r="U1446" s="3">
        <v>45753</v>
      </c>
      <c r="V1446" t="s">
        <v>77</v>
      </c>
      <c r="W1446">
        <f t="shared" si="112"/>
        <v>2253.723</v>
      </c>
      <c r="X1446">
        <f t="shared" si="113"/>
        <v>2497.1999999999998</v>
      </c>
      <c r="Y1446">
        <f t="shared" si="114"/>
        <v>243.47699999999986</v>
      </c>
      <c r="Z1446" s="8" t="str">
        <f t="shared" si="111"/>
        <v>Medium</v>
      </c>
      <c r="AA1446" s="12">
        <f>DATE(YEAR(Table1[[#This Row],[OrderDate]]),MONTH(Table1[[#This Row],[OrderDate]]),1)</f>
        <v>45748</v>
      </c>
    </row>
    <row r="1447" spans="1:27" x14ac:dyDescent="0.3">
      <c r="A1447" s="3">
        <v>45763</v>
      </c>
      <c r="B1447" t="s">
        <v>11</v>
      </c>
      <c r="C1447" t="s">
        <v>34</v>
      </c>
      <c r="D1447" t="str">
        <f>TRIM(Table1[[#This Row],[Product]])</f>
        <v>Printer</v>
      </c>
      <c r="E1447" t="str">
        <f>PROPER(Table1[[#This Row],[Column1]])</f>
        <v>Printer</v>
      </c>
      <c r="F1447" s="8" t="str">
        <f t="shared" si="110"/>
        <v>Office Supplies</v>
      </c>
      <c r="G1447" s="5">
        <v>15</v>
      </c>
      <c r="H1447">
        <v>99.66</v>
      </c>
      <c r="I1447" t="s">
        <v>64</v>
      </c>
      <c r="J1447" t="s">
        <v>58</v>
      </c>
      <c r="K1447" s="7">
        <v>0</v>
      </c>
      <c r="L1447" t="s">
        <v>25</v>
      </c>
      <c r="M1447" s="5">
        <v>1494.9</v>
      </c>
      <c r="N1447" t="s">
        <v>88</v>
      </c>
      <c r="O1447" t="s">
        <v>60</v>
      </c>
      <c r="P1447" s="5">
        <v>0</v>
      </c>
      <c r="Q1447" t="s">
        <v>2849</v>
      </c>
      <c r="R1447" t="s">
        <v>2850</v>
      </c>
      <c r="S1447" s="5">
        <v>27.55</v>
      </c>
      <c r="T1447" s="3">
        <v>45763</v>
      </c>
      <c r="U1447" s="3">
        <v>45773</v>
      </c>
      <c r="V1447" t="s">
        <v>74</v>
      </c>
      <c r="W1447">
        <f t="shared" si="112"/>
        <v>1494.9</v>
      </c>
      <c r="X1447">
        <f t="shared" si="113"/>
        <v>1494.8999999999999</v>
      </c>
      <c r="Y1447">
        <f t="shared" si="114"/>
        <v>0</v>
      </c>
      <c r="Z1447" s="8" t="str">
        <f t="shared" si="111"/>
        <v>No Discount</v>
      </c>
      <c r="AA1447" s="12">
        <f>DATE(YEAR(Table1[[#This Row],[OrderDate]]),MONTH(Table1[[#This Row],[OrderDate]]),1)</f>
        <v>45748</v>
      </c>
    </row>
    <row r="1448" spans="1:27" x14ac:dyDescent="0.3">
      <c r="A1448" s="3">
        <v>45482</v>
      </c>
      <c r="B1448" t="s">
        <v>7</v>
      </c>
      <c r="C1448" t="s">
        <v>31</v>
      </c>
      <c r="D1448" t="str">
        <f>TRIM(Table1[[#This Row],[Product]])</f>
        <v>Laptop</v>
      </c>
      <c r="E1448" t="str">
        <f>PROPER(Table1[[#This Row],[Column1]])</f>
        <v>Laptop</v>
      </c>
      <c r="F1448" s="8" t="str">
        <f t="shared" si="110"/>
        <v>Technology</v>
      </c>
      <c r="G1448" s="5">
        <v>16</v>
      </c>
      <c r="H1448">
        <v>55.56</v>
      </c>
      <c r="I1448" t="s">
        <v>81</v>
      </c>
      <c r="J1448" t="s">
        <v>58</v>
      </c>
      <c r="K1448" s="7">
        <v>0.15</v>
      </c>
      <c r="L1448" t="s">
        <v>27</v>
      </c>
      <c r="M1448" s="5">
        <v>755.61599999999999</v>
      </c>
      <c r="N1448" t="s">
        <v>88</v>
      </c>
      <c r="P1448" s="5">
        <v>1</v>
      </c>
      <c r="Q1448" t="s">
        <v>2851</v>
      </c>
      <c r="R1448" t="s">
        <v>2852</v>
      </c>
      <c r="S1448" s="5">
        <v>17.809999999999999</v>
      </c>
      <c r="T1448" s="3">
        <v>45482</v>
      </c>
      <c r="U1448" s="3">
        <v>45490</v>
      </c>
      <c r="V1448" t="s">
        <v>77</v>
      </c>
      <c r="W1448">
        <f t="shared" si="112"/>
        <v>642.27359999999999</v>
      </c>
      <c r="X1448">
        <f t="shared" si="113"/>
        <v>888.96</v>
      </c>
      <c r="Y1448">
        <f t="shared" si="114"/>
        <v>246.68640000000005</v>
      </c>
      <c r="Z1448" s="8" t="str">
        <f t="shared" si="111"/>
        <v>High</v>
      </c>
      <c r="AA1448" s="12">
        <f>DATE(YEAR(Table1[[#This Row],[OrderDate]]),MONTH(Table1[[#This Row],[OrderDate]]),1)</f>
        <v>45474</v>
      </c>
    </row>
    <row r="1449" spans="1:27" x14ac:dyDescent="0.3">
      <c r="A1449" s="3">
        <v>45831</v>
      </c>
      <c r="B1449" t="s">
        <v>9</v>
      </c>
      <c r="C1449" t="s">
        <v>33</v>
      </c>
      <c r="D1449" t="str">
        <f>TRIM(Table1[[#This Row],[Product]])</f>
        <v>Phone</v>
      </c>
      <c r="E1449" t="str">
        <f>PROPER(Table1[[#This Row],[Column1]])</f>
        <v>Phone</v>
      </c>
      <c r="F1449" s="8" t="str">
        <f t="shared" si="110"/>
        <v>Technology</v>
      </c>
      <c r="G1449" s="5">
        <v>20</v>
      </c>
      <c r="H1449">
        <v>243.47</v>
      </c>
      <c r="I1449" t="s">
        <v>64</v>
      </c>
      <c r="J1449" t="s">
        <v>58</v>
      </c>
      <c r="K1449" s="7">
        <v>0.05</v>
      </c>
      <c r="L1449" t="s">
        <v>18</v>
      </c>
      <c r="M1449" s="5">
        <v>4625.9299999999994</v>
      </c>
      <c r="N1449" t="s">
        <v>66</v>
      </c>
      <c r="O1449" t="s">
        <v>60</v>
      </c>
      <c r="P1449" s="5">
        <v>1</v>
      </c>
      <c r="Q1449" t="s">
        <v>2853</v>
      </c>
      <c r="R1449" t="s">
        <v>2556</v>
      </c>
      <c r="S1449" s="5">
        <v>32.28</v>
      </c>
      <c r="T1449" s="3">
        <v>45831</v>
      </c>
      <c r="U1449" s="3">
        <v>45841</v>
      </c>
      <c r="V1449" t="s">
        <v>63</v>
      </c>
      <c r="W1449">
        <f t="shared" si="112"/>
        <v>4394.633499999999</v>
      </c>
      <c r="X1449">
        <f t="shared" si="113"/>
        <v>4869.3999999999996</v>
      </c>
      <c r="Y1449">
        <f t="shared" si="114"/>
        <v>474.76650000000063</v>
      </c>
      <c r="Z1449" s="8" t="str">
        <f t="shared" si="111"/>
        <v>Medium</v>
      </c>
      <c r="AA1449" s="12">
        <f>DATE(YEAR(Table1[[#This Row],[OrderDate]]),MONTH(Table1[[#This Row],[OrderDate]]),1)</f>
        <v>45809</v>
      </c>
    </row>
    <row r="1450" spans="1:27" x14ac:dyDescent="0.3">
      <c r="A1450" s="3">
        <v>45452</v>
      </c>
      <c r="B1450" t="s">
        <v>9</v>
      </c>
      <c r="C1450" t="s">
        <v>35</v>
      </c>
      <c r="D1450" t="str">
        <f>TRIM(Table1[[#This Row],[Product]])</f>
        <v>Tablet</v>
      </c>
      <c r="E1450" t="str">
        <f>PROPER(Table1[[#This Row],[Column1]])</f>
        <v>Tablet</v>
      </c>
      <c r="F1450" s="8" t="str">
        <f t="shared" si="110"/>
        <v>Technology</v>
      </c>
      <c r="G1450" s="5">
        <v>11</v>
      </c>
      <c r="H1450">
        <v>185.59</v>
      </c>
      <c r="I1450" t="s">
        <v>57</v>
      </c>
      <c r="J1450" t="s">
        <v>65</v>
      </c>
      <c r="K1450" s="7">
        <v>0.1</v>
      </c>
      <c r="L1450" t="s">
        <v>21</v>
      </c>
      <c r="M1450" s="5">
        <v>1837.3409999999999</v>
      </c>
      <c r="N1450" t="s">
        <v>66</v>
      </c>
      <c r="P1450" s="5">
        <v>0</v>
      </c>
      <c r="Q1450" t="s">
        <v>2854</v>
      </c>
      <c r="R1450" t="s">
        <v>1667</v>
      </c>
      <c r="S1450" s="5">
        <v>45.19</v>
      </c>
      <c r="T1450" s="3">
        <v>45452</v>
      </c>
      <c r="U1450" s="3">
        <v>45461</v>
      </c>
      <c r="V1450" t="s">
        <v>63</v>
      </c>
      <c r="W1450">
        <f t="shared" si="112"/>
        <v>1653.6069</v>
      </c>
      <c r="X1450">
        <f t="shared" si="113"/>
        <v>2041.49</v>
      </c>
      <c r="Y1450">
        <f t="shared" si="114"/>
        <v>387.88310000000001</v>
      </c>
      <c r="Z1450" s="8" t="str">
        <f t="shared" si="111"/>
        <v>Medium</v>
      </c>
      <c r="AA1450" s="12">
        <f>DATE(YEAR(Table1[[#This Row],[OrderDate]]),MONTH(Table1[[#This Row],[OrderDate]]),1)</f>
        <v>45444</v>
      </c>
    </row>
    <row r="1451" spans="1:27" x14ac:dyDescent="0.3">
      <c r="A1451" s="3">
        <v>45261</v>
      </c>
      <c r="B1451" t="s">
        <v>7</v>
      </c>
      <c r="C1451" t="s">
        <v>30</v>
      </c>
      <c r="D1451" t="str">
        <f>TRIM(Table1[[#This Row],[Product]])</f>
        <v>Desk</v>
      </c>
      <c r="E1451" t="str">
        <f>PROPER(Table1[[#This Row],[Column1]])</f>
        <v>Desk</v>
      </c>
      <c r="F1451" s="8" t="str">
        <f t="shared" si="110"/>
        <v>Furniture</v>
      </c>
      <c r="G1451" s="5">
        <v>11</v>
      </c>
      <c r="H1451">
        <v>347.38</v>
      </c>
      <c r="I1451" t="s">
        <v>78</v>
      </c>
      <c r="J1451" t="s">
        <v>58</v>
      </c>
      <c r="K1451" s="7">
        <v>0.05</v>
      </c>
      <c r="L1451" t="s">
        <v>25</v>
      </c>
      <c r="M1451" s="5">
        <v>3630.1210000000001</v>
      </c>
      <c r="N1451" t="s">
        <v>82</v>
      </c>
      <c r="O1451" t="s">
        <v>60</v>
      </c>
      <c r="P1451" s="5">
        <v>0</v>
      </c>
      <c r="Q1451" t="s">
        <v>2855</v>
      </c>
      <c r="R1451" t="s">
        <v>2856</v>
      </c>
      <c r="S1451" s="5">
        <v>24.8</v>
      </c>
      <c r="T1451" s="3">
        <v>45261</v>
      </c>
      <c r="U1451" s="3">
        <v>45263</v>
      </c>
      <c r="V1451" t="s">
        <v>77</v>
      </c>
      <c r="W1451">
        <f t="shared" si="112"/>
        <v>3448.6149500000001</v>
      </c>
      <c r="X1451">
        <f t="shared" si="113"/>
        <v>3821.18</v>
      </c>
      <c r="Y1451">
        <f t="shared" si="114"/>
        <v>372.5650499999997</v>
      </c>
      <c r="Z1451" s="8" t="str">
        <f t="shared" si="111"/>
        <v>Medium</v>
      </c>
      <c r="AA1451" s="12">
        <f>DATE(YEAR(Table1[[#This Row],[OrderDate]]),MONTH(Table1[[#This Row],[OrderDate]]),1)</f>
        <v>45261</v>
      </c>
    </row>
    <row r="1452" spans="1:27" x14ac:dyDescent="0.3">
      <c r="A1452" s="3">
        <v>45497</v>
      </c>
      <c r="B1452" t="s">
        <v>16</v>
      </c>
      <c r="C1452" t="s">
        <v>35</v>
      </c>
      <c r="D1452" t="str">
        <f>TRIM(Table1[[#This Row],[Product]])</f>
        <v>Tablet</v>
      </c>
      <c r="E1452" t="str">
        <f>PROPER(Table1[[#This Row],[Column1]])</f>
        <v>Tablet</v>
      </c>
      <c r="F1452" s="8" t="str">
        <f t="shared" si="110"/>
        <v>Technology</v>
      </c>
      <c r="G1452" s="5">
        <v>15</v>
      </c>
      <c r="H1452">
        <v>318.02999999999997</v>
      </c>
      <c r="I1452" t="s">
        <v>81</v>
      </c>
      <c r="J1452" t="s">
        <v>65</v>
      </c>
      <c r="K1452" s="7">
        <v>0.05</v>
      </c>
      <c r="L1452" t="s">
        <v>23</v>
      </c>
      <c r="M1452" s="5">
        <v>4531.9274999999998</v>
      </c>
      <c r="N1452" t="s">
        <v>66</v>
      </c>
      <c r="O1452" t="s">
        <v>71</v>
      </c>
      <c r="P1452" s="5">
        <v>1</v>
      </c>
      <c r="Q1452" t="s">
        <v>2857</v>
      </c>
      <c r="R1452" t="s">
        <v>2858</v>
      </c>
      <c r="S1452" s="5">
        <v>24.38</v>
      </c>
      <c r="T1452" s="3">
        <v>45497</v>
      </c>
      <c r="U1452" s="3">
        <v>45503</v>
      </c>
      <c r="V1452" t="s">
        <v>95</v>
      </c>
      <c r="W1452">
        <f t="shared" si="112"/>
        <v>4305.3311249999997</v>
      </c>
      <c r="X1452">
        <f t="shared" si="113"/>
        <v>4770.45</v>
      </c>
      <c r="Y1452">
        <f t="shared" si="114"/>
        <v>465.11887500000012</v>
      </c>
      <c r="Z1452" s="8" t="str">
        <f t="shared" si="111"/>
        <v>Medium</v>
      </c>
      <c r="AA1452" s="12">
        <f>DATE(YEAR(Table1[[#This Row],[OrderDate]]),MONTH(Table1[[#This Row],[OrderDate]]),1)</f>
        <v>45474</v>
      </c>
    </row>
    <row r="1453" spans="1:27" x14ac:dyDescent="0.3">
      <c r="A1453" s="3">
        <v>45028</v>
      </c>
      <c r="B1453" t="s">
        <v>16</v>
      </c>
      <c r="C1453" t="s">
        <v>29</v>
      </c>
      <c r="D1453" t="str">
        <f>TRIM(Table1[[#This Row],[Product]])</f>
        <v>Chair</v>
      </c>
      <c r="E1453" t="str">
        <f>PROPER(Table1[[#This Row],[Column1]])</f>
        <v>Chair</v>
      </c>
      <c r="F1453" s="8" t="str">
        <f t="shared" si="110"/>
        <v>Furniture</v>
      </c>
      <c r="G1453" s="5">
        <v>15</v>
      </c>
      <c r="H1453">
        <v>242.35</v>
      </c>
      <c r="I1453" t="s">
        <v>81</v>
      </c>
      <c r="J1453" t="s">
        <v>58</v>
      </c>
      <c r="K1453" s="7">
        <v>0.15</v>
      </c>
      <c r="L1453" t="s">
        <v>23</v>
      </c>
      <c r="M1453" s="5">
        <v>3089.9625000000001</v>
      </c>
      <c r="N1453" t="s">
        <v>88</v>
      </c>
      <c r="O1453" t="s">
        <v>71</v>
      </c>
      <c r="P1453" s="5">
        <v>1</v>
      </c>
      <c r="Q1453" t="s">
        <v>2859</v>
      </c>
      <c r="R1453" t="s">
        <v>2050</v>
      </c>
      <c r="S1453" s="5">
        <v>14.92</v>
      </c>
      <c r="T1453" s="3">
        <v>45028</v>
      </c>
      <c r="U1453" s="3">
        <v>45035</v>
      </c>
      <c r="V1453" t="s">
        <v>95</v>
      </c>
      <c r="W1453">
        <f t="shared" si="112"/>
        <v>2626.4681249999999</v>
      </c>
      <c r="X1453">
        <f t="shared" si="113"/>
        <v>3635.25</v>
      </c>
      <c r="Y1453">
        <f t="shared" si="114"/>
        <v>1008.7818750000001</v>
      </c>
      <c r="Z1453" s="8" t="str">
        <f t="shared" si="111"/>
        <v>High</v>
      </c>
      <c r="AA1453" s="12">
        <f>DATE(YEAR(Table1[[#This Row],[OrderDate]]),MONTH(Table1[[#This Row],[OrderDate]]),1)</f>
        <v>45017</v>
      </c>
    </row>
    <row r="1454" spans="1:27" x14ac:dyDescent="0.3">
      <c r="A1454" s="3">
        <v>45643</v>
      </c>
      <c r="B1454" t="s">
        <v>11</v>
      </c>
      <c r="C1454" t="s">
        <v>30</v>
      </c>
      <c r="D1454" t="str">
        <f>TRIM(Table1[[#This Row],[Product]])</f>
        <v>Desk</v>
      </c>
      <c r="E1454" t="str">
        <f>PROPER(Table1[[#This Row],[Column1]])</f>
        <v>Desk</v>
      </c>
      <c r="F1454" s="8" t="str">
        <f t="shared" si="110"/>
        <v>Furniture</v>
      </c>
      <c r="G1454" s="5">
        <v>3</v>
      </c>
      <c r="H1454">
        <v>82.09</v>
      </c>
      <c r="I1454" t="s">
        <v>57</v>
      </c>
      <c r="J1454" t="s">
        <v>65</v>
      </c>
      <c r="K1454" s="7">
        <v>0.15</v>
      </c>
      <c r="L1454" t="s">
        <v>25</v>
      </c>
      <c r="M1454" s="5">
        <v>209.3295</v>
      </c>
      <c r="N1454" t="s">
        <v>66</v>
      </c>
      <c r="O1454" t="s">
        <v>71</v>
      </c>
      <c r="P1454" s="5">
        <v>1</v>
      </c>
      <c r="Q1454" t="s">
        <v>2860</v>
      </c>
      <c r="R1454" t="s">
        <v>2861</v>
      </c>
      <c r="S1454" s="5">
        <v>12.63</v>
      </c>
      <c r="T1454" s="3">
        <v>45643</v>
      </c>
      <c r="U1454" s="3">
        <v>45652</v>
      </c>
      <c r="V1454" t="s">
        <v>74</v>
      </c>
      <c r="W1454">
        <f t="shared" si="112"/>
        <v>177.93007499999999</v>
      </c>
      <c r="X1454">
        <f t="shared" si="113"/>
        <v>246.27</v>
      </c>
      <c r="Y1454">
        <f t="shared" si="114"/>
        <v>68.339925000000022</v>
      </c>
      <c r="Z1454" s="8" t="str">
        <f t="shared" si="111"/>
        <v>High</v>
      </c>
      <c r="AA1454" s="12">
        <f>DATE(YEAR(Table1[[#This Row],[OrderDate]]),MONTH(Table1[[#This Row],[OrderDate]]),1)</f>
        <v>45627</v>
      </c>
    </row>
    <row r="1455" spans="1:27" x14ac:dyDescent="0.3">
      <c r="A1455" s="3">
        <v>45512</v>
      </c>
      <c r="B1455" t="s">
        <v>13</v>
      </c>
      <c r="C1455" t="s">
        <v>32</v>
      </c>
      <c r="D1455" t="str">
        <f>TRIM(Table1[[#This Row],[Product]])</f>
        <v>Monitor</v>
      </c>
      <c r="E1455" t="str">
        <f>PROPER(Table1[[#This Row],[Column1]])</f>
        <v>Monitor</v>
      </c>
      <c r="F1455" s="8" t="str">
        <f t="shared" si="110"/>
        <v>Technology</v>
      </c>
      <c r="G1455" s="5">
        <v>10</v>
      </c>
      <c r="H1455">
        <v>285.73</v>
      </c>
      <c r="I1455" t="s">
        <v>81</v>
      </c>
      <c r="J1455" t="s">
        <v>58</v>
      </c>
      <c r="K1455" s="7">
        <v>0.15</v>
      </c>
      <c r="L1455" t="s">
        <v>25</v>
      </c>
      <c r="M1455" s="5">
        <v>2428.7049999999999</v>
      </c>
      <c r="N1455" t="s">
        <v>88</v>
      </c>
      <c r="O1455" t="s">
        <v>71</v>
      </c>
      <c r="P1455" s="5">
        <v>1</v>
      </c>
      <c r="Q1455" t="s">
        <v>2862</v>
      </c>
      <c r="R1455" t="s">
        <v>2863</v>
      </c>
      <c r="S1455" s="5">
        <v>26.68</v>
      </c>
      <c r="T1455" s="3">
        <v>45512</v>
      </c>
      <c r="U1455" s="3">
        <v>45518</v>
      </c>
      <c r="V1455" t="s">
        <v>70</v>
      </c>
      <c r="W1455">
        <f t="shared" si="112"/>
        <v>2064.3992499999999</v>
      </c>
      <c r="X1455">
        <f t="shared" si="113"/>
        <v>2857.3</v>
      </c>
      <c r="Y1455">
        <f t="shared" si="114"/>
        <v>792.90075000000024</v>
      </c>
      <c r="Z1455" s="8" t="str">
        <f t="shared" si="111"/>
        <v>High</v>
      </c>
      <c r="AA1455" s="12">
        <f>DATE(YEAR(Table1[[#This Row],[OrderDate]]),MONTH(Table1[[#This Row],[OrderDate]]),1)</f>
        <v>45505</v>
      </c>
    </row>
    <row r="1456" spans="1:27" x14ac:dyDescent="0.3">
      <c r="A1456" s="3">
        <v>45550</v>
      </c>
      <c r="B1456" t="s">
        <v>9</v>
      </c>
      <c r="C1456" t="s">
        <v>31</v>
      </c>
      <c r="D1456" t="str">
        <f>TRIM(Table1[[#This Row],[Product]])</f>
        <v>Laptop</v>
      </c>
      <c r="E1456" t="str">
        <f>PROPER(Table1[[#This Row],[Column1]])</f>
        <v>Laptop</v>
      </c>
      <c r="F1456" s="8" t="str">
        <f t="shared" si="110"/>
        <v>Technology</v>
      </c>
      <c r="G1456" s="5">
        <v>17</v>
      </c>
      <c r="H1456">
        <v>341.52</v>
      </c>
      <c r="I1456" t="s">
        <v>78</v>
      </c>
      <c r="J1456" t="s">
        <v>58</v>
      </c>
      <c r="K1456" s="7">
        <v>0.1</v>
      </c>
      <c r="L1456" t="s">
        <v>25</v>
      </c>
      <c r="M1456" s="5">
        <v>5225.2560000000003</v>
      </c>
      <c r="N1456" t="s">
        <v>82</v>
      </c>
      <c r="O1456" t="s">
        <v>60</v>
      </c>
      <c r="P1456" s="5">
        <v>0</v>
      </c>
      <c r="Q1456" t="s">
        <v>2864</v>
      </c>
      <c r="R1456" t="s">
        <v>2497</v>
      </c>
      <c r="S1456" s="5">
        <v>16.670000000000002</v>
      </c>
      <c r="T1456" s="3">
        <v>45550</v>
      </c>
      <c r="U1456" s="3">
        <v>45557</v>
      </c>
      <c r="V1456" t="s">
        <v>63</v>
      </c>
      <c r="W1456">
        <f t="shared" si="112"/>
        <v>4702.7304000000004</v>
      </c>
      <c r="X1456">
        <f t="shared" si="113"/>
        <v>5805.84</v>
      </c>
      <c r="Y1456">
        <f t="shared" si="114"/>
        <v>1103.1095999999998</v>
      </c>
      <c r="Z1456" s="8" t="str">
        <f t="shared" si="111"/>
        <v>Medium</v>
      </c>
      <c r="AA1456" s="12">
        <f>DATE(YEAR(Table1[[#This Row],[OrderDate]]),MONTH(Table1[[#This Row],[OrderDate]]),1)</f>
        <v>45536</v>
      </c>
    </row>
    <row r="1457" spans="1:27" x14ac:dyDescent="0.3">
      <c r="A1457" s="3">
        <v>45207</v>
      </c>
      <c r="B1457" t="s">
        <v>13</v>
      </c>
      <c r="C1457" t="s">
        <v>35</v>
      </c>
      <c r="D1457" t="str">
        <f>TRIM(Table1[[#This Row],[Product]])</f>
        <v>Tablet</v>
      </c>
      <c r="E1457" t="str">
        <f>PROPER(Table1[[#This Row],[Column1]])</f>
        <v>Tablet</v>
      </c>
      <c r="F1457" s="8" t="str">
        <f t="shared" si="110"/>
        <v>Technology</v>
      </c>
      <c r="G1457" s="5">
        <v>14</v>
      </c>
      <c r="H1457">
        <v>216.4</v>
      </c>
      <c r="I1457" t="s">
        <v>81</v>
      </c>
      <c r="J1457" t="s">
        <v>58</v>
      </c>
      <c r="K1457" s="7">
        <v>0.1</v>
      </c>
      <c r="L1457" t="s">
        <v>23</v>
      </c>
      <c r="M1457" s="5">
        <v>2726.64</v>
      </c>
      <c r="N1457" t="s">
        <v>85</v>
      </c>
      <c r="O1457" t="s">
        <v>71</v>
      </c>
      <c r="P1457" s="5">
        <v>0</v>
      </c>
      <c r="Q1457" t="s">
        <v>2865</v>
      </c>
      <c r="R1457" t="s">
        <v>2713</v>
      </c>
      <c r="S1457" s="5">
        <v>40.74</v>
      </c>
      <c r="T1457" s="3">
        <v>45207</v>
      </c>
      <c r="U1457" s="3">
        <v>45209</v>
      </c>
      <c r="V1457" t="s">
        <v>70</v>
      </c>
      <c r="W1457">
        <f t="shared" si="112"/>
        <v>2453.9760000000001</v>
      </c>
      <c r="X1457">
        <f t="shared" si="113"/>
        <v>3029.6</v>
      </c>
      <c r="Y1457">
        <f t="shared" si="114"/>
        <v>575.6239999999998</v>
      </c>
      <c r="Z1457" s="8" t="str">
        <f t="shared" si="111"/>
        <v>Medium</v>
      </c>
      <c r="AA1457" s="12">
        <f>DATE(YEAR(Table1[[#This Row],[OrderDate]]),MONTH(Table1[[#This Row],[OrderDate]]),1)</f>
        <v>45200</v>
      </c>
    </row>
    <row r="1458" spans="1:27" x14ac:dyDescent="0.3">
      <c r="A1458" s="3">
        <v>45800</v>
      </c>
      <c r="B1458" t="s">
        <v>13</v>
      </c>
      <c r="C1458" t="s">
        <v>33</v>
      </c>
      <c r="D1458" t="str">
        <f>TRIM(Table1[[#This Row],[Product]])</f>
        <v>Phone</v>
      </c>
      <c r="E1458" t="str">
        <f>PROPER(Table1[[#This Row],[Column1]])</f>
        <v>Phone</v>
      </c>
      <c r="F1458" s="8" t="str">
        <f t="shared" si="110"/>
        <v>Technology</v>
      </c>
      <c r="G1458" s="5">
        <v>16</v>
      </c>
      <c r="H1458">
        <v>231.76</v>
      </c>
      <c r="I1458" t="s">
        <v>57</v>
      </c>
      <c r="J1458" t="s">
        <v>65</v>
      </c>
      <c r="K1458" s="7">
        <v>0.15</v>
      </c>
      <c r="L1458" t="s">
        <v>19</v>
      </c>
      <c r="M1458" s="5">
        <v>3151.9360000000001</v>
      </c>
      <c r="N1458" t="s">
        <v>59</v>
      </c>
      <c r="O1458" t="s">
        <v>71</v>
      </c>
      <c r="P1458" s="5">
        <v>1</v>
      </c>
      <c r="Q1458" t="s">
        <v>2866</v>
      </c>
      <c r="R1458" t="s">
        <v>2867</v>
      </c>
      <c r="S1458" s="5">
        <v>9.42</v>
      </c>
      <c r="T1458" s="3">
        <v>45800</v>
      </c>
      <c r="U1458" s="3">
        <v>45804</v>
      </c>
      <c r="V1458" t="s">
        <v>70</v>
      </c>
      <c r="W1458">
        <f t="shared" si="112"/>
        <v>2679.1455999999998</v>
      </c>
      <c r="X1458">
        <f t="shared" si="113"/>
        <v>3708.16</v>
      </c>
      <c r="Y1458">
        <f t="shared" si="114"/>
        <v>1029.0144</v>
      </c>
      <c r="Z1458" s="8" t="str">
        <f t="shared" si="111"/>
        <v>High</v>
      </c>
      <c r="AA1458" s="12">
        <f>DATE(YEAR(Table1[[#This Row],[OrderDate]]),MONTH(Table1[[#This Row],[OrderDate]]),1)</f>
        <v>45778</v>
      </c>
    </row>
    <row r="1459" spans="1:27" x14ac:dyDescent="0.3">
      <c r="A1459" s="3">
        <v>44928</v>
      </c>
      <c r="B1459" t="s">
        <v>13</v>
      </c>
      <c r="C1459" t="s">
        <v>31</v>
      </c>
      <c r="D1459" t="str">
        <f>TRIM(Table1[[#This Row],[Product]])</f>
        <v>Laptop</v>
      </c>
      <c r="E1459" t="str">
        <f>PROPER(Table1[[#This Row],[Column1]])</f>
        <v>Laptop</v>
      </c>
      <c r="F1459" s="8" t="str">
        <f t="shared" si="110"/>
        <v>Technology</v>
      </c>
      <c r="G1459" s="5">
        <v>7</v>
      </c>
      <c r="H1459">
        <v>61.47</v>
      </c>
      <c r="I1459" t="s">
        <v>78</v>
      </c>
      <c r="J1459" t="s">
        <v>65</v>
      </c>
      <c r="K1459" s="7">
        <v>0.15</v>
      </c>
      <c r="L1459" t="s">
        <v>25</v>
      </c>
      <c r="M1459" s="5">
        <v>365.74650000000003</v>
      </c>
      <c r="N1459" t="s">
        <v>59</v>
      </c>
      <c r="O1459" t="s">
        <v>60</v>
      </c>
      <c r="P1459" s="5">
        <v>0</v>
      </c>
      <c r="Q1459" t="s">
        <v>2868</v>
      </c>
      <c r="R1459" t="s">
        <v>2869</v>
      </c>
      <c r="S1459" s="5">
        <v>14.44</v>
      </c>
      <c r="T1459" s="3">
        <v>44928</v>
      </c>
      <c r="U1459" s="3">
        <v>44938</v>
      </c>
      <c r="V1459" t="s">
        <v>70</v>
      </c>
      <c r="W1459">
        <f t="shared" si="112"/>
        <v>310.884525</v>
      </c>
      <c r="X1459">
        <f t="shared" si="113"/>
        <v>430.28999999999996</v>
      </c>
      <c r="Y1459">
        <f t="shared" si="114"/>
        <v>119.40547499999997</v>
      </c>
      <c r="Z1459" s="8" t="str">
        <f t="shared" si="111"/>
        <v>High</v>
      </c>
      <c r="AA1459" s="12">
        <f>DATE(YEAR(Table1[[#This Row],[OrderDate]]),MONTH(Table1[[#This Row],[OrderDate]]),1)</f>
        <v>44927</v>
      </c>
    </row>
    <row r="1460" spans="1:27" x14ac:dyDescent="0.3">
      <c r="A1460" s="3">
        <v>45218</v>
      </c>
      <c r="B1460" t="s">
        <v>11</v>
      </c>
      <c r="C1460" t="s">
        <v>30</v>
      </c>
      <c r="D1460" t="str">
        <f>TRIM(Table1[[#This Row],[Product]])</f>
        <v>Desk</v>
      </c>
      <c r="E1460" t="str">
        <f>PROPER(Table1[[#This Row],[Column1]])</f>
        <v>Desk</v>
      </c>
      <c r="F1460" s="8" t="str">
        <f t="shared" si="110"/>
        <v>Furniture</v>
      </c>
      <c r="G1460" s="5">
        <v>15</v>
      </c>
      <c r="H1460">
        <v>434.44</v>
      </c>
      <c r="I1460" t="s">
        <v>57</v>
      </c>
      <c r="J1460" t="s">
        <v>58</v>
      </c>
      <c r="K1460" s="7">
        <v>0</v>
      </c>
      <c r="L1460" t="s">
        <v>19</v>
      </c>
      <c r="M1460" s="5">
        <v>6516.6</v>
      </c>
      <c r="N1460" t="s">
        <v>85</v>
      </c>
      <c r="P1460" s="5">
        <v>1</v>
      </c>
      <c r="Q1460" t="s">
        <v>2870</v>
      </c>
      <c r="R1460" t="s">
        <v>2871</v>
      </c>
      <c r="S1460" s="5">
        <v>33.86</v>
      </c>
      <c r="T1460" s="3">
        <v>45218</v>
      </c>
      <c r="U1460" s="3">
        <v>45227</v>
      </c>
      <c r="V1460" t="s">
        <v>74</v>
      </c>
      <c r="W1460">
        <f t="shared" si="112"/>
        <v>6516.6</v>
      </c>
      <c r="X1460">
        <f t="shared" si="113"/>
        <v>6516.6</v>
      </c>
      <c r="Y1460">
        <f t="shared" si="114"/>
        <v>0</v>
      </c>
      <c r="Z1460" s="8" t="str">
        <f t="shared" si="111"/>
        <v>No Discount</v>
      </c>
      <c r="AA1460" s="12">
        <f>DATE(YEAR(Table1[[#This Row],[OrderDate]]),MONTH(Table1[[#This Row],[OrderDate]]),1)</f>
        <v>45200</v>
      </c>
    </row>
    <row r="1461" spans="1:27" x14ac:dyDescent="0.3">
      <c r="A1461" s="3">
        <v>45772</v>
      </c>
      <c r="B1461" t="s">
        <v>16</v>
      </c>
      <c r="C1461" t="s">
        <v>29</v>
      </c>
      <c r="D1461" t="str">
        <f>TRIM(Table1[[#This Row],[Product]])</f>
        <v>Chair</v>
      </c>
      <c r="E1461" t="str">
        <f>PROPER(Table1[[#This Row],[Column1]])</f>
        <v>Chair</v>
      </c>
      <c r="F1461" s="8" t="str">
        <f t="shared" si="110"/>
        <v>Furniture</v>
      </c>
      <c r="G1461" s="5">
        <v>16</v>
      </c>
      <c r="H1461">
        <v>484.01</v>
      </c>
      <c r="I1461" t="s">
        <v>64</v>
      </c>
      <c r="J1461" t="s">
        <v>58</v>
      </c>
      <c r="K1461" s="7">
        <v>0</v>
      </c>
      <c r="L1461" t="s">
        <v>18</v>
      </c>
      <c r="M1461" s="5">
        <v>7744.16</v>
      </c>
      <c r="N1461" t="s">
        <v>59</v>
      </c>
      <c r="O1461" t="s">
        <v>67</v>
      </c>
      <c r="P1461" s="5">
        <v>1</v>
      </c>
      <c r="Q1461" t="s">
        <v>2872</v>
      </c>
      <c r="R1461" t="s">
        <v>2873</v>
      </c>
      <c r="S1461" s="5">
        <v>9.65</v>
      </c>
      <c r="T1461" s="3">
        <v>45772</v>
      </c>
      <c r="U1461" s="3">
        <v>45778</v>
      </c>
      <c r="V1461" t="s">
        <v>95</v>
      </c>
      <c r="W1461">
        <f t="shared" si="112"/>
        <v>7744.16</v>
      </c>
      <c r="X1461">
        <f t="shared" si="113"/>
        <v>7744.16</v>
      </c>
      <c r="Y1461">
        <f t="shared" si="114"/>
        <v>0</v>
      </c>
      <c r="Z1461" s="8" t="str">
        <f t="shared" si="111"/>
        <v>No Discount</v>
      </c>
      <c r="AA1461" s="12">
        <f>DATE(YEAR(Table1[[#This Row],[OrderDate]]),MONTH(Table1[[#This Row],[OrderDate]]),1)</f>
        <v>45748</v>
      </c>
    </row>
    <row r="1462" spans="1:27" x14ac:dyDescent="0.3">
      <c r="A1462" s="3">
        <v>45382</v>
      </c>
      <c r="B1462" t="s">
        <v>7</v>
      </c>
      <c r="C1462" t="s">
        <v>30</v>
      </c>
      <c r="D1462" t="str">
        <f>TRIM(Table1[[#This Row],[Product]])</f>
        <v>Desk</v>
      </c>
      <c r="E1462" t="str">
        <f>PROPER(Table1[[#This Row],[Column1]])</f>
        <v>Desk</v>
      </c>
      <c r="F1462" s="8" t="str">
        <f t="shared" si="110"/>
        <v>Furniture</v>
      </c>
      <c r="G1462" s="5">
        <v>2</v>
      </c>
      <c r="H1462">
        <v>55.08</v>
      </c>
      <c r="I1462" t="s">
        <v>78</v>
      </c>
      <c r="J1462" t="s">
        <v>58</v>
      </c>
      <c r="K1462" s="7">
        <v>0</v>
      </c>
      <c r="L1462" t="s">
        <v>27</v>
      </c>
      <c r="M1462" s="5">
        <v>110.16</v>
      </c>
      <c r="N1462" t="s">
        <v>82</v>
      </c>
      <c r="O1462" t="s">
        <v>60</v>
      </c>
      <c r="P1462" s="5">
        <v>0</v>
      </c>
      <c r="Q1462" t="s">
        <v>2874</v>
      </c>
      <c r="R1462" t="s">
        <v>2875</v>
      </c>
      <c r="S1462" s="5">
        <v>9.85</v>
      </c>
      <c r="T1462" s="3">
        <v>45382</v>
      </c>
      <c r="U1462" s="3">
        <v>45386</v>
      </c>
      <c r="V1462" t="s">
        <v>77</v>
      </c>
      <c r="W1462">
        <f t="shared" si="112"/>
        <v>110.16</v>
      </c>
      <c r="X1462">
        <f t="shared" si="113"/>
        <v>110.16</v>
      </c>
      <c r="Y1462">
        <f t="shared" si="114"/>
        <v>0</v>
      </c>
      <c r="Z1462" s="8" t="str">
        <f t="shared" si="111"/>
        <v>No Discount</v>
      </c>
      <c r="AA1462" s="12">
        <f>DATE(YEAR(Table1[[#This Row],[OrderDate]]),MONTH(Table1[[#This Row],[OrderDate]]),1)</f>
        <v>45352</v>
      </c>
    </row>
    <row r="1463" spans="1:27" x14ac:dyDescent="0.3">
      <c r="A1463" s="3">
        <v>45688</v>
      </c>
      <c r="B1463" t="s">
        <v>11</v>
      </c>
      <c r="C1463" t="s">
        <v>34</v>
      </c>
      <c r="D1463" t="str">
        <f>TRIM(Table1[[#This Row],[Product]])</f>
        <v>Printer</v>
      </c>
      <c r="E1463" t="str">
        <f>PROPER(Table1[[#This Row],[Column1]])</f>
        <v>Printer</v>
      </c>
      <c r="F1463" s="8" t="str">
        <f t="shared" si="110"/>
        <v>Office Supplies</v>
      </c>
      <c r="G1463" s="5">
        <v>13</v>
      </c>
      <c r="H1463">
        <v>223.44</v>
      </c>
      <c r="I1463" t="s">
        <v>57</v>
      </c>
      <c r="J1463" t="s">
        <v>65</v>
      </c>
      <c r="K1463" s="7">
        <v>0.15</v>
      </c>
      <c r="L1463" t="s">
        <v>21</v>
      </c>
      <c r="M1463" s="5">
        <v>2469.0120000000002</v>
      </c>
      <c r="N1463" t="s">
        <v>82</v>
      </c>
      <c r="P1463" s="5">
        <v>1</v>
      </c>
      <c r="Q1463" t="s">
        <v>2876</v>
      </c>
      <c r="R1463" t="s">
        <v>2877</v>
      </c>
      <c r="S1463" s="5">
        <v>38.46</v>
      </c>
      <c r="T1463" s="3">
        <v>45688</v>
      </c>
      <c r="U1463" s="3">
        <v>45695</v>
      </c>
      <c r="V1463" t="s">
        <v>74</v>
      </c>
      <c r="W1463">
        <f t="shared" si="112"/>
        <v>2098.6602000000003</v>
      </c>
      <c r="X1463">
        <f t="shared" si="113"/>
        <v>2904.72</v>
      </c>
      <c r="Y1463">
        <f t="shared" si="114"/>
        <v>806.05979999999954</v>
      </c>
      <c r="Z1463" s="8" t="str">
        <f t="shared" si="111"/>
        <v>High</v>
      </c>
      <c r="AA1463" s="12">
        <f>DATE(YEAR(Table1[[#This Row],[OrderDate]]),MONTH(Table1[[#This Row],[OrderDate]]),1)</f>
        <v>45658</v>
      </c>
    </row>
    <row r="1464" spans="1:27" x14ac:dyDescent="0.3">
      <c r="A1464" s="3">
        <v>45743</v>
      </c>
      <c r="B1464" t="s">
        <v>9</v>
      </c>
      <c r="C1464" t="s">
        <v>33</v>
      </c>
      <c r="D1464" t="str">
        <f>TRIM(Table1[[#This Row],[Product]])</f>
        <v>Phone</v>
      </c>
      <c r="E1464" t="str">
        <f>PROPER(Table1[[#This Row],[Column1]])</f>
        <v>Phone</v>
      </c>
      <c r="F1464" s="8" t="str">
        <f t="shared" si="110"/>
        <v>Technology</v>
      </c>
      <c r="G1464" s="5">
        <v>11</v>
      </c>
      <c r="H1464">
        <v>548.08000000000004</v>
      </c>
      <c r="I1464" t="s">
        <v>81</v>
      </c>
      <c r="J1464" t="s">
        <v>58</v>
      </c>
      <c r="K1464" s="7">
        <v>0.05</v>
      </c>
      <c r="L1464" t="s">
        <v>25</v>
      </c>
      <c r="M1464" s="5">
        <v>5727.4359999999997</v>
      </c>
      <c r="N1464" t="s">
        <v>88</v>
      </c>
      <c r="P1464" s="5">
        <v>0</v>
      </c>
      <c r="Q1464" t="s">
        <v>2878</v>
      </c>
      <c r="R1464" t="s">
        <v>2879</v>
      </c>
      <c r="S1464" s="5">
        <v>25.82</v>
      </c>
      <c r="T1464" s="3">
        <v>45743</v>
      </c>
      <c r="U1464" s="3">
        <v>45753</v>
      </c>
      <c r="V1464" t="s">
        <v>63</v>
      </c>
      <c r="W1464">
        <f t="shared" si="112"/>
        <v>5441.0641999999998</v>
      </c>
      <c r="X1464">
        <f t="shared" si="113"/>
        <v>6028.88</v>
      </c>
      <c r="Y1464">
        <f t="shared" si="114"/>
        <v>587.81580000000031</v>
      </c>
      <c r="Z1464" s="8" t="str">
        <f t="shared" si="111"/>
        <v>Medium</v>
      </c>
      <c r="AA1464" s="12">
        <f>DATE(YEAR(Table1[[#This Row],[OrderDate]]),MONTH(Table1[[#This Row],[OrderDate]]),1)</f>
        <v>45717</v>
      </c>
    </row>
    <row r="1465" spans="1:27" x14ac:dyDescent="0.3">
      <c r="A1465" s="3">
        <v>45676</v>
      </c>
      <c r="B1465" t="s">
        <v>7</v>
      </c>
      <c r="C1465" t="s">
        <v>30</v>
      </c>
      <c r="D1465" t="str">
        <f>TRIM(Table1[[#This Row],[Product]])</f>
        <v>Desk</v>
      </c>
      <c r="E1465" t="str">
        <f>PROPER(Table1[[#This Row],[Column1]])</f>
        <v>Desk</v>
      </c>
      <c r="F1465" s="8" t="str">
        <f t="shared" si="110"/>
        <v>Furniture</v>
      </c>
      <c r="G1465" s="5">
        <v>11</v>
      </c>
      <c r="H1465">
        <v>133.63999999999999</v>
      </c>
      <c r="I1465" t="s">
        <v>81</v>
      </c>
      <c r="J1465" t="s">
        <v>58</v>
      </c>
      <c r="K1465" s="7">
        <v>0</v>
      </c>
      <c r="L1465" t="s">
        <v>23</v>
      </c>
      <c r="M1465" s="5">
        <v>1470.04</v>
      </c>
      <c r="N1465" t="s">
        <v>85</v>
      </c>
      <c r="P1465" s="5">
        <v>1</v>
      </c>
      <c r="Q1465" t="s">
        <v>2880</v>
      </c>
      <c r="R1465" t="s">
        <v>2173</v>
      </c>
      <c r="S1465" s="5">
        <v>30.18</v>
      </c>
      <c r="T1465" s="3">
        <v>45676</v>
      </c>
      <c r="U1465" s="3">
        <v>45681</v>
      </c>
      <c r="V1465" t="s">
        <v>77</v>
      </c>
      <c r="W1465">
        <f t="shared" si="112"/>
        <v>1470.04</v>
      </c>
      <c r="X1465">
        <f t="shared" si="113"/>
        <v>1470.04</v>
      </c>
      <c r="Y1465">
        <f t="shared" si="114"/>
        <v>0</v>
      </c>
      <c r="Z1465" s="8" t="str">
        <f t="shared" si="111"/>
        <v>No Discount</v>
      </c>
      <c r="AA1465" s="12">
        <f>DATE(YEAR(Table1[[#This Row],[OrderDate]]),MONTH(Table1[[#This Row],[OrderDate]]),1)</f>
        <v>45658</v>
      </c>
    </row>
    <row r="1466" spans="1:27" x14ac:dyDescent="0.3">
      <c r="A1466" s="3">
        <v>45428</v>
      </c>
      <c r="B1466" t="s">
        <v>11</v>
      </c>
      <c r="C1466" t="s">
        <v>29</v>
      </c>
      <c r="D1466" t="str">
        <f>TRIM(Table1[[#This Row],[Product]])</f>
        <v>Chair</v>
      </c>
      <c r="E1466" t="str">
        <f>PROPER(Table1[[#This Row],[Column1]])</f>
        <v>Chair</v>
      </c>
      <c r="F1466" s="8" t="str">
        <f t="shared" si="110"/>
        <v>Furniture</v>
      </c>
      <c r="G1466" s="5">
        <v>19</v>
      </c>
      <c r="H1466">
        <v>368.85</v>
      </c>
      <c r="I1466" t="s">
        <v>78</v>
      </c>
      <c r="J1466" t="s">
        <v>65</v>
      </c>
      <c r="K1466" s="7">
        <v>0.1</v>
      </c>
      <c r="L1466" t="s">
        <v>19</v>
      </c>
      <c r="M1466" s="5">
        <v>6307.3350000000009</v>
      </c>
      <c r="N1466" t="s">
        <v>66</v>
      </c>
      <c r="O1466" t="s">
        <v>60</v>
      </c>
      <c r="P1466" s="5">
        <v>0</v>
      </c>
      <c r="Q1466" t="s">
        <v>2881</v>
      </c>
      <c r="R1466" t="s">
        <v>2882</v>
      </c>
      <c r="S1466" s="5">
        <v>35.369999999999997</v>
      </c>
      <c r="T1466" s="3">
        <v>45428</v>
      </c>
      <c r="U1466" s="3">
        <v>45433</v>
      </c>
      <c r="V1466" t="s">
        <v>74</v>
      </c>
      <c r="W1466">
        <f t="shared" si="112"/>
        <v>5676.6015000000007</v>
      </c>
      <c r="X1466">
        <f t="shared" si="113"/>
        <v>7008.1500000000005</v>
      </c>
      <c r="Y1466">
        <f t="shared" si="114"/>
        <v>1331.5484999999999</v>
      </c>
      <c r="Z1466" s="8" t="str">
        <f t="shared" si="111"/>
        <v>Medium</v>
      </c>
      <c r="AA1466" s="12">
        <f>DATE(YEAR(Table1[[#This Row],[OrderDate]]),MONTH(Table1[[#This Row],[OrderDate]]),1)</f>
        <v>45413</v>
      </c>
    </row>
    <row r="1467" spans="1:27" x14ac:dyDescent="0.3">
      <c r="A1467" s="3">
        <v>45173</v>
      </c>
      <c r="B1467" t="s">
        <v>7</v>
      </c>
      <c r="C1467" t="s">
        <v>29</v>
      </c>
      <c r="D1467" t="str">
        <f>TRIM(Table1[[#This Row],[Product]])</f>
        <v>Chair</v>
      </c>
      <c r="E1467" t="str">
        <f>PROPER(Table1[[#This Row],[Column1]])</f>
        <v>Chair</v>
      </c>
      <c r="F1467" s="8" t="str">
        <f t="shared" si="110"/>
        <v>Furniture</v>
      </c>
      <c r="G1467" s="5">
        <v>14</v>
      </c>
      <c r="H1467">
        <v>115.98</v>
      </c>
      <c r="I1467" t="s">
        <v>64</v>
      </c>
      <c r="J1467" t="s">
        <v>58</v>
      </c>
      <c r="K1467" s="7">
        <v>0</v>
      </c>
      <c r="L1467" t="s">
        <v>19</v>
      </c>
      <c r="M1467" s="5">
        <v>1623.72</v>
      </c>
      <c r="N1467" t="s">
        <v>85</v>
      </c>
      <c r="P1467" s="5">
        <v>0</v>
      </c>
      <c r="Q1467" t="s">
        <v>2883</v>
      </c>
      <c r="R1467" t="s">
        <v>2884</v>
      </c>
      <c r="S1467" s="5">
        <v>31.85</v>
      </c>
      <c r="T1467" s="3">
        <v>45173</v>
      </c>
      <c r="U1467" s="3">
        <v>45175</v>
      </c>
      <c r="V1467" t="s">
        <v>77</v>
      </c>
      <c r="W1467">
        <f t="shared" si="112"/>
        <v>1623.72</v>
      </c>
      <c r="X1467">
        <f t="shared" si="113"/>
        <v>1623.72</v>
      </c>
      <c r="Y1467">
        <f t="shared" si="114"/>
        <v>0</v>
      </c>
      <c r="Z1467" s="8" t="str">
        <f t="shared" si="111"/>
        <v>No Discount</v>
      </c>
      <c r="AA1467" s="12">
        <f>DATE(YEAR(Table1[[#This Row],[OrderDate]]),MONTH(Table1[[#This Row],[OrderDate]]),1)</f>
        <v>45170</v>
      </c>
    </row>
    <row r="1468" spans="1:27" x14ac:dyDescent="0.3">
      <c r="A1468" s="3">
        <v>45277</v>
      </c>
      <c r="B1468" t="s">
        <v>13</v>
      </c>
      <c r="C1468" t="s">
        <v>32</v>
      </c>
      <c r="D1468" t="str">
        <f>TRIM(Table1[[#This Row],[Product]])</f>
        <v>Monitor</v>
      </c>
      <c r="E1468" t="str">
        <f>PROPER(Table1[[#This Row],[Column1]])</f>
        <v>Monitor</v>
      </c>
      <c r="F1468" s="8" t="str">
        <f t="shared" si="110"/>
        <v>Technology</v>
      </c>
      <c r="G1468" s="5">
        <v>9</v>
      </c>
      <c r="H1468">
        <v>55.04</v>
      </c>
      <c r="I1468" t="s">
        <v>57</v>
      </c>
      <c r="J1468" t="s">
        <v>65</v>
      </c>
      <c r="K1468" s="7">
        <v>0.15</v>
      </c>
      <c r="L1468" t="s">
        <v>18</v>
      </c>
      <c r="M1468" s="5">
        <v>421.05599999999998</v>
      </c>
      <c r="N1468" t="s">
        <v>59</v>
      </c>
      <c r="P1468" s="5">
        <v>0</v>
      </c>
      <c r="Q1468" t="s">
        <v>2885</v>
      </c>
      <c r="R1468" t="s">
        <v>2886</v>
      </c>
      <c r="S1468" s="5">
        <v>31.09</v>
      </c>
      <c r="T1468" s="3">
        <v>45277</v>
      </c>
      <c r="U1468" s="3">
        <v>45283</v>
      </c>
      <c r="V1468" t="s">
        <v>70</v>
      </c>
      <c r="W1468">
        <f t="shared" si="112"/>
        <v>357.89759999999995</v>
      </c>
      <c r="X1468">
        <f t="shared" si="113"/>
        <v>495.36</v>
      </c>
      <c r="Y1468">
        <f t="shared" si="114"/>
        <v>137.46240000000006</v>
      </c>
      <c r="Z1468" s="8" t="str">
        <f t="shared" si="111"/>
        <v>High</v>
      </c>
      <c r="AA1468" s="12">
        <f>DATE(YEAR(Table1[[#This Row],[OrderDate]]),MONTH(Table1[[#This Row],[OrderDate]]),1)</f>
        <v>45261</v>
      </c>
    </row>
    <row r="1469" spans="1:27" x14ac:dyDescent="0.3">
      <c r="A1469" s="3">
        <v>45306</v>
      </c>
      <c r="B1469" t="s">
        <v>7</v>
      </c>
      <c r="C1469" t="s">
        <v>32</v>
      </c>
      <c r="D1469" t="str">
        <f>TRIM(Table1[[#This Row],[Product]])</f>
        <v>Monitor</v>
      </c>
      <c r="E1469" t="str">
        <f>PROPER(Table1[[#This Row],[Column1]])</f>
        <v>Monitor</v>
      </c>
      <c r="F1469" s="8" t="str">
        <f t="shared" si="110"/>
        <v>Technology</v>
      </c>
      <c r="G1469" s="5">
        <v>4</v>
      </c>
      <c r="H1469">
        <v>159.54</v>
      </c>
      <c r="I1469" t="s">
        <v>64</v>
      </c>
      <c r="J1469" t="s">
        <v>58</v>
      </c>
      <c r="K1469" s="7">
        <v>0.05</v>
      </c>
      <c r="L1469" t="s">
        <v>18</v>
      </c>
      <c r="M1469" s="5">
        <v>606.25199999999995</v>
      </c>
      <c r="N1469" t="s">
        <v>82</v>
      </c>
      <c r="O1469" t="s">
        <v>60</v>
      </c>
      <c r="P1469" s="5">
        <v>0</v>
      </c>
      <c r="Q1469" t="s">
        <v>2887</v>
      </c>
      <c r="R1469" t="s">
        <v>2888</v>
      </c>
      <c r="S1469" s="5">
        <v>32.36</v>
      </c>
      <c r="T1469" s="3">
        <v>45306</v>
      </c>
      <c r="U1469" s="3">
        <v>45312</v>
      </c>
      <c r="V1469" t="s">
        <v>77</v>
      </c>
      <c r="W1469">
        <f t="shared" si="112"/>
        <v>575.93939999999998</v>
      </c>
      <c r="X1469">
        <f t="shared" si="113"/>
        <v>638.16</v>
      </c>
      <c r="Y1469">
        <f t="shared" si="114"/>
        <v>62.22059999999999</v>
      </c>
      <c r="Z1469" s="8" t="str">
        <f t="shared" si="111"/>
        <v>Medium</v>
      </c>
      <c r="AA1469" s="12">
        <f>DATE(YEAR(Table1[[#This Row],[OrderDate]]),MONTH(Table1[[#This Row],[OrderDate]]),1)</f>
        <v>45292</v>
      </c>
    </row>
    <row r="1470" spans="1:27" x14ac:dyDescent="0.3">
      <c r="A1470" s="3">
        <v>45645</v>
      </c>
      <c r="B1470" t="s">
        <v>7</v>
      </c>
      <c r="C1470" t="s">
        <v>31</v>
      </c>
      <c r="D1470" t="str">
        <f>TRIM(Table1[[#This Row],[Product]])</f>
        <v>Laptop</v>
      </c>
      <c r="E1470" t="str">
        <f>PROPER(Table1[[#This Row],[Column1]])</f>
        <v>Laptop</v>
      </c>
      <c r="F1470" s="8" t="str">
        <f t="shared" si="110"/>
        <v>Technology</v>
      </c>
      <c r="G1470" s="5">
        <v>15</v>
      </c>
      <c r="H1470">
        <v>150.15</v>
      </c>
      <c r="I1470" t="s">
        <v>78</v>
      </c>
      <c r="J1470" t="s">
        <v>65</v>
      </c>
      <c r="K1470" s="7">
        <v>0</v>
      </c>
      <c r="L1470" t="s">
        <v>27</v>
      </c>
      <c r="M1470" s="5">
        <v>2252.25</v>
      </c>
      <c r="N1470" t="s">
        <v>59</v>
      </c>
      <c r="O1470" t="s">
        <v>71</v>
      </c>
      <c r="P1470" s="5">
        <v>0</v>
      </c>
      <c r="Q1470" t="s">
        <v>2889</v>
      </c>
      <c r="R1470" t="s">
        <v>2890</v>
      </c>
      <c r="S1470" s="5">
        <v>35.94</v>
      </c>
      <c r="T1470" s="3">
        <v>45645</v>
      </c>
      <c r="U1470" s="3">
        <v>45655</v>
      </c>
      <c r="V1470" t="s">
        <v>77</v>
      </c>
      <c r="W1470">
        <f t="shared" si="112"/>
        <v>2252.25</v>
      </c>
      <c r="X1470">
        <f t="shared" si="113"/>
        <v>2252.25</v>
      </c>
      <c r="Y1470">
        <f t="shared" si="114"/>
        <v>0</v>
      </c>
      <c r="Z1470" s="8" t="str">
        <f t="shared" si="111"/>
        <v>No Discount</v>
      </c>
      <c r="AA1470" s="12">
        <f>DATE(YEAR(Table1[[#This Row],[OrderDate]]),MONTH(Table1[[#This Row],[OrderDate]]),1)</f>
        <v>45627</v>
      </c>
    </row>
    <row r="1471" spans="1:27" x14ac:dyDescent="0.3">
      <c r="A1471" s="3">
        <v>45276</v>
      </c>
      <c r="B1471" t="s">
        <v>11</v>
      </c>
      <c r="C1471" t="s">
        <v>29</v>
      </c>
      <c r="D1471" t="str">
        <f>TRIM(Table1[[#This Row],[Product]])</f>
        <v>Chair</v>
      </c>
      <c r="E1471" t="str">
        <f>PROPER(Table1[[#This Row],[Column1]])</f>
        <v>Chair</v>
      </c>
      <c r="F1471" s="8" t="str">
        <f t="shared" si="110"/>
        <v>Furniture</v>
      </c>
      <c r="G1471" s="5">
        <v>9</v>
      </c>
      <c r="H1471">
        <v>57.93</v>
      </c>
      <c r="I1471" t="s">
        <v>78</v>
      </c>
      <c r="J1471" t="s">
        <v>58</v>
      </c>
      <c r="K1471" s="7">
        <v>0</v>
      </c>
      <c r="L1471" t="s">
        <v>19</v>
      </c>
      <c r="M1471" s="5">
        <v>521.37</v>
      </c>
      <c r="N1471" t="s">
        <v>66</v>
      </c>
      <c r="O1471" t="s">
        <v>60</v>
      </c>
      <c r="P1471" s="5">
        <v>1</v>
      </c>
      <c r="Q1471" t="s">
        <v>2891</v>
      </c>
      <c r="R1471" t="s">
        <v>787</v>
      </c>
      <c r="S1471" s="5">
        <v>28.73</v>
      </c>
      <c r="T1471" s="3">
        <v>45276</v>
      </c>
      <c r="U1471" s="3">
        <v>45278</v>
      </c>
      <c r="V1471" t="s">
        <v>74</v>
      </c>
      <c r="W1471">
        <f t="shared" si="112"/>
        <v>521.37</v>
      </c>
      <c r="X1471">
        <f t="shared" si="113"/>
        <v>521.37</v>
      </c>
      <c r="Y1471">
        <f t="shared" si="114"/>
        <v>0</v>
      </c>
      <c r="Z1471" s="8" t="str">
        <f t="shared" si="111"/>
        <v>No Discount</v>
      </c>
      <c r="AA1471" s="12">
        <f>DATE(YEAR(Table1[[#This Row],[OrderDate]]),MONTH(Table1[[#This Row],[OrderDate]]),1)</f>
        <v>45261</v>
      </c>
    </row>
    <row r="1472" spans="1:27" x14ac:dyDescent="0.3">
      <c r="A1472" s="3">
        <v>45791</v>
      </c>
      <c r="B1472" t="s">
        <v>7</v>
      </c>
      <c r="C1472" t="s">
        <v>31</v>
      </c>
      <c r="D1472" t="str">
        <f>TRIM(Table1[[#This Row],[Product]])</f>
        <v>Laptop</v>
      </c>
      <c r="E1472" t="str">
        <f>PROPER(Table1[[#This Row],[Column1]])</f>
        <v>Laptop</v>
      </c>
      <c r="F1472" s="8" t="str">
        <f t="shared" si="110"/>
        <v>Technology</v>
      </c>
      <c r="G1472" s="5">
        <v>4</v>
      </c>
      <c r="H1472">
        <v>438.58</v>
      </c>
      <c r="I1472" t="s">
        <v>81</v>
      </c>
      <c r="J1472" t="s">
        <v>65</v>
      </c>
      <c r="K1472" s="7">
        <v>0.05</v>
      </c>
      <c r="L1472" t="s">
        <v>18</v>
      </c>
      <c r="M1472" s="5">
        <v>1666.604</v>
      </c>
      <c r="N1472" t="s">
        <v>59</v>
      </c>
      <c r="O1472" t="s">
        <v>71</v>
      </c>
      <c r="P1472" s="5">
        <v>0</v>
      </c>
      <c r="Q1472" t="s">
        <v>2892</v>
      </c>
      <c r="R1472" t="s">
        <v>2893</v>
      </c>
      <c r="S1472" s="5">
        <v>5.0999999999999996</v>
      </c>
      <c r="T1472" s="3">
        <v>45791</v>
      </c>
      <c r="U1472" s="3">
        <v>45795</v>
      </c>
      <c r="V1472" t="s">
        <v>77</v>
      </c>
      <c r="W1472">
        <f t="shared" si="112"/>
        <v>1583.2737999999999</v>
      </c>
      <c r="X1472">
        <f t="shared" si="113"/>
        <v>1754.32</v>
      </c>
      <c r="Y1472">
        <f t="shared" si="114"/>
        <v>171.0462</v>
      </c>
      <c r="Z1472" s="8" t="str">
        <f t="shared" si="111"/>
        <v>Medium</v>
      </c>
      <c r="AA1472" s="12">
        <f>DATE(YEAR(Table1[[#This Row],[OrderDate]]),MONTH(Table1[[#This Row],[OrderDate]]),1)</f>
        <v>45778</v>
      </c>
    </row>
    <row r="1473" spans="1:27" x14ac:dyDescent="0.3">
      <c r="A1473" s="3">
        <v>45107</v>
      </c>
      <c r="B1473" t="s">
        <v>13</v>
      </c>
      <c r="C1473" t="s">
        <v>32</v>
      </c>
      <c r="D1473" t="str">
        <f>TRIM(Table1[[#This Row],[Product]])</f>
        <v>Monitor</v>
      </c>
      <c r="E1473" t="str">
        <f>PROPER(Table1[[#This Row],[Column1]])</f>
        <v>Monitor</v>
      </c>
      <c r="F1473" s="8" t="str">
        <f t="shared" si="110"/>
        <v>Technology</v>
      </c>
      <c r="G1473" s="5">
        <v>6</v>
      </c>
      <c r="H1473">
        <v>536.24</v>
      </c>
      <c r="I1473" t="s">
        <v>81</v>
      </c>
      <c r="J1473" t="s">
        <v>65</v>
      </c>
      <c r="K1473" s="7">
        <v>0</v>
      </c>
      <c r="L1473" t="s">
        <v>23</v>
      </c>
      <c r="M1473" s="5">
        <v>3217.44</v>
      </c>
      <c r="N1473" t="s">
        <v>88</v>
      </c>
      <c r="O1473" t="s">
        <v>71</v>
      </c>
      <c r="P1473" s="5">
        <v>0</v>
      </c>
      <c r="Q1473" t="s">
        <v>2894</v>
      </c>
      <c r="R1473" t="s">
        <v>1510</v>
      </c>
      <c r="S1473" s="5">
        <v>35.32</v>
      </c>
      <c r="T1473" s="3">
        <v>45107</v>
      </c>
      <c r="U1473" s="3">
        <v>45109</v>
      </c>
      <c r="V1473" t="s">
        <v>70</v>
      </c>
      <c r="W1473">
        <f t="shared" si="112"/>
        <v>3217.44</v>
      </c>
      <c r="X1473">
        <f t="shared" si="113"/>
        <v>3217.44</v>
      </c>
      <c r="Y1473">
        <f t="shared" si="114"/>
        <v>0</v>
      </c>
      <c r="Z1473" s="8" t="str">
        <f t="shared" si="111"/>
        <v>No Discount</v>
      </c>
      <c r="AA1473" s="12">
        <f>DATE(YEAR(Table1[[#This Row],[OrderDate]]),MONTH(Table1[[#This Row],[OrderDate]]),1)</f>
        <v>45078</v>
      </c>
    </row>
    <row r="1474" spans="1:27" x14ac:dyDescent="0.3">
      <c r="A1474" s="3">
        <v>45838</v>
      </c>
      <c r="B1474" t="s">
        <v>13</v>
      </c>
      <c r="C1474" t="s">
        <v>33</v>
      </c>
      <c r="D1474" t="str">
        <f>TRIM(Table1[[#This Row],[Product]])</f>
        <v>Phone</v>
      </c>
      <c r="E1474" t="str">
        <f>PROPER(Table1[[#This Row],[Column1]])</f>
        <v>Phone</v>
      </c>
      <c r="F1474" s="8" t="str">
        <f t="shared" ref="F1474:F1501" si="115">IF(OR(E1474="Chair",E1474="Desk"),"Furniture",IF(OR(E1474="Laptop",E1474="Monitor",E1474="Phone",E1474="Tablet"),"Technology",IF(E1474="Printer","Office Supplies","Other")))</f>
        <v>Technology</v>
      </c>
      <c r="G1474" s="5">
        <v>20</v>
      </c>
      <c r="H1474">
        <v>444.77</v>
      </c>
      <c r="I1474" t="s">
        <v>57</v>
      </c>
      <c r="J1474" t="s">
        <v>58</v>
      </c>
      <c r="K1474" s="7">
        <v>0.1</v>
      </c>
      <c r="L1474" t="s">
        <v>23</v>
      </c>
      <c r="M1474" s="5">
        <v>8005.86</v>
      </c>
      <c r="N1474" t="s">
        <v>59</v>
      </c>
      <c r="P1474" s="5">
        <v>1</v>
      </c>
      <c r="Q1474" t="s">
        <v>2895</v>
      </c>
      <c r="R1474" t="s">
        <v>2896</v>
      </c>
      <c r="S1474" s="5">
        <v>20.05</v>
      </c>
      <c r="T1474" s="3">
        <v>45838</v>
      </c>
      <c r="U1474" s="3">
        <v>45845</v>
      </c>
      <c r="V1474" t="s">
        <v>70</v>
      </c>
      <c r="W1474">
        <f t="shared" si="112"/>
        <v>7205.2739999999994</v>
      </c>
      <c r="X1474">
        <f t="shared" si="113"/>
        <v>8895.4</v>
      </c>
      <c r="Y1474">
        <f t="shared" si="114"/>
        <v>1690.1260000000002</v>
      </c>
      <c r="Z1474" s="8" t="str">
        <f t="shared" ref="Z1474:Z1501" si="116">IF(K1474=0,"No Discount",IF(K1474&lt;5%,"Low",IF(K1474&lt;15%,"Medium","High")))</f>
        <v>Medium</v>
      </c>
      <c r="AA1474" s="12">
        <f>DATE(YEAR(Table1[[#This Row],[OrderDate]]),MONTH(Table1[[#This Row],[OrderDate]]),1)</f>
        <v>45809</v>
      </c>
    </row>
    <row r="1475" spans="1:27" x14ac:dyDescent="0.3">
      <c r="A1475" s="3">
        <v>45730</v>
      </c>
      <c r="B1475" t="s">
        <v>7</v>
      </c>
      <c r="C1475" t="s">
        <v>34</v>
      </c>
      <c r="D1475" t="str">
        <f>TRIM(Table1[[#This Row],[Product]])</f>
        <v>Printer</v>
      </c>
      <c r="E1475" t="str">
        <f>PROPER(Table1[[#This Row],[Column1]])</f>
        <v>Printer</v>
      </c>
      <c r="F1475" s="8" t="str">
        <f t="shared" si="115"/>
        <v>Office Supplies</v>
      </c>
      <c r="G1475" s="5">
        <v>10</v>
      </c>
      <c r="H1475">
        <v>212.1</v>
      </c>
      <c r="I1475" t="s">
        <v>57</v>
      </c>
      <c r="J1475" t="s">
        <v>65</v>
      </c>
      <c r="K1475" s="7">
        <v>0.15</v>
      </c>
      <c r="L1475" t="s">
        <v>25</v>
      </c>
      <c r="M1475" s="5">
        <v>1802.85</v>
      </c>
      <c r="N1475" t="s">
        <v>66</v>
      </c>
      <c r="O1475" t="s">
        <v>71</v>
      </c>
      <c r="P1475" s="5">
        <v>0</v>
      </c>
      <c r="Q1475" t="s">
        <v>2897</v>
      </c>
      <c r="R1475" t="s">
        <v>2898</v>
      </c>
      <c r="S1475" s="5">
        <v>47.93</v>
      </c>
      <c r="T1475" s="3">
        <v>45730</v>
      </c>
      <c r="U1475" s="3">
        <v>45738</v>
      </c>
      <c r="V1475" t="s">
        <v>77</v>
      </c>
      <c r="W1475">
        <f t="shared" ref="W1475:W1501" si="117">M1475*(1-K1475)</f>
        <v>1532.4224999999999</v>
      </c>
      <c r="X1475">
        <f t="shared" ref="X1475:X1501" si="118">G1475*H1475</f>
        <v>2121</v>
      </c>
      <c r="Y1475">
        <f t="shared" ref="Y1475:Y1501" si="119">X1475-W1475</f>
        <v>588.5775000000001</v>
      </c>
      <c r="Z1475" s="8" t="str">
        <f t="shared" si="116"/>
        <v>High</v>
      </c>
      <c r="AA1475" s="12">
        <f>DATE(YEAR(Table1[[#This Row],[OrderDate]]),MONTH(Table1[[#This Row],[OrderDate]]),1)</f>
        <v>45717</v>
      </c>
    </row>
    <row r="1476" spans="1:27" x14ac:dyDescent="0.3">
      <c r="A1476" s="3">
        <v>45034</v>
      </c>
      <c r="B1476" t="s">
        <v>13</v>
      </c>
      <c r="C1476" t="s">
        <v>33</v>
      </c>
      <c r="D1476" t="str">
        <f>TRIM(Table1[[#This Row],[Product]])</f>
        <v>Phone</v>
      </c>
      <c r="E1476" t="str">
        <f>PROPER(Table1[[#This Row],[Column1]])</f>
        <v>Phone</v>
      </c>
      <c r="F1476" s="8" t="str">
        <f t="shared" si="115"/>
        <v>Technology</v>
      </c>
      <c r="G1476" s="5">
        <v>9</v>
      </c>
      <c r="H1476">
        <v>509.44</v>
      </c>
      <c r="I1476" t="s">
        <v>57</v>
      </c>
      <c r="J1476" t="s">
        <v>65</v>
      </c>
      <c r="K1476" s="7">
        <v>0.15</v>
      </c>
      <c r="L1476" t="s">
        <v>25</v>
      </c>
      <c r="M1476" s="5">
        <v>3897.2159999999999</v>
      </c>
      <c r="N1476" t="s">
        <v>82</v>
      </c>
      <c r="O1476" t="s">
        <v>67</v>
      </c>
      <c r="P1476" s="5">
        <v>0</v>
      </c>
      <c r="Q1476" t="s">
        <v>2899</v>
      </c>
      <c r="R1476" t="s">
        <v>2900</v>
      </c>
      <c r="S1476" s="5">
        <v>13</v>
      </c>
      <c r="T1476" s="3">
        <v>45034</v>
      </c>
      <c r="U1476" s="3">
        <v>45043</v>
      </c>
      <c r="V1476" t="s">
        <v>70</v>
      </c>
      <c r="W1476">
        <f t="shared" si="117"/>
        <v>3312.6335999999997</v>
      </c>
      <c r="X1476">
        <f t="shared" si="118"/>
        <v>4584.96</v>
      </c>
      <c r="Y1476">
        <f t="shared" si="119"/>
        <v>1272.3264000000004</v>
      </c>
      <c r="Z1476" s="8" t="str">
        <f t="shared" si="116"/>
        <v>High</v>
      </c>
      <c r="AA1476" s="12">
        <f>DATE(YEAR(Table1[[#This Row],[OrderDate]]),MONTH(Table1[[#This Row],[OrderDate]]),1)</f>
        <v>45017</v>
      </c>
    </row>
    <row r="1477" spans="1:27" x14ac:dyDescent="0.3">
      <c r="A1477" s="3">
        <v>45546</v>
      </c>
      <c r="B1477" t="s">
        <v>16</v>
      </c>
      <c r="C1477" t="s">
        <v>32</v>
      </c>
      <c r="D1477" t="str">
        <f>TRIM(Table1[[#This Row],[Product]])</f>
        <v>Monitor</v>
      </c>
      <c r="E1477" t="str">
        <f>PROPER(Table1[[#This Row],[Column1]])</f>
        <v>Monitor</v>
      </c>
      <c r="F1477" s="8" t="str">
        <f t="shared" si="115"/>
        <v>Technology</v>
      </c>
      <c r="G1477" s="5">
        <v>8</v>
      </c>
      <c r="H1477">
        <v>236.17</v>
      </c>
      <c r="I1477" t="s">
        <v>78</v>
      </c>
      <c r="J1477" t="s">
        <v>58</v>
      </c>
      <c r="K1477" s="7">
        <v>0.15</v>
      </c>
      <c r="L1477" t="s">
        <v>27</v>
      </c>
      <c r="M1477" s="5">
        <v>1605.9559999999999</v>
      </c>
      <c r="N1477" t="s">
        <v>88</v>
      </c>
      <c r="O1477" t="s">
        <v>71</v>
      </c>
      <c r="P1477" s="5">
        <v>0</v>
      </c>
      <c r="Q1477" t="s">
        <v>2901</v>
      </c>
      <c r="R1477" t="s">
        <v>2902</v>
      </c>
      <c r="S1477" s="5">
        <v>22.88</v>
      </c>
      <c r="T1477" s="3">
        <v>45546</v>
      </c>
      <c r="U1477" s="3">
        <v>45554</v>
      </c>
      <c r="V1477" t="s">
        <v>95</v>
      </c>
      <c r="W1477">
        <f t="shared" si="117"/>
        <v>1365.0626</v>
      </c>
      <c r="X1477">
        <f t="shared" si="118"/>
        <v>1889.36</v>
      </c>
      <c r="Y1477">
        <f t="shared" si="119"/>
        <v>524.29739999999993</v>
      </c>
      <c r="Z1477" s="8" t="str">
        <f t="shared" si="116"/>
        <v>High</v>
      </c>
      <c r="AA1477" s="12">
        <f>DATE(YEAR(Table1[[#This Row],[OrderDate]]),MONTH(Table1[[#This Row],[OrderDate]]),1)</f>
        <v>45536</v>
      </c>
    </row>
    <row r="1478" spans="1:27" x14ac:dyDescent="0.3">
      <c r="A1478" s="3">
        <v>45251</v>
      </c>
      <c r="B1478" t="s">
        <v>7</v>
      </c>
      <c r="C1478" t="s">
        <v>34</v>
      </c>
      <c r="D1478" t="str">
        <f>TRIM(Table1[[#This Row],[Product]])</f>
        <v>Printer</v>
      </c>
      <c r="E1478" t="str">
        <f>PROPER(Table1[[#This Row],[Column1]])</f>
        <v>Printer</v>
      </c>
      <c r="F1478" s="8" t="str">
        <f t="shared" si="115"/>
        <v>Office Supplies</v>
      </c>
      <c r="G1478" s="5">
        <v>1</v>
      </c>
      <c r="H1478">
        <v>147.4</v>
      </c>
      <c r="I1478" t="s">
        <v>81</v>
      </c>
      <c r="J1478" t="s">
        <v>65</v>
      </c>
      <c r="K1478" s="7">
        <v>0</v>
      </c>
      <c r="L1478" t="s">
        <v>21</v>
      </c>
      <c r="M1478" s="5">
        <v>147.4</v>
      </c>
      <c r="N1478" t="s">
        <v>88</v>
      </c>
      <c r="O1478" t="s">
        <v>67</v>
      </c>
      <c r="P1478" s="5">
        <v>1</v>
      </c>
      <c r="Q1478" t="s">
        <v>2903</v>
      </c>
      <c r="R1478" t="s">
        <v>1449</v>
      </c>
      <c r="S1478" s="5">
        <v>40.47</v>
      </c>
      <c r="T1478" s="3">
        <v>45251</v>
      </c>
      <c r="U1478" s="3">
        <v>45258</v>
      </c>
      <c r="V1478" t="s">
        <v>77</v>
      </c>
      <c r="W1478">
        <f t="shared" si="117"/>
        <v>147.4</v>
      </c>
      <c r="X1478">
        <f t="shared" si="118"/>
        <v>147.4</v>
      </c>
      <c r="Y1478">
        <f t="shared" si="119"/>
        <v>0</v>
      </c>
      <c r="Z1478" s="8" t="str">
        <f t="shared" si="116"/>
        <v>No Discount</v>
      </c>
      <c r="AA1478" s="12">
        <f>DATE(YEAR(Table1[[#This Row],[OrderDate]]),MONTH(Table1[[#This Row],[OrderDate]]),1)</f>
        <v>45231</v>
      </c>
    </row>
    <row r="1479" spans="1:27" x14ac:dyDescent="0.3">
      <c r="A1479" s="3">
        <v>45351</v>
      </c>
      <c r="B1479" t="s">
        <v>16</v>
      </c>
      <c r="C1479" t="s">
        <v>35</v>
      </c>
      <c r="D1479" t="str">
        <f>TRIM(Table1[[#This Row],[Product]])</f>
        <v>Tablet</v>
      </c>
      <c r="E1479" t="str">
        <f>PROPER(Table1[[#This Row],[Column1]])</f>
        <v>Tablet</v>
      </c>
      <c r="F1479" s="8" t="str">
        <f t="shared" si="115"/>
        <v>Technology</v>
      </c>
      <c r="G1479" s="5">
        <v>8</v>
      </c>
      <c r="H1479">
        <v>279.74</v>
      </c>
      <c r="I1479" t="s">
        <v>57</v>
      </c>
      <c r="J1479" t="s">
        <v>65</v>
      </c>
      <c r="K1479" s="7">
        <v>0.05</v>
      </c>
      <c r="L1479" t="s">
        <v>18</v>
      </c>
      <c r="M1479" s="5">
        <v>2126.0239999999999</v>
      </c>
      <c r="N1479" t="s">
        <v>66</v>
      </c>
      <c r="O1479" t="s">
        <v>60</v>
      </c>
      <c r="P1479" s="5">
        <v>0</v>
      </c>
      <c r="Q1479" t="s">
        <v>2904</v>
      </c>
      <c r="R1479" t="s">
        <v>1267</v>
      </c>
      <c r="S1479" s="5">
        <v>33.1</v>
      </c>
      <c r="T1479" s="3">
        <v>45351</v>
      </c>
      <c r="U1479" s="3">
        <v>45358</v>
      </c>
      <c r="V1479" t="s">
        <v>95</v>
      </c>
      <c r="W1479">
        <f t="shared" si="117"/>
        <v>2019.7227999999998</v>
      </c>
      <c r="X1479">
        <f t="shared" si="118"/>
        <v>2237.92</v>
      </c>
      <c r="Y1479">
        <f t="shared" si="119"/>
        <v>218.19720000000029</v>
      </c>
      <c r="Z1479" s="8" t="str">
        <f t="shared" si="116"/>
        <v>Medium</v>
      </c>
      <c r="AA1479" s="12">
        <f>DATE(YEAR(Table1[[#This Row],[OrderDate]]),MONTH(Table1[[#This Row],[OrderDate]]),1)</f>
        <v>45323</v>
      </c>
    </row>
    <row r="1480" spans="1:27" x14ac:dyDescent="0.3">
      <c r="A1480" s="3">
        <v>45057</v>
      </c>
      <c r="B1480" t="s">
        <v>16</v>
      </c>
      <c r="C1480" t="s">
        <v>31</v>
      </c>
      <c r="D1480" t="str">
        <f>TRIM(Table1[[#This Row],[Product]])</f>
        <v>Laptop</v>
      </c>
      <c r="E1480" t="str">
        <f>PROPER(Table1[[#This Row],[Column1]])</f>
        <v>Laptop</v>
      </c>
      <c r="F1480" s="8" t="str">
        <f t="shared" si="115"/>
        <v>Technology</v>
      </c>
      <c r="G1480" s="5">
        <v>3</v>
      </c>
      <c r="H1480">
        <v>304.61</v>
      </c>
      <c r="I1480" t="s">
        <v>57</v>
      </c>
      <c r="J1480" t="s">
        <v>58</v>
      </c>
      <c r="K1480" s="7">
        <v>0.05</v>
      </c>
      <c r="L1480" t="s">
        <v>19</v>
      </c>
      <c r="M1480" s="5">
        <v>868.13850000000002</v>
      </c>
      <c r="N1480" t="s">
        <v>88</v>
      </c>
      <c r="O1480" t="s">
        <v>67</v>
      </c>
      <c r="P1480" s="5">
        <v>0</v>
      </c>
      <c r="Q1480" t="s">
        <v>2905</v>
      </c>
      <c r="R1480" t="s">
        <v>2906</v>
      </c>
      <c r="S1480" s="5">
        <v>47.14</v>
      </c>
      <c r="T1480" s="3">
        <v>45057</v>
      </c>
      <c r="U1480" s="3">
        <v>45061</v>
      </c>
      <c r="V1480" t="s">
        <v>95</v>
      </c>
      <c r="W1480">
        <f t="shared" si="117"/>
        <v>824.73157500000002</v>
      </c>
      <c r="X1480">
        <f t="shared" si="118"/>
        <v>913.83</v>
      </c>
      <c r="Y1480">
        <f t="shared" si="119"/>
        <v>89.09842500000002</v>
      </c>
      <c r="Z1480" s="8" t="str">
        <f t="shared" si="116"/>
        <v>Medium</v>
      </c>
      <c r="AA1480" s="12">
        <f>DATE(YEAR(Table1[[#This Row],[OrderDate]]),MONTH(Table1[[#This Row],[OrderDate]]),1)</f>
        <v>45047</v>
      </c>
    </row>
    <row r="1481" spans="1:27" x14ac:dyDescent="0.3">
      <c r="A1481" s="3">
        <v>45546</v>
      </c>
      <c r="B1481" t="s">
        <v>13</v>
      </c>
      <c r="C1481" t="s">
        <v>35</v>
      </c>
      <c r="D1481" t="str">
        <f>TRIM(Table1[[#This Row],[Product]])</f>
        <v>Tablet</v>
      </c>
      <c r="E1481" t="str">
        <f>PROPER(Table1[[#This Row],[Column1]])</f>
        <v>Tablet</v>
      </c>
      <c r="F1481" s="8" t="str">
        <f t="shared" si="115"/>
        <v>Technology</v>
      </c>
      <c r="G1481" s="5">
        <v>9</v>
      </c>
      <c r="H1481">
        <v>238.32</v>
      </c>
      <c r="I1481" t="s">
        <v>78</v>
      </c>
      <c r="J1481" t="s">
        <v>65</v>
      </c>
      <c r="K1481" s="7">
        <v>0</v>
      </c>
      <c r="L1481" t="s">
        <v>23</v>
      </c>
      <c r="M1481" s="5">
        <v>2144.88</v>
      </c>
      <c r="N1481" t="s">
        <v>88</v>
      </c>
      <c r="O1481" t="s">
        <v>71</v>
      </c>
      <c r="P1481" s="5">
        <v>1</v>
      </c>
      <c r="Q1481" t="s">
        <v>2907</v>
      </c>
      <c r="R1481" t="s">
        <v>2767</v>
      </c>
      <c r="S1481" s="5">
        <v>8.5</v>
      </c>
      <c r="T1481" s="3">
        <v>45546</v>
      </c>
      <c r="U1481" s="3">
        <v>45555</v>
      </c>
      <c r="V1481" t="s">
        <v>70</v>
      </c>
      <c r="W1481">
        <f t="shared" si="117"/>
        <v>2144.88</v>
      </c>
      <c r="X1481">
        <f t="shared" si="118"/>
        <v>2144.88</v>
      </c>
      <c r="Y1481">
        <f t="shared" si="119"/>
        <v>0</v>
      </c>
      <c r="Z1481" s="8" t="str">
        <f t="shared" si="116"/>
        <v>No Discount</v>
      </c>
      <c r="AA1481" s="12">
        <f>DATE(YEAR(Table1[[#This Row],[OrderDate]]),MONTH(Table1[[#This Row],[OrderDate]]),1)</f>
        <v>45536</v>
      </c>
    </row>
    <row r="1482" spans="1:27" x14ac:dyDescent="0.3">
      <c r="A1482" s="3">
        <v>45520</v>
      </c>
      <c r="B1482" t="s">
        <v>16</v>
      </c>
      <c r="C1482" t="s">
        <v>34</v>
      </c>
      <c r="D1482" t="str">
        <f>TRIM(Table1[[#This Row],[Product]])</f>
        <v>Printer</v>
      </c>
      <c r="E1482" t="str">
        <f>PROPER(Table1[[#This Row],[Column1]])</f>
        <v>Printer</v>
      </c>
      <c r="F1482" s="8" t="str">
        <f t="shared" si="115"/>
        <v>Office Supplies</v>
      </c>
      <c r="G1482" s="5">
        <v>16</v>
      </c>
      <c r="H1482">
        <v>483.37</v>
      </c>
      <c r="I1482" t="s">
        <v>57</v>
      </c>
      <c r="J1482" t="s">
        <v>65</v>
      </c>
      <c r="K1482" s="7">
        <v>0.1</v>
      </c>
      <c r="L1482" t="s">
        <v>18</v>
      </c>
      <c r="M1482" s="5">
        <v>6960.5280000000002</v>
      </c>
      <c r="N1482" t="s">
        <v>85</v>
      </c>
      <c r="P1482" s="5">
        <v>0</v>
      </c>
      <c r="Q1482" t="s">
        <v>2908</v>
      </c>
      <c r="R1482" t="s">
        <v>2909</v>
      </c>
      <c r="S1482" s="5">
        <v>42.52</v>
      </c>
      <c r="T1482" s="3">
        <v>45520</v>
      </c>
      <c r="U1482" s="3">
        <v>45526</v>
      </c>
      <c r="V1482" t="s">
        <v>95</v>
      </c>
      <c r="W1482">
        <f t="shared" si="117"/>
        <v>6264.4752000000008</v>
      </c>
      <c r="X1482">
        <f t="shared" si="118"/>
        <v>7733.92</v>
      </c>
      <c r="Y1482">
        <f t="shared" si="119"/>
        <v>1469.4447999999993</v>
      </c>
      <c r="Z1482" s="8" t="str">
        <f t="shared" si="116"/>
        <v>Medium</v>
      </c>
      <c r="AA1482" s="12">
        <f>DATE(YEAR(Table1[[#This Row],[OrderDate]]),MONTH(Table1[[#This Row],[OrderDate]]),1)</f>
        <v>45505</v>
      </c>
    </row>
    <row r="1483" spans="1:27" x14ac:dyDescent="0.3">
      <c r="A1483" s="3">
        <v>45807</v>
      </c>
      <c r="B1483" t="s">
        <v>11</v>
      </c>
      <c r="C1483" t="s">
        <v>32</v>
      </c>
      <c r="D1483" t="str">
        <f>TRIM(Table1[[#This Row],[Product]])</f>
        <v>Monitor</v>
      </c>
      <c r="E1483" t="str">
        <f>PROPER(Table1[[#This Row],[Column1]])</f>
        <v>Monitor</v>
      </c>
      <c r="F1483" s="8" t="str">
        <f t="shared" si="115"/>
        <v>Technology</v>
      </c>
      <c r="G1483" s="5">
        <v>6</v>
      </c>
      <c r="H1483">
        <v>159.53</v>
      </c>
      <c r="I1483" t="s">
        <v>64</v>
      </c>
      <c r="J1483" t="s">
        <v>65</v>
      </c>
      <c r="K1483" s="7">
        <v>0.05</v>
      </c>
      <c r="L1483" t="s">
        <v>19</v>
      </c>
      <c r="M1483" s="5">
        <v>909.32100000000003</v>
      </c>
      <c r="N1483" t="s">
        <v>66</v>
      </c>
      <c r="P1483" s="5">
        <v>0</v>
      </c>
      <c r="Q1483" t="s">
        <v>2910</v>
      </c>
      <c r="R1483" t="s">
        <v>2911</v>
      </c>
      <c r="S1483" s="5">
        <v>48.6</v>
      </c>
      <c r="T1483" s="3">
        <v>45807</v>
      </c>
      <c r="U1483" s="3">
        <v>45815</v>
      </c>
      <c r="V1483" t="s">
        <v>74</v>
      </c>
      <c r="W1483">
        <f t="shared" si="117"/>
        <v>863.85495000000003</v>
      </c>
      <c r="X1483">
        <f t="shared" si="118"/>
        <v>957.18000000000006</v>
      </c>
      <c r="Y1483">
        <f t="shared" si="119"/>
        <v>93.325050000000033</v>
      </c>
      <c r="Z1483" s="8" t="str">
        <f t="shared" si="116"/>
        <v>Medium</v>
      </c>
      <c r="AA1483" s="12">
        <f>DATE(YEAR(Table1[[#This Row],[OrderDate]]),MONTH(Table1[[#This Row],[OrderDate]]),1)</f>
        <v>45778</v>
      </c>
    </row>
    <row r="1484" spans="1:27" x14ac:dyDescent="0.3">
      <c r="A1484" s="3">
        <v>45160</v>
      </c>
      <c r="B1484" t="s">
        <v>9</v>
      </c>
      <c r="C1484" t="s">
        <v>30</v>
      </c>
      <c r="D1484" t="str">
        <f>TRIM(Table1[[#This Row],[Product]])</f>
        <v>Desk</v>
      </c>
      <c r="E1484" t="str">
        <f>PROPER(Table1[[#This Row],[Column1]])</f>
        <v>Desk</v>
      </c>
      <c r="F1484" s="8" t="str">
        <f t="shared" si="115"/>
        <v>Furniture</v>
      </c>
      <c r="G1484" s="5">
        <v>19</v>
      </c>
      <c r="H1484">
        <v>280.60000000000002</v>
      </c>
      <c r="I1484" t="s">
        <v>64</v>
      </c>
      <c r="J1484" t="s">
        <v>58</v>
      </c>
      <c r="K1484" s="7">
        <v>0.1</v>
      </c>
      <c r="L1484" t="s">
        <v>27</v>
      </c>
      <c r="M1484" s="5">
        <v>4798.26</v>
      </c>
      <c r="N1484" t="s">
        <v>66</v>
      </c>
      <c r="O1484" t="s">
        <v>60</v>
      </c>
      <c r="P1484" s="5">
        <v>0</v>
      </c>
      <c r="Q1484" t="s">
        <v>2912</v>
      </c>
      <c r="R1484" t="s">
        <v>2913</v>
      </c>
      <c r="S1484" s="5">
        <v>35.94</v>
      </c>
      <c r="T1484" s="3">
        <v>45160</v>
      </c>
      <c r="U1484" s="3">
        <v>45166</v>
      </c>
      <c r="V1484" t="s">
        <v>63</v>
      </c>
      <c r="W1484">
        <f t="shared" si="117"/>
        <v>4318.4340000000002</v>
      </c>
      <c r="X1484">
        <f t="shared" si="118"/>
        <v>5331.4000000000005</v>
      </c>
      <c r="Y1484">
        <f t="shared" si="119"/>
        <v>1012.9660000000003</v>
      </c>
      <c r="Z1484" s="8" t="str">
        <f t="shared" si="116"/>
        <v>Medium</v>
      </c>
      <c r="AA1484" s="12">
        <f>DATE(YEAR(Table1[[#This Row],[OrderDate]]),MONTH(Table1[[#This Row],[OrderDate]]),1)</f>
        <v>45139</v>
      </c>
    </row>
    <row r="1485" spans="1:27" x14ac:dyDescent="0.3">
      <c r="A1485" s="3">
        <v>45314</v>
      </c>
      <c r="B1485" t="s">
        <v>9</v>
      </c>
      <c r="C1485" t="s">
        <v>35</v>
      </c>
      <c r="D1485" t="str">
        <f>TRIM(Table1[[#This Row],[Product]])</f>
        <v>Tablet</v>
      </c>
      <c r="E1485" t="str">
        <f>PROPER(Table1[[#This Row],[Column1]])</f>
        <v>Tablet</v>
      </c>
      <c r="F1485" s="8" t="str">
        <f t="shared" si="115"/>
        <v>Technology</v>
      </c>
      <c r="G1485" s="5">
        <v>2</v>
      </c>
      <c r="H1485">
        <v>389.98</v>
      </c>
      <c r="I1485" t="s">
        <v>81</v>
      </c>
      <c r="J1485" t="s">
        <v>58</v>
      </c>
      <c r="K1485" s="7">
        <v>0.05</v>
      </c>
      <c r="L1485" t="s">
        <v>21</v>
      </c>
      <c r="M1485" s="5">
        <v>740.96199999999999</v>
      </c>
      <c r="N1485" t="s">
        <v>85</v>
      </c>
      <c r="O1485" t="s">
        <v>67</v>
      </c>
      <c r="P1485" s="5">
        <v>1</v>
      </c>
      <c r="Q1485" t="s">
        <v>2914</v>
      </c>
      <c r="R1485" t="s">
        <v>2915</v>
      </c>
      <c r="S1485" s="5">
        <v>24.55</v>
      </c>
      <c r="T1485" s="3">
        <v>45314</v>
      </c>
      <c r="U1485" s="3">
        <v>45316</v>
      </c>
      <c r="V1485" t="s">
        <v>63</v>
      </c>
      <c r="W1485">
        <f t="shared" si="117"/>
        <v>703.91390000000001</v>
      </c>
      <c r="X1485">
        <f t="shared" si="118"/>
        <v>779.96</v>
      </c>
      <c r="Y1485">
        <f t="shared" si="119"/>
        <v>76.046100000000024</v>
      </c>
      <c r="Z1485" s="8" t="str">
        <f t="shared" si="116"/>
        <v>Medium</v>
      </c>
      <c r="AA1485" s="12">
        <f>DATE(YEAR(Table1[[#This Row],[OrderDate]]),MONTH(Table1[[#This Row],[OrderDate]]),1)</f>
        <v>45292</v>
      </c>
    </row>
    <row r="1486" spans="1:27" x14ac:dyDescent="0.3">
      <c r="A1486" s="3">
        <v>45001</v>
      </c>
      <c r="B1486" t="s">
        <v>11</v>
      </c>
      <c r="C1486" t="s">
        <v>32</v>
      </c>
      <c r="D1486" t="str">
        <f>TRIM(Table1[[#This Row],[Product]])</f>
        <v>Monitor</v>
      </c>
      <c r="E1486" t="str">
        <f>PROPER(Table1[[#This Row],[Column1]])</f>
        <v>Monitor</v>
      </c>
      <c r="F1486" s="8" t="str">
        <f t="shared" si="115"/>
        <v>Technology</v>
      </c>
      <c r="G1486" s="5">
        <v>17</v>
      </c>
      <c r="H1486">
        <v>485.3</v>
      </c>
      <c r="I1486" t="s">
        <v>81</v>
      </c>
      <c r="J1486" t="s">
        <v>65</v>
      </c>
      <c r="K1486" s="7">
        <v>0.15</v>
      </c>
      <c r="L1486" t="s">
        <v>23</v>
      </c>
      <c r="M1486" s="5">
        <v>7012.585</v>
      </c>
      <c r="N1486" t="s">
        <v>88</v>
      </c>
      <c r="O1486" t="s">
        <v>71</v>
      </c>
      <c r="P1486" s="5">
        <v>0</v>
      </c>
      <c r="Q1486" t="s">
        <v>2916</v>
      </c>
      <c r="R1486" t="s">
        <v>2917</v>
      </c>
      <c r="S1486" s="5">
        <v>37.94</v>
      </c>
      <c r="T1486" s="3">
        <v>45001</v>
      </c>
      <c r="U1486" s="3">
        <v>45008</v>
      </c>
      <c r="V1486" t="s">
        <v>74</v>
      </c>
      <c r="W1486">
        <f t="shared" si="117"/>
        <v>5960.6972500000002</v>
      </c>
      <c r="X1486">
        <f t="shared" si="118"/>
        <v>8250.1</v>
      </c>
      <c r="Y1486">
        <f t="shared" si="119"/>
        <v>2289.4027500000002</v>
      </c>
      <c r="Z1486" s="8" t="str">
        <f t="shared" si="116"/>
        <v>High</v>
      </c>
      <c r="AA1486" s="12">
        <f>DATE(YEAR(Table1[[#This Row],[OrderDate]]),MONTH(Table1[[#This Row],[OrderDate]]),1)</f>
        <v>44986</v>
      </c>
    </row>
    <row r="1487" spans="1:27" x14ac:dyDescent="0.3">
      <c r="A1487" s="3">
        <v>45793</v>
      </c>
      <c r="B1487" t="s">
        <v>13</v>
      </c>
      <c r="C1487" t="s">
        <v>31</v>
      </c>
      <c r="D1487" t="str">
        <f>TRIM(Table1[[#This Row],[Product]])</f>
        <v>Laptop</v>
      </c>
      <c r="E1487" t="str">
        <f>PROPER(Table1[[#This Row],[Column1]])</f>
        <v>Laptop</v>
      </c>
      <c r="F1487" s="8" t="str">
        <f t="shared" si="115"/>
        <v>Technology</v>
      </c>
      <c r="G1487" s="5">
        <v>4</v>
      </c>
      <c r="H1487">
        <v>472.24</v>
      </c>
      <c r="I1487" t="s">
        <v>81</v>
      </c>
      <c r="J1487" t="s">
        <v>65</v>
      </c>
      <c r="K1487" s="7">
        <v>0</v>
      </c>
      <c r="L1487" t="s">
        <v>18</v>
      </c>
      <c r="M1487" s="5">
        <v>1888.96</v>
      </c>
      <c r="N1487" t="s">
        <v>66</v>
      </c>
      <c r="O1487" t="s">
        <v>60</v>
      </c>
      <c r="P1487" s="5">
        <v>1</v>
      </c>
      <c r="Q1487" t="s">
        <v>2918</v>
      </c>
      <c r="R1487" t="s">
        <v>2919</v>
      </c>
      <c r="S1487" s="5">
        <v>6.78</v>
      </c>
      <c r="T1487" s="3">
        <v>45793</v>
      </c>
      <c r="U1487" s="3">
        <v>45798</v>
      </c>
      <c r="V1487" t="s">
        <v>70</v>
      </c>
      <c r="W1487">
        <f t="shared" si="117"/>
        <v>1888.96</v>
      </c>
      <c r="X1487">
        <f t="shared" si="118"/>
        <v>1888.96</v>
      </c>
      <c r="Y1487">
        <f t="shared" si="119"/>
        <v>0</v>
      </c>
      <c r="Z1487" s="8" t="str">
        <f t="shared" si="116"/>
        <v>No Discount</v>
      </c>
      <c r="AA1487" s="12">
        <f>DATE(YEAR(Table1[[#This Row],[OrderDate]]),MONTH(Table1[[#This Row],[OrderDate]]),1)</f>
        <v>45778</v>
      </c>
    </row>
    <row r="1488" spans="1:27" x14ac:dyDescent="0.3">
      <c r="A1488" s="3">
        <v>45069</v>
      </c>
      <c r="B1488" t="s">
        <v>9</v>
      </c>
      <c r="C1488" t="s">
        <v>32</v>
      </c>
      <c r="D1488" t="str">
        <f>TRIM(Table1[[#This Row],[Product]])</f>
        <v>Monitor</v>
      </c>
      <c r="E1488" t="str">
        <f>PROPER(Table1[[#This Row],[Column1]])</f>
        <v>Monitor</v>
      </c>
      <c r="F1488" s="8" t="str">
        <f t="shared" si="115"/>
        <v>Technology</v>
      </c>
      <c r="G1488" s="5">
        <v>8</v>
      </c>
      <c r="H1488">
        <v>143.53</v>
      </c>
      <c r="I1488" t="s">
        <v>81</v>
      </c>
      <c r="J1488" t="s">
        <v>58</v>
      </c>
      <c r="K1488" s="7">
        <v>0</v>
      </c>
      <c r="L1488" t="s">
        <v>18</v>
      </c>
      <c r="M1488" s="5">
        <v>1148.24</v>
      </c>
      <c r="N1488" t="s">
        <v>88</v>
      </c>
      <c r="O1488" t="s">
        <v>71</v>
      </c>
      <c r="P1488" s="5">
        <v>0</v>
      </c>
      <c r="Q1488" t="s">
        <v>2920</v>
      </c>
      <c r="R1488" t="s">
        <v>2921</v>
      </c>
      <c r="S1488" s="5">
        <v>9.1</v>
      </c>
      <c r="T1488" s="3">
        <v>45069</v>
      </c>
      <c r="U1488" s="3">
        <v>45075</v>
      </c>
      <c r="V1488" t="s">
        <v>63</v>
      </c>
      <c r="W1488">
        <f t="shared" si="117"/>
        <v>1148.24</v>
      </c>
      <c r="X1488">
        <f t="shared" si="118"/>
        <v>1148.24</v>
      </c>
      <c r="Y1488">
        <f t="shared" si="119"/>
        <v>0</v>
      </c>
      <c r="Z1488" s="8" t="str">
        <f t="shared" si="116"/>
        <v>No Discount</v>
      </c>
      <c r="AA1488" s="12">
        <f>DATE(YEAR(Table1[[#This Row],[OrderDate]]),MONTH(Table1[[#This Row],[OrderDate]]),1)</f>
        <v>45047</v>
      </c>
    </row>
    <row r="1489" spans="1:27" x14ac:dyDescent="0.3">
      <c r="A1489" s="3">
        <v>45459</v>
      </c>
      <c r="B1489" t="s">
        <v>11</v>
      </c>
      <c r="C1489" t="s">
        <v>29</v>
      </c>
      <c r="D1489" t="str">
        <f>TRIM(Table1[[#This Row],[Product]])</f>
        <v>Chair</v>
      </c>
      <c r="E1489" t="str">
        <f>PROPER(Table1[[#This Row],[Column1]])</f>
        <v>Chair</v>
      </c>
      <c r="F1489" s="8" t="str">
        <f t="shared" si="115"/>
        <v>Furniture</v>
      </c>
      <c r="G1489" s="5">
        <v>5</v>
      </c>
      <c r="H1489">
        <v>159.91999999999999</v>
      </c>
      <c r="I1489" t="s">
        <v>57</v>
      </c>
      <c r="J1489" t="s">
        <v>58</v>
      </c>
      <c r="K1489" s="7">
        <v>0</v>
      </c>
      <c r="L1489" t="s">
        <v>21</v>
      </c>
      <c r="M1489" s="5">
        <v>799.59999999999991</v>
      </c>
      <c r="N1489" t="s">
        <v>88</v>
      </c>
      <c r="O1489" t="s">
        <v>67</v>
      </c>
      <c r="P1489" s="5">
        <v>0</v>
      </c>
      <c r="Q1489" t="s">
        <v>2922</v>
      </c>
      <c r="R1489" t="s">
        <v>2923</v>
      </c>
      <c r="S1489" s="5">
        <v>10.86</v>
      </c>
      <c r="T1489" s="3">
        <v>45459</v>
      </c>
      <c r="U1489" s="3">
        <v>45466</v>
      </c>
      <c r="V1489" t="s">
        <v>74</v>
      </c>
      <c r="W1489">
        <f t="shared" si="117"/>
        <v>799.59999999999991</v>
      </c>
      <c r="X1489">
        <f t="shared" si="118"/>
        <v>799.59999999999991</v>
      </c>
      <c r="Y1489">
        <f t="shared" si="119"/>
        <v>0</v>
      </c>
      <c r="Z1489" s="8" t="str">
        <f t="shared" si="116"/>
        <v>No Discount</v>
      </c>
      <c r="AA1489" s="12">
        <f>DATE(YEAR(Table1[[#This Row],[OrderDate]]),MONTH(Table1[[#This Row],[OrderDate]]),1)</f>
        <v>45444</v>
      </c>
    </row>
    <row r="1490" spans="1:27" x14ac:dyDescent="0.3">
      <c r="A1490" s="3">
        <v>45685</v>
      </c>
      <c r="B1490" t="s">
        <v>7</v>
      </c>
      <c r="C1490" t="s">
        <v>32</v>
      </c>
      <c r="D1490" t="str">
        <f>TRIM(Table1[[#This Row],[Product]])</f>
        <v>Monitor</v>
      </c>
      <c r="E1490" t="str">
        <f>PROPER(Table1[[#This Row],[Column1]])</f>
        <v>Monitor</v>
      </c>
      <c r="F1490" s="8" t="str">
        <f t="shared" si="115"/>
        <v>Technology</v>
      </c>
      <c r="G1490" s="5">
        <v>13</v>
      </c>
      <c r="H1490">
        <v>447.34</v>
      </c>
      <c r="I1490" t="s">
        <v>64</v>
      </c>
      <c r="J1490" t="s">
        <v>58</v>
      </c>
      <c r="K1490" s="7">
        <v>0.05</v>
      </c>
      <c r="L1490" t="s">
        <v>27</v>
      </c>
      <c r="M1490" s="5">
        <v>5524.6489999999994</v>
      </c>
      <c r="N1490" t="s">
        <v>88</v>
      </c>
      <c r="O1490" t="s">
        <v>67</v>
      </c>
      <c r="P1490" s="5">
        <v>0</v>
      </c>
      <c r="Q1490" t="s">
        <v>2924</v>
      </c>
      <c r="R1490" t="s">
        <v>2925</v>
      </c>
      <c r="S1490" s="5">
        <v>38.93</v>
      </c>
      <c r="T1490" s="3">
        <v>45685</v>
      </c>
      <c r="U1490" s="3">
        <v>45692</v>
      </c>
      <c r="V1490" t="s">
        <v>77</v>
      </c>
      <c r="W1490">
        <f t="shared" si="117"/>
        <v>5248.416549999999</v>
      </c>
      <c r="X1490">
        <f t="shared" si="118"/>
        <v>5815.42</v>
      </c>
      <c r="Y1490">
        <f t="shared" si="119"/>
        <v>567.00345000000107</v>
      </c>
      <c r="Z1490" s="8" t="str">
        <f t="shared" si="116"/>
        <v>Medium</v>
      </c>
      <c r="AA1490" s="12">
        <f>DATE(YEAR(Table1[[#This Row],[OrderDate]]),MONTH(Table1[[#This Row],[OrderDate]]),1)</f>
        <v>45658</v>
      </c>
    </row>
    <row r="1491" spans="1:27" x14ac:dyDescent="0.3">
      <c r="A1491" s="3">
        <v>45623</v>
      </c>
      <c r="B1491" t="s">
        <v>13</v>
      </c>
      <c r="C1491" t="s">
        <v>33</v>
      </c>
      <c r="D1491" t="str">
        <f>TRIM(Table1[[#This Row],[Product]])</f>
        <v>Phone</v>
      </c>
      <c r="E1491" t="str">
        <f>PROPER(Table1[[#This Row],[Column1]])</f>
        <v>Phone</v>
      </c>
      <c r="F1491" s="8" t="str">
        <f t="shared" si="115"/>
        <v>Technology</v>
      </c>
      <c r="G1491" s="5">
        <v>13</v>
      </c>
      <c r="H1491">
        <v>196.8</v>
      </c>
      <c r="I1491" t="s">
        <v>57</v>
      </c>
      <c r="J1491" t="s">
        <v>65</v>
      </c>
      <c r="K1491" s="7">
        <v>0.1</v>
      </c>
      <c r="L1491" t="s">
        <v>23</v>
      </c>
      <c r="M1491" s="5">
        <v>2302.56</v>
      </c>
      <c r="N1491" t="s">
        <v>88</v>
      </c>
      <c r="P1491" s="5">
        <v>0</v>
      </c>
      <c r="Q1491" t="s">
        <v>2926</v>
      </c>
      <c r="R1491" t="s">
        <v>2927</v>
      </c>
      <c r="S1491" s="5">
        <v>10.119999999999999</v>
      </c>
      <c r="T1491" s="3">
        <v>45623</v>
      </c>
      <c r="U1491" s="3">
        <v>45633</v>
      </c>
      <c r="V1491" t="s">
        <v>70</v>
      </c>
      <c r="W1491">
        <f t="shared" si="117"/>
        <v>2072.3040000000001</v>
      </c>
      <c r="X1491">
        <f t="shared" si="118"/>
        <v>2558.4</v>
      </c>
      <c r="Y1491">
        <f t="shared" si="119"/>
        <v>486.096</v>
      </c>
      <c r="Z1491" s="8" t="str">
        <f t="shared" si="116"/>
        <v>Medium</v>
      </c>
      <c r="AA1491" s="12">
        <f>DATE(YEAR(Table1[[#This Row],[OrderDate]]),MONTH(Table1[[#This Row],[OrderDate]]),1)</f>
        <v>45597</v>
      </c>
    </row>
    <row r="1492" spans="1:27" x14ac:dyDescent="0.3">
      <c r="A1492" s="3">
        <v>45208</v>
      </c>
      <c r="B1492" t="s">
        <v>7</v>
      </c>
      <c r="C1492" t="s">
        <v>29</v>
      </c>
      <c r="D1492" t="str">
        <f>TRIM(Table1[[#This Row],[Product]])</f>
        <v>Chair</v>
      </c>
      <c r="E1492" t="str">
        <f>PROPER(Table1[[#This Row],[Column1]])</f>
        <v>Chair</v>
      </c>
      <c r="F1492" s="8" t="str">
        <f t="shared" si="115"/>
        <v>Furniture</v>
      </c>
      <c r="G1492" s="5">
        <v>3</v>
      </c>
      <c r="H1492">
        <v>485.81</v>
      </c>
      <c r="I1492" t="s">
        <v>64</v>
      </c>
      <c r="J1492" t="s">
        <v>58</v>
      </c>
      <c r="K1492" s="7">
        <v>0.1</v>
      </c>
      <c r="L1492" t="s">
        <v>25</v>
      </c>
      <c r="M1492" s="5">
        <v>1311.6869999999999</v>
      </c>
      <c r="N1492" t="s">
        <v>85</v>
      </c>
      <c r="O1492" t="s">
        <v>67</v>
      </c>
      <c r="P1492" s="5">
        <v>0</v>
      </c>
      <c r="Q1492" t="s">
        <v>2928</v>
      </c>
      <c r="R1492" t="s">
        <v>2929</v>
      </c>
      <c r="S1492" s="5">
        <v>19.46</v>
      </c>
      <c r="T1492" s="3">
        <v>45208</v>
      </c>
      <c r="U1492" s="3">
        <v>45210</v>
      </c>
      <c r="V1492" t="s">
        <v>77</v>
      </c>
      <c r="W1492">
        <f t="shared" si="117"/>
        <v>1180.5183</v>
      </c>
      <c r="X1492">
        <f t="shared" si="118"/>
        <v>1457.43</v>
      </c>
      <c r="Y1492">
        <f t="shared" si="119"/>
        <v>276.91170000000011</v>
      </c>
      <c r="Z1492" s="8" t="str">
        <f t="shared" si="116"/>
        <v>Medium</v>
      </c>
      <c r="AA1492" s="12">
        <f>DATE(YEAR(Table1[[#This Row],[OrderDate]]),MONTH(Table1[[#This Row],[OrderDate]]),1)</f>
        <v>45200</v>
      </c>
    </row>
    <row r="1493" spans="1:27" x14ac:dyDescent="0.3">
      <c r="A1493" s="3">
        <v>45494</v>
      </c>
      <c r="B1493" t="s">
        <v>16</v>
      </c>
      <c r="C1493" t="s">
        <v>33</v>
      </c>
      <c r="D1493" t="str">
        <f>TRIM(Table1[[#This Row],[Product]])</f>
        <v>Phone</v>
      </c>
      <c r="E1493" t="str">
        <f>PROPER(Table1[[#This Row],[Column1]])</f>
        <v>Phone</v>
      </c>
      <c r="F1493" s="8" t="str">
        <f t="shared" si="115"/>
        <v>Technology</v>
      </c>
      <c r="G1493" s="5">
        <v>16</v>
      </c>
      <c r="H1493">
        <v>183.62</v>
      </c>
      <c r="I1493" t="s">
        <v>64</v>
      </c>
      <c r="J1493" t="s">
        <v>58</v>
      </c>
      <c r="K1493" s="7">
        <v>0.05</v>
      </c>
      <c r="L1493" t="s">
        <v>19</v>
      </c>
      <c r="M1493" s="5">
        <v>2791.0239999999999</v>
      </c>
      <c r="N1493" t="s">
        <v>66</v>
      </c>
      <c r="O1493" t="s">
        <v>71</v>
      </c>
      <c r="P1493" s="5">
        <v>0</v>
      </c>
      <c r="Q1493" t="s">
        <v>2930</v>
      </c>
      <c r="R1493" t="s">
        <v>2931</v>
      </c>
      <c r="S1493" s="5">
        <v>6.56</v>
      </c>
      <c r="T1493" s="3">
        <v>45494</v>
      </c>
      <c r="U1493" s="3">
        <v>45504</v>
      </c>
      <c r="V1493" t="s">
        <v>95</v>
      </c>
      <c r="W1493">
        <f t="shared" si="117"/>
        <v>2651.4727999999996</v>
      </c>
      <c r="X1493">
        <f t="shared" si="118"/>
        <v>2937.92</v>
      </c>
      <c r="Y1493">
        <f t="shared" si="119"/>
        <v>286.44720000000052</v>
      </c>
      <c r="Z1493" s="8" t="str">
        <f t="shared" si="116"/>
        <v>Medium</v>
      </c>
      <c r="AA1493" s="12">
        <f>DATE(YEAR(Table1[[#This Row],[OrderDate]]),MONTH(Table1[[#This Row],[OrderDate]]),1)</f>
        <v>45474</v>
      </c>
    </row>
    <row r="1494" spans="1:27" x14ac:dyDescent="0.3">
      <c r="A1494" s="3">
        <v>45476</v>
      </c>
      <c r="B1494" t="s">
        <v>9</v>
      </c>
      <c r="C1494" t="s">
        <v>32</v>
      </c>
      <c r="D1494" t="str">
        <f>TRIM(Table1[[#This Row],[Product]])</f>
        <v>Monitor</v>
      </c>
      <c r="E1494" t="str">
        <f>PROPER(Table1[[#This Row],[Column1]])</f>
        <v>Monitor</v>
      </c>
      <c r="F1494" s="8" t="str">
        <f t="shared" si="115"/>
        <v>Technology</v>
      </c>
      <c r="G1494" s="5">
        <v>2</v>
      </c>
      <c r="H1494">
        <v>373.07</v>
      </c>
      <c r="I1494" t="s">
        <v>64</v>
      </c>
      <c r="J1494" t="s">
        <v>65</v>
      </c>
      <c r="K1494" s="7">
        <v>0.05</v>
      </c>
      <c r="L1494" t="s">
        <v>23</v>
      </c>
      <c r="M1494" s="5">
        <v>708.83299999999997</v>
      </c>
      <c r="N1494" t="s">
        <v>82</v>
      </c>
      <c r="O1494" t="s">
        <v>60</v>
      </c>
      <c r="P1494" s="5">
        <v>0</v>
      </c>
      <c r="Q1494" t="s">
        <v>2932</v>
      </c>
      <c r="R1494" t="s">
        <v>2933</v>
      </c>
      <c r="S1494" s="5">
        <v>26.9</v>
      </c>
      <c r="T1494" s="3">
        <v>45476</v>
      </c>
      <c r="U1494" s="3">
        <v>45480</v>
      </c>
      <c r="V1494" t="s">
        <v>63</v>
      </c>
      <c r="W1494">
        <f t="shared" si="117"/>
        <v>673.39134999999999</v>
      </c>
      <c r="X1494">
        <f t="shared" si="118"/>
        <v>746.14</v>
      </c>
      <c r="Y1494">
        <f t="shared" si="119"/>
        <v>72.748649999999998</v>
      </c>
      <c r="Z1494" s="8" t="str">
        <f t="shared" si="116"/>
        <v>Medium</v>
      </c>
      <c r="AA1494" s="12">
        <f>DATE(YEAR(Table1[[#This Row],[OrderDate]]),MONTH(Table1[[#This Row],[OrderDate]]),1)</f>
        <v>45474</v>
      </c>
    </row>
    <row r="1495" spans="1:27" x14ac:dyDescent="0.3">
      <c r="A1495" s="3">
        <v>45559</v>
      </c>
      <c r="B1495" t="s">
        <v>16</v>
      </c>
      <c r="C1495" t="s">
        <v>32</v>
      </c>
      <c r="D1495" t="str">
        <f>TRIM(Table1[[#This Row],[Product]])</f>
        <v>Monitor</v>
      </c>
      <c r="E1495" t="str">
        <f>PROPER(Table1[[#This Row],[Column1]])</f>
        <v>Monitor</v>
      </c>
      <c r="F1495" s="8" t="str">
        <f t="shared" si="115"/>
        <v>Technology</v>
      </c>
      <c r="G1495" s="5">
        <v>17</v>
      </c>
      <c r="H1495">
        <v>527.67999999999995</v>
      </c>
      <c r="I1495" t="s">
        <v>57</v>
      </c>
      <c r="J1495" t="s">
        <v>58</v>
      </c>
      <c r="K1495" s="7">
        <v>0</v>
      </c>
      <c r="L1495" t="s">
        <v>23</v>
      </c>
      <c r="M1495" s="5">
        <v>8970.56</v>
      </c>
      <c r="N1495" t="s">
        <v>66</v>
      </c>
      <c r="O1495" t="s">
        <v>60</v>
      </c>
      <c r="P1495" s="5">
        <v>0</v>
      </c>
      <c r="Q1495" t="s">
        <v>2934</v>
      </c>
      <c r="R1495" t="s">
        <v>2935</v>
      </c>
      <c r="S1495" s="5">
        <v>29.19</v>
      </c>
      <c r="T1495" s="3">
        <v>45559</v>
      </c>
      <c r="U1495" s="3">
        <v>45567</v>
      </c>
      <c r="V1495" t="s">
        <v>95</v>
      </c>
      <c r="W1495">
        <f t="shared" si="117"/>
        <v>8970.56</v>
      </c>
      <c r="X1495">
        <f t="shared" si="118"/>
        <v>8970.56</v>
      </c>
      <c r="Y1495">
        <f t="shared" si="119"/>
        <v>0</v>
      </c>
      <c r="Z1495" s="8" t="str">
        <f t="shared" si="116"/>
        <v>No Discount</v>
      </c>
      <c r="AA1495" s="12">
        <f>DATE(YEAR(Table1[[#This Row],[OrderDate]]),MONTH(Table1[[#This Row],[OrderDate]]),1)</f>
        <v>45536</v>
      </c>
    </row>
    <row r="1496" spans="1:27" x14ac:dyDescent="0.3">
      <c r="A1496" s="3">
        <v>45671</v>
      </c>
      <c r="B1496" t="s">
        <v>9</v>
      </c>
      <c r="C1496" t="s">
        <v>35</v>
      </c>
      <c r="D1496" t="str">
        <f>TRIM(Table1[[#This Row],[Product]])</f>
        <v>Tablet</v>
      </c>
      <c r="E1496" t="str">
        <f>PROPER(Table1[[#This Row],[Column1]])</f>
        <v>Tablet</v>
      </c>
      <c r="F1496" s="8" t="str">
        <f t="shared" si="115"/>
        <v>Technology</v>
      </c>
      <c r="G1496" s="5">
        <v>5</v>
      </c>
      <c r="H1496">
        <v>201.29</v>
      </c>
      <c r="I1496" t="s">
        <v>81</v>
      </c>
      <c r="J1496" t="s">
        <v>58</v>
      </c>
      <c r="K1496" s="7">
        <v>0</v>
      </c>
      <c r="L1496" t="s">
        <v>21</v>
      </c>
      <c r="M1496" s="5">
        <v>1006.45</v>
      </c>
      <c r="N1496" t="s">
        <v>59</v>
      </c>
      <c r="O1496" t="s">
        <v>60</v>
      </c>
      <c r="P1496" s="5">
        <v>0</v>
      </c>
      <c r="Q1496" t="s">
        <v>2936</v>
      </c>
      <c r="R1496" t="s">
        <v>2937</v>
      </c>
      <c r="S1496" s="5">
        <v>49.13</v>
      </c>
      <c r="T1496" s="3">
        <v>45671</v>
      </c>
      <c r="U1496" s="3">
        <v>45678</v>
      </c>
      <c r="V1496" t="s">
        <v>63</v>
      </c>
      <c r="W1496">
        <f t="shared" si="117"/>
        <v>1006.45</v>
      </c>
      <c r="X1496">
        <f t="shared" si="118"/>
        <v>1006.4499999999999</v>
      </c>
      <c r="Y1496">
        <f t="shared" si="119"/>
        <v>0</v>
      </c>
      <c r="Z1496" s="8" t="str">
        <f t="shared" si="116"/>
        <v>No Discount</v>
      </c>
      <c r="AA1496" s="12">
        <f>DATE(YEAR(Table1[[#This Row],[OrderDate]]),MONTH(Table1[[#This Row],[OrderDate]]),1)</f>
        <v>45658</v>
      </c>
    </row>
    <row r="1497" spans="1:27" x14ac:dyDescent="0.3">
      <c r="A1497" s="3">
        <v>45705</v>
      </c>
      <c r="B1497" t="s">
        <v>16</v>
      </c>
      <c r="C1497" t="s">
        <v>30</v>
      </c>
      <c r="D1497" t="str">
        <f>TRIM(Table1[[#This Row],[Product]])</f>
        <v>Desk</v>
      </c>
      <c r="E1497" t="str">
        <f>PROPER(Table1[[#This Row],[Column1]])</f>
        <v>Desk</v>
      </c>
      <c r="F1497" s="8" t="str">
        <f t="shared" si="115"/>
        <v>Furniture</v>
      </c>
      <c r="G1497" s="5">
        <v>13</v>
      </c>
      <c r="H1497">
        <v>134.56</v>
      </c>
      <c r="I1497" t="s">
        <v>81</v>
      </c>
      <c r="J1497" t="s">
        <v>65</v>
      </c>
      <c r="K1497" s="7">
        <v>0.05</v>
      </c>
      <c r="L1497" t="s">
        <v>21</v>
      </c>
      <c r="M1497" s="5">
        <v>1661.816</v>
      </c>
      <c r="N1497" t="s">
        <v>82</v>
      </c>
      <c r="O1497" t="s">
        <v>71</v>
      </c>
      <c r="P1497" s="5">
        <v>0</v>
      </c>
      <c r="Q1497" t="s">
        <v>2938</v>
      </c>
      <c r="R1497" t="s">
        <v>2939</v>
      </c>
      <c r="S1497" s="5">
        <v>35.630000000000003</v>
      </c>
      <c r="T1497" s="3">
        <v>45705</v>
      </c>
      <c r="U1497" s="3">
        <v>45710</v>
      </c>
      <c r="V1497" t="s">
        <v>95</v>
      </c>
      <c r="W1497">
        <f t="shared" si="117"/>
        <v>1578.7251999999999</v>
      </c>
      <c r="X1497">
        <f t="shared" si="118"/>
        <v>1749.28</v>
      </c>
      <c r="Y1497">
        <f t="shared" si="119"/>
        <v>170.55480000000011</v>
      </c>
      <c r="Z1497" s="8" t="str">
        <f t="shared" si="116"/>
        <v>Medium</v>
      </c>
      <c r="AA1497" s="12">
        <f>DATE(YEAR(Table1[[#This Row],[OrderDate]]),MONTH(Table1[[#This Row],[OrderDate]]),1)</f>
        <v>45689</v>
      </c>
    </row>
    <row r="1498" spans="1:27" x14ac:dyDescent="0.3">
      <c r="A1498" s="3">
        <v>45302</v>
      </c>
      <c r="B1498" t="s">
        <v>13</v>
      </c>
      <c r="C1498" t="s">
        <v>29</v>
      </c>
      <c r="D1498" t="str">
        <f>TRIM(Table1[[#This Row],[Product]])</f>
        <v>Chair</v>
      </c>
      <c r="E1498" t="str">
        <f>PROPER(Table1[[#This Row],[Column1]])</f>
        <v>Chair</v>
      </c>
      <c r="F1498" s="8" t="str">
        <f t="shared" si="115"/>
        <v>Furniture</v>
      </c>
      <c r="G1498" s="5">
        <v>18</v>
      </c>
      <c r="H1498">
        <v>209.75</v>
      </c>
      <c r="I1498" t="s">
        <v>78</v>
      </c>
      <c r="J1498" t="s">
        <v>58</v>
      </c>
      <c r="K1498" s="7">
        <v>0.15</v>
      </c>
      <c r="L1498" t="s">
        <v>27</v>
      </c>
      <c r="M1498" s="5">
        <v>3209.1750000000002</v>
      </c>
      <c r="N1498" t="s">
        <v>85</v>
      </c>
      <c r="O1498" t="s">
        <v>60</v>
      </c>
      <c r="P1498" s="5">
        <v>0</v>
      </c>
      <c r="Q1498" t="s">
        <v>2940</v>
      </c>
      <c r="R1498" t="s">
        <v>2941</v>
      </c>
      <c r="S1498" s="5">
        <v>45.93</v>
      </c>
      <c r="T1498" s="3">
        <v>45302</v>
      </c>
      <c r="U1498" s="3">
        <v>45308</v>
      </c>
      <c r="V1498" t="s">
        <v>70</v>
      </c>
      <c r="W1498">
        <f t="shared" si="117"/>
        <v>2727.7987499999999</v>
      </c>
      <c r="X1498">
        <f t="shared" si="118"/>
        <v>3775.5</v>
      </c>
      <c r="Y1498">
        <f t="shared" si="119"/>
        <v>1047.7012500000001</v>
      </c>
      <c r="Z1498" s="8" t="str">
        <f t="shared" si="116"/>
        <v>High</v>
      </c>
      <c r="AA1498" s="12">
        <f>DATE(YEAR(Table1[[#This Row],[OrderDate]]),MONTH(Table1[[#This Row],[OrderDate]]),1)</f>
        <v>45292</v>
      </c>
    </row>
    <row r="1499" spans="1:27" x14ac:dyDescent="0.3">
      <c r="A1499" s="3">
        <v>45500</v>
      </c>
      <c r="B1499" t="s">
        <v>9</v>
      </c>
      <c r="C1499" t="s">
        <v>30</v>
      </c>
      <c r="D1499" t="str">
        <f>TRIM(Table1[[#This Row],[Product]])</f>
        <v>Desk</v>
      </c>
      <c r="E1499" t="str">
        <f>PROPER(Table1[[#This Row],[Column1]])</f>
        <v>Desk</v>
      </c>
      <c r="F1499" s="8" t="str">
        <f t="shared" si="115"/>
        <v>Furniture</v>
      </c>
      <c r="G1499" s="5">
        <v>1</v>
      </c>
      <c r="H1499">
        <v>272.5</v>
      </c>
      <c r="I1499" t="s">
        <v>64</v>
      </c>
      <c r="J1499" t="s">
        <v>58</v>
      </c>
      <c r="K1499" s="7">
        <v>0</v>
      </c>
      <c r="L1499" t="s">
        <v>25</v>
      </c>
      <c r="M1499" s="5">
        <v>272.5</v>
      </c>
      <c r="N1499" t="s">
        <v>66</v>
      </c>
      <c r="O1499" t="s">
        <v>71</v>
      </c>
      <c r="P1499" s="5">
        <v>0</v>
      </c>
      <c r="Q1499" t="s">
        <v>2942</v>
      </c>
      <c r="R1499" t="s">
        <v>2943</v>
      </c>
      <c r="S1499" s="5">
        <v>35.56</v>
      </c>
      <c r="T1499" s="3">
        <v>45500</v>
      </c>
      <c r="U1499" s="3">
        <v>45507</v>
      </c>
      <c r="V1499" t="s">
        <v>63</v>
      </c>
      <c r="W1499">
        <f t="shared" si="117"/>
        <v>272.5</v>
      </c>
      <c r="X1499">
        <f t="shared" si="118"/>
        <v>272.5</v>
      </c>
      <c r="Y1499">
        <f t="shared" si="119"/>
        <v>0</v>
      </c>
      <c r="Z1499" s="8" t="str">
        <f t="shared" si="116"/>
        <v>No Discount</v>
      </c>
      <c r="AA1499" s="12">
        <f>DATE(YEAR(Table1[[#This Row],[OrderDate]]),MONTH(Table1[[#This Row],[OrderDate]]),1)</f>
        <v>45474</v>
      </c>
    </row>
    <row r="1500" spans="1:27" x14ac:dyDescent="0.3">
      <c r="A1500" s="3">
        <v>45629</v>
      </c>
      <c r="B1500" t="s">
        <v>7</v>
      </c>
      <c r="C1500" t="s">
        <v>32</v>
      </c>
      <c r="D1500" t="str">
        <f>TRIM(Table1[[#This Row],[Product]])</f>
        <v>Monitor</v>
      </c>
      <c r="E1500" t="str">
        <f>PROPER(Table1[[#This Row],[Column1]])</f>
        <v>Monitor</v>
      </c>
      <c r="F1500" s="8" t="str">
        <f t="shared" si="115"/>
        <v>Technology</v>
      </c>
      <c r="G1500" s="5">
        <v>14</v>
      </c>
      <c r="H1500">
        <v>262.67</v>
      </c>
      <c r="I1500" t="s">
        <v>64</v>
      </c>
      <c r="J1500" t="s">
        <v>65</v>
      </c>
      <c r="K1500" s="7">
        <v>0.05</v>
      </c>
      <c r="L1500" t="s">
        <v>21</v>
      </c>
      <c r="M1500" s="5">
        <v>3493.511</v>
      </c>
      <c r="N1500" t="s">
        <v>66</v>
      </c>
      <c r="O1500" t="s">
        <v>67</v>
      </c>
      <c r="P1500" s="5">
        <v>0</v>
      </c>
      <c r="Q1500" t="s">
        <v>2944</v>
      </c>
      <c r="R1500" t="s">
        <v>2945</v>
      </c>
      <c r="S1500" s="5">
        <v>24.53</v>
      </c>
      <c r="T1500" s="3">
        <v>45629</v>
      </c>
      <c r="U1500" s="3">
        <v>45636</v>
      </c>
      <c r="V1500" t="s">
        <v>77</v>
      </c>
      <c r="W1500">
        <f t="shared" si="117"/>
        <v>3318.83545</v>
      </c>
      <c r="X1500">
        <f t="shared" si="118"/>
        <v>3677.38</v>
      </c>
      <c r="Y1500">
        <f t="shared" si="119"/>
        <v>358.54455000000007</v>
      </c>
      <c r="Z1500" s="8" t="str">
        <f t="shared" si="116"/>
        <v>Medium</v>
      </c>
      <c r="AA1500" s="12">
        <f>DATE(YEAR(Table1[[#This Row],[OrderDate]]),MONTH(Table1[[#This Row],[OrderDate]]),1)</f>
        <v>45627</v>
      </c>
    </row>
    <row r="1501" spans="1:27" x14ac:dyDescent="0.3">
      <c r="A1501" s="3">
        <v>45786</v>
      </c>
      <c r="B1501" t="s">
        <v>16</v>
      </c>
      <c r="C1501" t="s">
        <v>29</v>
      </c>
      <c r="D1501" t="str">
        <f>TRIM(Table1[[#This Row],[Product]])</f>
        <v>Chair</v>
      </c>
      <c r="E1501" t="str">
        <f>PROPER(Table1[[#This Row],[Column1]])</f>
        <v>Chair</v>
      </c>
      <c r="F1501" s="8" t="str">
        <f t="shared" si="115"/>
        <v>Furniture</v>
      </c>
      <c r="G1501" s="5">
        <v>13</v>
      </c>
      <c r="H1501">
        <v>221.39</v>
      </c>
      <c r="I1501" t="s">
        <v>81</v>
      </c>
      <c r="J1501" t="s">
        <v>58</v>
      </c>
      <c r="K1501" s="7">
        <v>0</v>
      </c>
      <c r="L1501" t="s">
        <v>27</v>
      </c>
      <c r="M1501" s="5">
        <v>2878.07</v>
      </c>
      <c r="N1501" t="s">
        <v>85</v>
      </c>
      <c r="O1501" t="s">
        <v>60</v>
      </c>
      <c r="P1501" s="5">
        <v>1</v>
      </c>
      <c r="Q1501" t="s">
        <v>2946</v>
      </c>
      <c r="R1501" t="s">
        <v>1417</v>
      </c>
      <c r="S1501" s="5">
        <v>21.05</v>
      </c>
      <c r="T1501" s="3">
        <v>45786</v>
      </c>
      <c r="U1501" s="3">
        <v>45790</v>
      </c>
      <c r="V1501" t="s">
        <v>95</v>
      </c>
      <c r="W1501">
        <f t="shared" si="117"/>
        <v>2878.07</v>
      </c>
      <c r="X1501">
        <f t="shared" si="118"/>
        <v>2878.0699999999997</v>
      </c>
      <c r="Y1501">
        <f t="shared" si="119"/>
        <v>0</v>
      </c>
      <c r="Z1501" s="8" t="str">
        <f t="shared" si="116"/>
        <v>No Discount</v>
      </c>
      <c r="AA1501" s="12">
        <f>DATE(YEAR(Table1[[#This Row],[OrderDate]]),MONTH(Table1[[#This Row],[OrderDate]]),1)</f>
        <v>45778</v>
      </c>
    </row>
    <row r="1532" spans="6:6" ht="216" x14ac:dyDescent="0.3">
      <c r="F1532" s="8" t="s">
        <v>2947</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ABECC-A1EC-437F-927B-DF165BCB45D5}">
  <dimension ref="A3:K42"/>
  <sheetViews>
    <sheetView workbookViewId="0">
      <selection activeCell="J22" sqref="J22"/>
    </sheetView>
  </sheetViews>
  <sheetFormatPr defaultRowHeight="14.4" x14ac:dyDescent="0.3"/>
  <cols>
    <col min="1" max="1" width="9.88671875" bestFit="1" customWidth="1"/>
    <col min="2" max="2" width="21.88671875" bestFit="1" customWidth="1"/>
    <col min="3" max="5" width="15.21875" bestFit="1" customWidth="1"/>
    <col min="6" max="6" width="10.77734375" bestFit="1" customWidth="1"/>
    <col min="7" max="7" width="15.21875" bestFit="1" customWidth="1"/>
    <col min="8" max="8" width="12.109375" bestFit="1" customWidth="1"/>
    <col min="9" max="9" width="11" bestFit="1" customWidth="1"/>
    <col min="10" max="10" width="18.6640625" bestFit="1" customWidth="1"/>
    <col min="11" max="11" width="12.109375" bestFit="1" customWidth="1"/>
    <col min="12" max="12" width="11" bestFit="1" customWidth="1"/>
    <col min="13" max="15" width="11.109375" bestFit="1" customWidth="1"/>
    <col min="16" max="17" width="11" bestFit="1" customWidth="1"/>
    <col min="18" max="18" width="11.109375" bestFit="1" customWidth="1"/>
    <col min="19" max="21" width="11" bestFit="1" customWidth="1"/>
    <col min="22" max="22" width="11.109375" bestFit="1" customWidth="1"/>
    <col min="23" max="28" width="11" bestFit="1" customWidth="1"/>
    <col min="29" max="29" width="11.109375" bestFit="1" customWidth="1"/>
    <col min="30" max="31" width="11" bestFit="1" customWidth="1"/>
    <col min="32" max="32" width="12.33203125" bestFit="1" customWidth="1"/>
    <col min="33" max="36" width="11" bestFit="1" customWidth="1"/>
    <col min="37" max="38" width="12.33203125" bestFit="1" customWidth="1"/>
    <col min="39" max="46" width="11" bestFit="1" customWidth="1"/>
    <col min="47" max="47" width="11.109375" bestFit="1" customWidth="1"/>
    <col min="48" max="55" width="11" bestFit="1" customWidth="1"/>
    <col min="56" max="56" width="12.33203125" bestFit="1" customWidth="1"/>
    <col min="57" max="59" width="11" bestFit="1" customWidth="1"/>
    <col min="60" max="60" width="11.109375" bestFit="1" customWidth="1"/>
    <col min="61" max="72" width="11" bestFit="1" customWidth="1"/>
    <col min="73" max="73" width="12.33203125" bestFit="1" customWidth="1"/>
    <col min="74" max="77" width="11" bestFit="1" customWidth="1"/>
    <col min="78" max="78" width="11.109375" bestFit="1" customWidth="1"/>
    <col min="79" max="81" width="11" bestFit="1" customWidth="1"/>
    <col min="82" max="82" width="12.33203125" bestFit="1" customWidth="1"/>
    <col min="83" max="83" width="11.109375" bestFit="1" customWidth="1"/>
    <col min="84" max="89" width="11" bestFit="1" customWidth="1"/>
    <col min="90" max="90" width="11.109375" bestFit="1" customWidth="1"/>
    <col min="91" max="96" width="11" bestFit="1" customWidth="1"/>
    <col min="97" max="97" width="11.109375" bestFit="1" customWidth="1"/>
    <col min="98" max="99" width="11" bestFit="1" customWidth="1"/>
    <col min="100" max="100" width="12.33203125" bestFit="1" customWidth="1"/>
    <col min="101" max="102" width="11" bestFit="1" customWidth="1"/>
    <col min="103" max="103" width="11.109375" bestFit="1" customWidth="1"/>
    <col min="104" max="104" width="11" bestFit="1" customWidth="1"/>
    <col min="105" max="105" width="11.109375" bestFit="1" customWidth="1"/>
    <col min="106" max="112" width="11" bestFit="1" customWidth="1"/>
    <col min="113" max="113" width="11.109375" bestFit="1" customWidth="1"/>
    <col min="114" max="119" width="11" bestFit="1" customWidth="1"/>
    <col min="120" max="120" width="11.109375" bestFit="1" customWidth="1"/>
    <col min="121" max="133" width="11" bestFit="1" customWidth="1"/>
    <col min="134" max="134" width="11.109375" bestFit="1" customWidth="1"/>
    <col min="135" max="136" width="11" bestFit="1" customWidth="1"/>
    <col min="137" max="137" width="12.33203125" bestFit="1" customWidth="1"/>
    <col min="138" max="140" width="11" bestFit="1" customWidth="1"/>
    <col min="141" max="141" width="12.33203125" bestFit="1" customWidth="1"/>
    <col min="142" max="142" width="11.109375" bestFit="1" customWidth="1"/>
    <col min="143" max="145" width="11" bestFit="1" customWidth="1"/>
    <col min="146" max="146" width="12.33203125" bestFit="1" customWidth="1"/>
    <col min="147" max="148" width="11" bestFit="1" customWidth="1"/>
    <col min="149" max="149" width="11.109375" bestFit="1" customWidth="1"/>
    <col min="150" max="150" width="11" bestFit="1" customWidth="1"/>
    <col min="151" max="151" width="11.109375" bestFit="1" customWidth="1"/>
    <col min="152" max="153" width="11" bestFit="1" customWidth="1"/>
    <col min="154" max="154" width="12.33203125" bestFit="1" customWidth="1"/>
    <col min="155" max="167" width="11" bestFit="1" customWidth="1"/>
    <col min="168" max="168" width="11.109375" bestFit="1" customWidth="1"/>
    <col min="169" max="176" width="11" bestFit="1" customWidth="1"/>
    <col min="177" max="177" width="11.109375" bestFit="1" customWidth="1"/>
    <col min="178" max="184" width="11" bestFit="1" customWidth="1"/>
    <col min="185" max="185" width="11.109375" bestFit="1" customWidth="1"/>
    <col min="186" max="187" width="11" bestFit="1" customWidth="1"/>
    <col min="188" max="188" width="12.33203125" bestFit="1" customWidth="1"/>
    <col min="189" max="200" width="11" bestFit="1" customWidth="1"/>
    <col min="201" max="201" width="11.109375" bestFit="1" customWidth="1"/>
    <col min="202" max="202" width="11" bestFit="1" customWidth="1"/>
    <col min="203" max="203" width="12.33203125" bestFit="1" customWidth="1"/>
    <col min="204" max="205" width="11" bestFit="1" customWidth="1"/>
    <col min="206" max="206" width="11.109375" bestFit="1" customWidth="1"/>
    <col min="207" max="210" width="11" bestFit="1" customWidth="1"/>
    <col min="211" max="211" width="12.33203125" bestFit="1" customWidth="1"/>
    <col min="212" max="218" width="11" bestFit="1" customWidth="1"/>
    <col min="219" max="219" width="11.109375" bestFit="1" customWidth="1"/>
    <col min="220" max="225" width="11" bestFit="1" customWidth="1"/>
    <col min="226" max="226" width="11.109375" bestFit="1" customWidth="1"/>
    <col min="227" max="232" width="11" bestFit="1" customWidth="1"/>
    <col min="233" max="233" width="11.109375" bestFit="1" customWidth="1"/>
    <col min="234" max="234" width="11" bestFit="1" customWidth="1"/>
    <col min="235" max="235" width="11.109375" bestFit="1" customWidth="1"/>
    <col min="236" max="236" width="11" bestFit="1" customWidth="1"/>
    <col min="237" max="237" width="11.109375" bestFit="1" customWidth="1"/>
    <col min="238" max="244" width="11" bestFit="1" customWidth="1"/>
    <col min="245" max="245" width="11.109375" bestFit="1" customWidth="1"/>
    <col min="246" max="249" width="11" bestFit="1" customWidth="1"/>
    <col min="250" max="250" width="11.109375" bestFit="1" customWidth="1"/>
    <col min="251" max="251" width="11" bestFit="1" customWidth="1"/>
    <col min="252" max="252" width="11.109375" bestFit="1" customWidth="1"/>
    <col min="253" max="264" width="11" bestFit="1" customWidth="1"/>
    <col min="265" max="265" width="12.33203125" bestFit="1" customWidth="1"/>
    <col min="266" max="271" width="11" bestFit="1" customWidth="1"/>
    <col min="272" max="273" width="11.109375" bestFit="1" customWidth="1"/>
    <col min="274" max="274" width="12.33203125" bestFit="1" customWidth="1"/>
    <col min="275" max="281" width="11" bestFit="1" customWidth="1"/>
    <col min="282" max="283" width="11.109375" bestFit="1" customWidth="1"/>
    <col min="284" max="289" width="11" bestFit="1" customWidth="1"/>
    <col min="290" max="290" width="12.33203125" bestFit="1" customWidth="1"/>
    <col min="291" max="293" width="11" bestFit="1" customWidth="1"/>
    <col min="294" max="294" width="12.33203125" bestFit="1" customWidth="1"/>
    <col min="295" max="297" width="11" bestFit="1" customWidth="1"/>
    <col min="298" max="298" width="11.109375" bestFit="1" customWidth="1"/>
    <col min="299" max="299" width="12.33203125" bestFit="1" customWidth="1"/>
    <col min="300" max="314" width="11" bestFit="1" customWidth="1"/>
    <col min="315" max="315" width="11.109375" bestFit="1" customWidth="1"/>
    <col min="316" max="321" width="11" bestFit="1" customWidth="1"/>
    <col min="322" max="322" width="12.33203125" bestFit="1" customWidth="1"/>
    <col min="323" max="325" width="11" bestFit="1" customWidth="1"/>
    <col min="326" max="326" width="12.33203125" bestFit="1" customWidth="1"/>
    <col min="327" max="327" width="11.109375" bestFit="1" customWidth="1"/>
    <col min="328" max="328" width="11" bestFit="1" customWidth="1"/>
    <col min="329" max="329" width="11.109375" bestFit="1" customWidth="1"/>
    <col min="330" max="343" width="11" bestFit="1" customWidth="1"/>
    <col min="344" max="344" width="11.109375" bestFit="1" customWidth="1"/>
    <col min="345" max="353" width="11" bestFit="1" customWidth="1"/>
    <col min="354" max="354" width="11.109375" bestFit="1" customWidth="1"/>
    <col min="355" max="364" width="11" bestFit="1" customWidth="1"/>
    <col min="365" max="365" width="11.109375" bestFit="1" customWidth="1"/>
    <col min="366" max="376" width="11" bestFit="1" customWidth="1"/>
    <col min="377" max="377" width="12.33203125" bestFit="1" customWidth="1"/>
    <col min="378" max="379" width="11" bestFit="1" customWidth="1"/>
    <col min="380" max="381" width="11.109375" bestFit="1" customWidth="1"/>
    <col min="382" max="392" width="11" bestFit="1" customWidth="1"/>
    <col min="393" max="393" width="11.109375" bestFit="1" customWidth="1"/>
    <col min="394" max="394" width="12.33203125" bestFit="1" customWidth="1"/>
    <col min="395" max="397" width="11" bestFit="1" customWidth="1"/>
    <col min="398" max="398" width="11.109375" bestFit="1" customWidth="1"/>
    <col min="399" max="402" width="11" bestFit="1" customWidth="1"/>
    <col min="403" max="403" width="11.109375" bestFit="1" customWidth="1"/>
    <col min="404" max="404" width="12.33203125" bestFit="1" customWidth="1"/>
    <col min="405" max="405" width="11" bestFit="1" customWidth="1"/>
    <col min="406" max="406" width="12.33203125" bestFit="1" customWidth="1"/>
    <col min="407" max="408" width="11" bestFit="1" customWidth="1"/>
    <col min="409" max="409" width="11.109375" bestFit="1" customWidth="1"/>
    <col min="410" max="411" width="11" bestFit="1" customWidth="1"/>
    <col min="412" max="412" width="11.109375" bestFit="1" customWidth="1"/>
    <col min="413" max="414" width="11" bestFit="1" customWidth="1"/>
    <col min="415" max="416" width="11.109375" bestFit="1" customWidth="1"/>
    <col min="417" max="426" width="11" bestFit="1" customWidth="1"/>
    <col min="427" max="427" width="12.33203125" bestFit="1" customWidth="1"/>
    <col min="428" max="433" width="11" bestFit="1" customWidth="1"/>
    <col min="434" max="435" width="12.33203125" bestFit="1" customWidth="1"/>
    <col min="436" max="442" width="11" bestFit="1" customWidth="1"/>
    <col min="443" max="443" width="12.33203125" bestFit="1" customWidth="1"/>
    <col min="444" max="450" width="11" bestFit="1" customWidth="1"/>
    <col min="451" max="451" width="12.33203125" bestFit="1" customWidth="1"/>
    <col min="452" max="457" width="11" bestFit="1" customWidth="1"/>
    <col min="458" max="458" width="12.33203125" bestFit="1" customWidth="1"/>
    <col min="459" max="475" width="11" bestFit="1" customWidth="1"/>
    <col min="476" max="476" width="12.33203125" bestFit="1" customWidth="1"/>
    <col min="477" max="478" width="11" bestFit="1" customWidth="1"/>
    <col min="479" max="479" width="11.109375" bestFit="1" customWidth="1"/>
    <col min="480" max="487" width="11" bestFit="1" customWidth="1"/>
    <col min="488" max="488" width="11.109375" bestFit="1" customWidth="1"/>
    <col min="489" max="491" width="11" bestFit="1" customWidth="1"/>
    <col min="492" max="492" width="12.33203125" bestFit="1" customWidth="1"/>
    <col min="493" max="493" width="11" bestFit="1" customWidth="1"/>
    <col min="494" max="494" width="12.33203125" bestFit="1" customWidth="1"/>
    <col min="495" max="500" width="11" bestFit="1" customWidth="1"/>
    <col min="501" max="501" width="12.33203125" bestFit="1" customWidth="1"/>
    <col min="502" max="503" width="11" bestFit="1" customWidth="1"/>
    <col min="504" max="504" width="12.33203125" bestFit="1" customWidth="1"/>
    <col min="505" max="506" width="11" bestFit="1" customWidth="1"/>
    <col min="507" max="507" width="12.33203125" bestFit="1" customWidth="1"/>
    <col min="508" max="512" width="11" bestFit="1" customWidth="1"/>
    <col min="513" max="513" width="11.109375" bestFit="1" customWidth="1"/>
    <col min="514" max="517" width="11" bestFit="1" customWidth="1"/>
    <col min="518" max="518" width="11.109375" bestFit="1" customWidth="1"/>
    <col min="519" max="527" width="11" bestFit="1" customWidth="1"/>
    <col min="528" max="528" width="11.109375" bestFit="1" customWidth="1"/>
    <col min="529" max="529" width="12.33203125" bestFit="1" customWidth="1"/>
    <col min="530" max="532" width="11" bestFit="1" customWidth="1"/>
    <col min="533" max="534" width="12.33203125" bestFit="1" customWidth="1"/>
    <col min="535" max="545" width="11" bestFit="1" customWidth="1"/>
    <col min="546" max="546" width="12.33203125" bestFit="1" customWidth="1"/>
    <col min="547" max="548" width="11" bestFit="1" customWidth="1"/>
    <col min="549" max="549" width="11.109375" bestFit="1" customWidth="1"/>
    <col min="550" max="551" width="11" bestFit="1" customWidth="1"/>
    <col min="552" max="552" width="11.109375" bestFit="1" customWidth="1"/>
    <col min="553" max="558" width="11" bestFit="1" customWidth="1"/>
    <col min="559" max="559" width="11.109375" bestFit="1" customWidth="1"/>
    <col min="560" max="561" width="11" bestFit="1" customWidth="1"/>
    <col min="562" max="563" width="12.33203125" bestFit="1" customWidth="1"/>
    <col min="564" max="569" width="11" bestFit="1" customWidth="1"/>
    <col min="570" max="570" width="12.33203125" bestFit="1" customWidth="1"/>
    <col min="571" max="571" width="11" bestFit="1" customWidth="1"/>
    <col min="572" max="572" width="11.109375" bestFit="1" customWidth="1"/>
    <col min="573" max="575" width="11" bestFit="1" customWidth="1"/>
    <col min="576" max="576" width="12.33203125" bestFit="1" customWidth="1"/>
    <col min="577" max="578" width="11" bestFit="1" customWidth="1"/>
    <col min="579" max="579" width="11.109375" bestFit="1" customWidth="1"/>
    <col min="580" max="580" width="11" bestFit="1" customWidth="1"/>
    <col min="581" max="581" width="11.109375" bestFit="1" customWidth="1"/>
    <col min="582" max="588" width="11" bestFit="1" customWidth="1"/>
    <col min="589" max="594" width="11.109375" bestFit="1" customWidth="1"/>
    <col min="595" max="595" width="11" bestFit="1" customWidth="1"/>
    <col min="596" max="596" width="11.109375" bestFit="1" customWidth="1"/>
    <col min="597" max="598" width="11" bestFit="1" customWidth="1"/>
    <col min="599" max="599" width="12.33203125" bestFit="1" customWidth="1"/>
    <col min="600" max="601" width="11" bestFit="1" customWidth="1"/>
    <col min="602" max="602" width="11.109375" bestFit="1" customWidth="1"/>
    <col min="603" max="607" width="11" bestFit="1" customWidth="1"/>
    <col min="608" max="608" width="11.109375" bestFit="1" customWidth="1"/>
    <col min="609" max="614" width="11" bestFit="1" customWidth="1"/>
    <col min="615" max="615" width="11.109375" bestFit="1" customWidth="1"/>
    <col min="616" max="621" width="11" bestFit="1" customWidth="1"/>
    <col min="622" max="622" width="11.109375" bestFit="1" customWidth="1"/>
    <col min="623" max="623" width="11" bestFit="1" customWidth="1"/>
    <col min="624" max="624" width="12.33203125" bestFit="1" customWidth="1"/>
    <col min="625" max="634" width="11" bestFit="1" customWidth="1"/>
    <col min="635" max="635" width="11.109375" bestFit="1" customWidth="1"/>
    <col min="636" max="636" width="11" bestFit="1" customWidth="1"/>
    <col min="637" max="637" width="11.109375" bestFit="1" customWidth="1"/>
    <col min="638" max="650" width="11" bestFit="1" customWidth="1"/>
    <col min="651" max="651" width="11.109375" bestFit="1" customWidth="1"/>
    <col min="652" max="652" width="11" bestFit="1" customWidth="1"/>
    <col min="653" max="653" width="11.109375" bestFit="1" customWidth="1"/>
    <col min="654" max="659" width="11" bestFit="1" customWidth="1"/>
    <col min="660" max="660" width="11.109375" bestFit="1" customWidth="1"/>
    <col min="661" max="663" width="11" bestFit="1" customWidth="1"/>
    <col min="664" max="664" width="12.33203125" bestFit="1" customWidth="1"/>
    <col min="665" max="671" width="11" bestFit="1" customWidth="1"/>
    <col min="672" max="673" width="11.109375" bestFit="1" customWidth="1"/>
    <col min="674" max="678" width="11" bestFit="1" customWidth="1"/>
    <col min="679" max="679" width="11.109375" bestFit="1" customWidth="1"/>
    <col min="680" max="681" width="11" bestFit="1" customWidth="1"/>
    <col min="682" max="682" width="12.33203125" bestFit="1" customWidth="1"/>
    <col min="683" max="686" width="11" bestFit="1" customWidth="1"/>
    <col min="687" max="687" width="11.109375" bestFit="1" customWidth="1"/>
    <col min="688" max="689" width="11" bestFit="1" customWidth="1"/>
    <col min="690" max="690" width="11.109375" bestFit="1" customWidth="1"/>
    <col min="691" max="696" width="11" bestFit="1" customWidth="1"/>
    <col min="697" max="697" width="11.109375" bestFit="1" customWidth="1"/>
    <col min="698" max="700" width="11" bestFit="1" customWidth="1"/>
    <col min="701" max="701" width="11.109375" bestFit="1" customWidth="1"/>
    <col min="702" max="703" width="11" bestFit="1" customWidth="1"/>
    <col min="704" max="704" width="12.33203125" bestFit="1" customWidth="1"/>
    <col min="705" max="712" width="11" bestFit="1" customWidth="1"/>
    <col min="713" max="713" width="11.109375" bestFit="1" customWidth="1"/>
    <col min="714" max="715" width="11" bestFit="1" customWidth="1"/>
    <col min="716" max="716" width="11.109375" bestFit="1" customWidth="1"/>
    <col min="717" max="720" width="11" bestFit="1" customWidth="1"/>
    <col min="721" max="721" width="11.109375" bestFit="1" customWidth="1"/>
    <col min="722" max="726" width="11" bestFit="1" customWidth="1"/>
    <col min="727" max="727" width="12.33203125" bestFit="1" customWidth="1"/>
    <col min="728" max="728" width="11" bestFit="1" customWidth="1"/>
    <col min="729" max="729" width="11.109375" bestFit="1" customWidth="1"/>
    <col min="730" max="732" width="11" bestFit="1" customWidth="1"/>
    <col min="733" max="733" width="12.33203125" bestFit="1" customWidth="1"/>
    <col min="734" max="735" width="11" bestFit="1" customWidth="1"/>
    <col min="736" max="736" width="11.109375" bestFit="1" customWidth="1"/>
    <col min="737" max="741" width="11" bestFit="1" customWidth="1"/>
    <col min="742" max="743" width="11.109375" bestFit="1" customWidth="1"/>
    <col min="744" max="747" width="11" bestFit="1" customWidth="1"/>
    <col min="748" max="748" width="12.33203125" bestFit="1" customWidth="1"/>
    <col min="749" max="750" width="11" bestFit="1" customWidth="1"/>
    <col min="751" max="751" width="12.33203125" bestFit="1" customWidth="1"/>
    <col min="752" max="752" width="11" bestFit="1" customWidth="1"/>
    <col min="753" max="755" width="11.109375" bestFit="1" customWidth="1"/>
    <col min="756" max="756" width="11" bestFit="1" customWidth="1"/>
    <col min="757" max="757" width="11.109375" bestFit="1" customWidth="1"/>
    <col min="758" max="759" width="11" bestFit="1" customWidth="1"/>
    <col min="760" max="760" width="11.109375" bestFit="1" customWidth="1"/>
    <col min="761" max="762" width="11" bestFit="1" customWidth="1"/>
    <col min="763" max="765" width="12.33203125" bestFit="1" customWidth="1"/>
    <col min="766" max="768" width="11" bestFit="1" customWidth="1"/>
    <col min="769" max="769" width="11.109375" bestFit="1" customWidth="1"/>
    <col min="770" max="771" width="11" bestFit="1" customWidth="1"/>
    <col min="772" max="772" width="11.109375" bestFit="1" customWidth="1"/>
    <col min="773" max="773" width="11" bestFit="1" customWidth="1"/>
    <col min="774" max="774" width="11.109375" bestFit="1" customWidth="1"/>
    <col min="775" max="778" width="11" bestFit="1" customWidth="1"/>
    <col min="779" max="779" width="12.33203125" bestFit="1" customWidth="1"/>
    <col min="780" max="785" width="11" bestFit="1" customWidth="1"/>
    <col min="786" max="787" width="11.109375" bestFit="1" customWidth="1"/>
    <col min="788" max="788" width="12.33203125" bestFit="1" customWidth="1"/>
    <col min="789" max="791" width="11" bestFit="1" customWidth="1"/>
    <col min="792" max="792" width="12.33203125" bestFit="1" customWidth="1"/>
    <col min="793" max="800" width="11" bestFit="1" customWidth="1"/>
    <col min="801" max="801" width="12.33203125" bestFit="1" customWidth="1"/>
    <col min="802" max="814" width="11" bestFit="1" customWidth="1"/>
    <col min="815" max="815" width="12.33203125" bestFit="1" customWidth="1"/>
    <col min="816" max="821" width="11" bestFit="1" customWidth="1"/>
    <col min="822" max="822" width="11.109375" bestFit="1" customWidth="1"/>
    <col min="823" max="823" width="11" bestFit="1" customWidth="1"/>
    <col min="824" max="824" width="11.109375" bestFit="1" customWidth="1"/>
    <col min="825" max="828" width="11" bestFit="1" customWidth="1"/>
    <col min="829" max="829" width="12.33203125" bestFit="1" customWidth="1"/>
    <col min="830" max="832" width="11" bestFit="1" customWidth="1"/>
    <col min="833" max="833" width="11.109375" bestFit="1" customWidth="1"/>
    <col min="834" max="835" width="11" bestFit="1" customWidth="1"/>
    <col min="836" max="836" width="11.109375" bestFit="1" customWidth="1"/>
    <col min="837" max="838" width="11" bestFit="1" customWidth="1"/>
    <col min="839" max="839" width="11.109375" bestFit="1" customWidth="1"/>
    <col min="840" max="845" width="11" bestFit="1" customWidth="1"/>
    <col min="846" max="846" width="12.33203125" bestFit="1" customWidth="1"/>
    <col min="847" max="847" width="11.109375" bestFit="1" customWidth="1"/>
    <col min="848" max="848" width="11" bestFit="1" customWidth="1"/>
    <col min="849" max="849" width="12.33203125" bestFit="1" customWidth="1"/>
    <col min="850" max="850" width="11" bestFit="1" customWidth="1"/>
    <col min="851" max="851" width="12.33203125" bestFit="1" customWidth="1"/>
    <col min="852" max="852" width="11" bestFit="1" customWidth="1"/>
    <col min="853" max="853" width="11.109375" bestFit="1" customWidth="1"/>
    <col min="854" max="855" width="11" bestFit="1" customWidth="1"/>
    <col min="856" max="856" width="12.33203125" bestFit="1" customWidth="1"/>
    <col min="857" max="857" width="11" bestFit="1" customWidth="1"/>
    <col min="858" max="858" width="11.109375" bestFit="1" customWidth="1"/>
    <col min="859" max="859" width="12.33203125" bestFit="1" customWidth="1"/>
    <col min="860" max="860" width="11" bestFit="1" customWidth="1"/>
    <col min="861" max="861" width="12.33203125" bestFit="1" customWidth="1"/>
    <col min="862" max="862" width="11" bestFit="1" customWidth="1"/>
    <col min="863" max="864" width="11.109375" bestFit="1" customWidth="1"/>
    <col min="865" max="873" width="11" bestFit="1" customWidth="1"/>
    <col min="874" max="874" width="11.109375" bestFit="1" customWidth="1"/>
    <col min="875" max="875" width="12.33203125" bestFit="1" customWidth="1"/>
    <col min="876" max="876" width="11" bestFit="1" customWidth="1"/>
    <col min="877" max="877" width="12.33203125" bestFit="1" customWidth="1"/>
    <col min="878" max="899" width="11" bestFit="1" customWidth="1"/>
    <col min="900" max="900" width="11.109375" bestFit="1" customWidth="1"/>
    <col min="901" max="901" width="12.33203125" bestFit="1" customWidth="1"/>
    <col min="902" max="918" width="11" bestFit="1" customWidth="1"/>
    <col min="919" max="919" width="11.109375" bestFit="1" customWidth="1"/>
    <col min="920" max="923" width="11" bestFit="1" customWidth="1"/>
    <col min="924" max="925" width="11.109375" bestFit="1" customWidth="1"/>
    <col min="926" max="928" width="11" bestFit="1" customWidth="1"/>
    <col min="929" max="929" width="11.109375" bestFit="1" customWidth="1"/>
    <col min="930" max="934" width="11" bestFit="1" customWidth="1"/>
    <col min="935" max="935" width="12.33203125" bestFit="1" customWidth="1"/>
    <col min="936" max="936" width="11.109375" bestFit="1" customWidth="1"/>
    <col min="937" max="960" width="11" bestFit="1" customWidth="1"/>
    <col min="961" max="961" width="11.109375" bestFit="1" customWidth="1"/>
    <col min="962" max="964" width="11" bestFit="1" customWidth="1"/>
    <col min="965" max="965" width="12.33203125" bestFit="1" customWidth="1"/>
    <col min="966" max="977" width="11" bestFit="1" customWidth="1"/>
    <col min="978" max="978" width="12.33203125" bestFit="1" customWidth="1"/>
    <col min="979" max="979" width="11" bestFit="1" customWidth="1"/>
    <col min="980" max="980" width="12.33203125" bestFit="1" customWidth="1"/>
    <col min="981" max="983" width="11" bestFit="1" customWidth="1"/>
    <col min="984" max="984" width="11.109375" bestFit="1" customWidth="1"/>
    <col min="985" max="988" width="11" bestFit="1" customWidth="1"/>
    <col min="989" max="989" width="11.109375" bestFit="1" customWidth="1"/>
    <col min="990" max="991" width="11" bestFit="1" customWidth="1"/>
    <col min="992" max="992" width="12.33203125" bestFit="1" customWidth="1"/>
    <col min="993" max="999" width="11" bestFit="1" customWidth="1"/>
    <col min="1000" max="1000" width="11.109375" bestFit="1" customWidth="1"/>
    <col min="1001" max="1021" width="11" bestFit="1" customWidth="1"/>
    <col min="1022" max="1022" width="11.109375" bestFit="1" customWidth="1"/>
    <col min="1023" max="1032" width="11" bestFit="1" customWidth="1"/>
    <col min="1033" max="1033" width="11.109375" bestFit="1" customWidth="1"/>
    <col min="1034" max="1037" width="11" bestFit="1" customWidth="1"/>
    <col min="1038" max="1038" width="11.109375" bestFit="1" customWidth="1"/>
    <col min="1039" max="1045" width="11" bestFit="1" customWidth="1"/>
    <col min="1046" max="1046" width="12.33203125" bestFit="1" customWidth="1"/>
    <col min="1047" max="1048" width="11" bestFit="1" customWidth="1"/>
    <col min="1049" max="1049" width="11.109375" bestFit="1" customWidth="1"/>
    <col min="1050" max="1057" width="11" bestFit="1" customWidth="1"/>
    <col min="1058" max="1058" width="11.109375" bestFit="1" customWidth="1"/>
    <col min="1059" max="1066" width="11" bestFit="1" customWidth="1"/>
    <col min="1067" max="1067" width="11.109375" bestFit="1" customWidth="1"/>
    <col min="1068" max="1069" width="11" bestFit="1" customWidth="1"/>
    <col min="1070" max="1070" width="11.109375" bestFit="1" customWidth="1"/>
    <col min="1071" max="1080" width="11" bestFit="1" customWidth="1"/>
    <col min="1081" max="1081" width="11.109375" bestFit="1" customWidth="1"/>
    <col min="1082" max="1088" width="11" bestFit="1" customWidth="1"/>
    <col min="1089" max="1089" width="12.33203125" bestFit="1" customWidth="1"/>
    <col min="1090" max="1092" width="11" bestFit="1" customWidth="1"/>
    <col min="1093" max="1093" width="11.109375" bestFit="1" customWidth="1"/>
    <col min="1094" max="1114" width="11" bestFit="1" customWidth="1"/>
    <col min="1115" max="1115" width="11.109375" bestFit="1" customWidth="1"/>
    <col min="1116" max="1116" width="12.33203125" bestFit="1" customWidth="1"/>
    <col min="1117" max="1117" width="11" bestFit="1" customWidth="1"/>
    <col min="1118" max="1118" width="11.109375" bestFit="1" customWidth="1"/>
    <col min="1119" max="1121" width="11" bestFit="1" customWidth="1"/>
    <col min="1122" max="1122" width="12.33203125" bestFit="1" customWidth="1"/>
    <col min="1123" max="1128" width="11" bestFit="1" customWidth="1"/>
    <col min="1129" max="1129" width="11.109375" bestFit="1" customWidth="1"/>
    <col min="1130" max="1133" width="11" bestFit="1" customWidth="1"/>
    <col min="1134" max="1134" width="11.109375" bestFit="1" customWidth="1"/>
    <col min="1135" max="1146" width="11" bestFit="1" customWidth="1"/>
    <col min="1147" max="1147" width="11.109375" bestFit="1" customWidth="1"/>
    <col min="1148" max="1148" width="11" bestFit="1" customWidth="1"/>
    <col min="1149" max="1149" width="12.33203125" bestFit="1" customWidth="1"/>
    <col min="1150" max="1150" width="11" bestFit="1" customWidth="1"/>
    <col min="1151" max="1151" width="11.109375" bestFit="1" customWidth="1"/>
    <col min="1152" max="1152" width="11" bestFit="1" customWidth="1"/>
    <col min="1153" max="1153" width="11.109375" bestFit="1" customWidth="1"/>
    <col min="1154" max="1156" width="11" bestFit="1" customWidth="1"/>
    <col min="1157" max="1158" width="12.33203125" bestFit="1" customWidth="1"/>
    <col min="1159" max="1161" width="11" bestFit="1" customWidth="1"/>
    <col min="1162" max="1162" width="11.109375" bestFit="1" customWidth="1"/>
    <col min="1163" max="1167" width="11" bestFit="1" customWidth="1"/>
    <col min="1168" max="1168" width="12.33203125" bestFit="1" customWidth="1"/>
    <col min="1169" max="1171" width="11" bestFit="1" customWidth="1"/>
    <col min="1172" max="1172" width="11.109375" bestFit="1" customWidth="1"/>
    <col min="1173" max="1174" width="11" bestFit="1" customWidth="1"/>
    <col min="1175" max="1175" width="11.109375" bestFit="1" customWidth="1"/>
    <col min="1176" max="1177" width="11" bestFit="1" customWidth="1"/>
    <col min="1178" max="1178" width="11.109375" bestFit="1" customWidth="1"/>
    <col min="1179" max="1181" width="11" bestFit="1" customWidth="1"/>
    <col min="1182" max="1183" width="11.109375" bestFit="1" customWidth="1"/>
    <col min="1184" max="1186" width="11" bestFit="1" customWidth="1"/>
    <col min="1187" max="1187" width="11.109375" bestFit="1" customWidth="1"/>
    <col min="1188" max="1188" width="12.33203125" bestFit="1" customWidth="1"/>
    <col min="1189" max="1192" width="11" bestFit="1" customWidth="1"/>
    <col min="1193" max="1193" width="12.33203125" bestFit="1" customWidth="1"/>
    <col min="1194" max="1195" width="11" bestFit="1" customWidth="1"/>
    <col min="1196" max="1196" width="12.33203125" bestFit="1" customWidth="1"/>
    <col min="1197" max="1197" width="11" bestFit="1" customWidth="1"/>
    <col min="1198" max="1198" width="11.109375" bestFit="1" customWidth="1"/>
    <col min="1199" max="1201" width="11" bestFit="1" customWidth="1"/>
    <col min="1202" max="1202" width="11.109375" bestFit="1" customWidth="1"/>
    <col min="1203" max="1203" width="11" bestFit="1" customWidth="1"/>
    <col min="1204" max="1204" width="11.109375" bestFit="1" customWidth="1"/>
    <col min="1205" max="1210" width="11" bestFit="1" customWidth="1"/>
    <col min="1211" max="1213" width="11.109375" bestFit="1" customWidth="1"/>
    <col min="1214" max="1216" width="11" bestFit="1" customWidth="1"/>
    <col min="1217" max="1217" width="11.109375" bestFit="1" customWidth="1"/>
    <col min="1218" max="1219" width="11" bestFit="1" customWidth="1"/>
    <col min="1220" max="1220" width="12.33203125" bestFit="1" customWidth="1"/>
    <col min="1221" max="1224" width="11" bestFit="1" customWidth="1"/>
    <col min="1225" max="1227" width="11.109375" bestFit="1" customWidth="1"/>
    <col min="1228" max="1231" width="11" bestFit="1" customWidth="1"/>
    <col min="1232" max="1232" width="12.33203125" bestFit="1" customWidth="1"/>
    <col min="1233" max="1234" width="11" bestFit="1" customWidth="1"/>
    <col min="1235" max="1235" width="12.33203125" bestFit="1" customWidth="1"/>
    <col min="1236" max="1236" width="11" bestFit="1" customWidth="1"/>
    <col min="1237" max="1237" width="11.109375" bestFit="1" customWidth="1"/>
    <col min="1238" max="1242" width="11" bestFit="1" customWidth="1"/>
    <col min="1243" max="1243" width="12.33203125" bestFit="1" customWidth="1"/>
    <col min="1244" max="1244" width="11.109375" bestFit="1" customWidth="1"/>
    <col min="1245" max="1245" width="11" bestFit="1" customWidth="1"/>
    <col min="1246" max="1246" width="12.33203125" bestFit="1" customWidth="1"/>
    <col min="1247" max="1257" width="11" bestFit="1" customWidth="1"/>
    <col min="1258" max="1258" width="11.109375" bestFit="1" customWidth="1"/>
    <col min="1259" max="1261" width="11" bestFit="1" customWidth="1"/>
    <col min="1262" max="1262" width="11.109375" bestFit="1" customWidth="1"/>
    <col min="1263" max="1264" width="11" bestFit="1" customWidth="1"/>
    <col min="1265" max="1265" width="11.109375" bestFit="1" customWidth="1"/>
    <col min="1266" max="1267" width="11" bestFit="1" customWidth="1"/>
    <col min="1268" max="1268" width="12.33203125" bestFit="1" customWidth="1"/>
    <col min="1269" max="1276" width="11" bestFit="1" customWidth="1"/>
    <col min="1277" max="1277" width="11.109375" bestFit="1" customWidth="1"/>
    <col min="1278" max="1278" width="11" bestFit="1" customWidth="1"/>
    <col min="1279" max="1279" width="12.33203125" bestFit="1" customWidth="1"/>
    <col min="1280" max="1281" width="11" bestFit="1" customWidth="1"/>
    <col min="1282" max="1283" width="12.33203125" bestFit="1" customWidth="1"/>
    <col min="1284" max="1286" width="11" bestFit="1" customWidth="1"/>
    <col min="1287" max="1287" width="11.109375" bestFit="1" customWidth="1"/>
    <col min="1288" max="1289" width="11" bestFit="1" customWidth="1"/>
    <col min="1290" max="1290" width="11.109375" bestFit="1" customWidth="1"/>
    <col min="1291" max="1293" width="11" bestFit="1" customWidth="1"/>
    <col min="1294" max="1294" width="12.33203125" bestFit="1" customWidth="1"/>
    <col min="1295" max="1298" width="11" bestFit="1" customWidth="1"/>
    <col min="1299" max="1299" width="11.109375" bestFit="1" customWidth="1"/>
    <col min="1300" max="1307" width="11" bestFit="1" customWidth="1"/>
    <col min="1308" max="1308" width="11.109375" bestFit="1" customWidth="1"/>
    <col min="1309" max="1320" width="11" bestFit="1" customWidth="1"/>
    <col min="1321" max="1321" width="12.33203125" bestFit="1" customWidth="1"/>
    <col min="1322" max="1324" width="11" bestFit="1" customWidth="1"/>
    <col min="1325" max="1325" width="12.33203125" bestFit="1" customWidth="1"/>
    <col min="1326" max="1327" width="11" bestFit="1" customWidth="1"/>
    <col min="1328" max="1328" width="11.109375" bestFit="1" customWidth="1"/>
    <col min="1329" max="1329" width="11" bestFit="1" customWidth="1"/>
    <col min="1330" max="1330" width="12.33203125" bestFit="1" customWidth="1"/>
    <col min="1331" max="1331" width="11" bestFit="1" customWidth="1"/>
    <col min="1332" max="1332" width="11.109375" bestFit="1" customWidth="1"/>
    <col min="1333" max="1343" width="11" bestFit="1" customWidth="1"/>
    <col min="1344" max="1344" width="11.109375" bestFit="1" customWidth="1"/>
    <col min="1345" max="1357" width="11" bestFit="1" customWidth="1"/>
    <col min="1358" max="1358" width="11.109375" bestFit="1" customWidth="1"/>
    <col min="1359" max="1364" width="11" bestFit="1" customWidth="1"/>
    <col min="1365" max="1365" width="12.33203125" bestFit="1" customWidth="1"/>
    <col min="1366" max="1367" width="11" bestFit="1" customWidth="1"/>
    <col min="1368" max="1368" width="12.33203125" bestFit="1" customWidth="1"/>
    <col min="1369" max="1375" width="11" bestFit="1" customWidth="1"/>
    <col min="1376" max="1376" width="11.109375" bestFit="1" customWidth="1"/>
    <col min="1377" max="1378" width="11" bestFit="1" customWidth="1"/>
    <col min="1379" max="1379" width="12.33203125" bestFit="1" customWidth="1"/>
    <col min="1380" max="1380" width="11" bestFit="1" customWidth="1"/>
    <col min="1381" max="1381" width="12.33203125" bestFit="1" customWidth="1"/>
    <col min="1382" max="1384" width="11" bestFit="1" customWidth="1"/>
    <col min="1385" max="1385" width="11.109375" bestFit="1" customWidth="1"/>
    <col min="1386" max="1386" width="12.33203125" bestFit="1" customWidth="1"/>
    <col min="1387" max="1389" width="11" bestFit="1" customWidth="1"/>
    <col min="1390" max="1390" width="11.109375" bestFit="1" customWidth="1"/>
    <col min="1391" max="1392" width="11" bestFit="1" customWidth="1"/>
    <col min="1393" max="1393" width="11.109375" bestFit="1" customWidth="1"/>
    <col min="1394" max="1397" width="11" bestFit="1" customWidth="1"/>
    <col min="1398" max="1398" width="12.33203125" bestFit="1" customWidth="1"/>
    <col min="1399" max="1399" width="11" bestFit="1" customWidth="1"/>
    <col min="1400" max="1400" width="11.109375" bestFit="1" customWidth="1"/>
    <col min="1401" max="1401" width="11" bestFit="1" customWidth="1"/>
    <col min="1402" max="1402" width="11.109375" bestFit="1" customWidth="1"/>
    <col min="1403" max="1404" width="11" bestFit="1" customWidth="1"/>
    <col min="1405" max="1405" width="11.109375" bestFit="1" customWidth="1"/>
    <col min="1406" max="1406" width="11" bestFit="1" customWidth="1"/>
    <col min="1407" max="1407" width="11.109375" bestFit="1" customWidth="1"/>
    <col min="1408" max="1409" width="11" bestFit="1" customWidth="1"/>
    <col min="1410" max="1410" width="12.33203125" bestFit="1" customWidth="1"/>
    <col min="1411" max="1411" width="11.109375" bestFit="1" customWidth="1"/>
    <col min="1412" max="1412" width="11" bestFit="1" customWidth="1"/>
    <col min="1413" max="1413" width="11.109375" bestFit="1" customWidth="1"/>
    <col min="1414" max="1416" width="11" bestFit="1" customWidth="1"/>
    <col min="1417" max="1417" width="12.33203125" bestFit="1" customWidth="1"/>
    <col min="1418" max="1418" width="11" bestFit="1" customWidth="1"/>
    <col min="1419" max="1419" width="12.33203125" bestFit="1" customWidth="1"/>
    <col min="1420" max="1422" width="11" bestFit="1" customWidth="1"/>
    <col min="1423" max="1423" width="11.109375" bestFit="1" customWidth="1"/>
    <col min="1424" max="1431" width="11" bestFit="1" customWidth="1"/>
    <col min="1432" max="1432" width="11.109375" bestFit="1" customWidth="1"/>
    <col min="1433" max="1441" width="11" bestFit="1" customWidth="1"/>
    <col min="1442" max="1442" width="12.33203125" bestFit="1" customWidth="1"/>
    <col min="1443" max="1443" width="11.109375" bestFit="1" customWidth="1"/>
    <col min="1444" max="1449" width="11" bestFit="1" customWidth="1"/>
    <col min="1450" max="1450" width="11.109375" bestFit="1" customWidth="1"/>
    <col min="1451" max="1452" width="12.33203125" bestFit="1" customWidth="1"/>
    <col min="1453" max="1454" width="11.109375" bestFit="1" customWidth="1"/>
    <col min="1455" max="1457" width="11" bestFit="1" customWidth="1"/>
    <col min="1458" max="1458" width="11.109375" bestFit="1" customWidth="1"/>
    <col min="1459" max="1478" width="11" bestFit="1" customWidth="1"/>
    <col min="1479" max="1479" width="11.109375" bestFit="1" customWidth="1"/>
    <col min="1480" max="1484" width="11" bestFit="1" customWidth="1"/>
    <col min="1485" max="1485" width="11.109375" bestFit="1" customWidth="1"/>
    <col min="1486" max="1488" width="11" bestFit="1" customWidth="1"/>
    <col min="1489" max="1489" width="11.109375" bestFit="1" customWidth="1"/>
    <col min="1490" max="1496" width="11" bestFit="1" customWidth="1"/>
    <col min="1497" max="1497" width="11.109375" bestFit="1" customWidth="1"/>
    <col min="1498" max="1498" width="11" bestFit="1" customWidth="1"/>
    <col min="1499" max="1499" width="11.109375" bestFit="1" customWidth="1"/>
    <col min="1500" max="1500" width="11" bestFit="1" customWidth="1"/>
    <col min="1501" max="1501" width="12.5546875" bestFit="1" customWidth="1"/>
    <col min="1502" max="1510" width="11" bestFit="1" customWidth="1"/>
    <col min="1511" max="1511" width="12.33203125" bestFit="1" customWidth="1"/>
    <col min="1512" max="1531" width="11" bestFit="1" customWidth="1"/>
    <col min="1532" max="1532" width="11.109375" bestFit="1" customWidth="1"/>
    <col min="1533" max="1536" width="11" bestFit="1" customWidth="1"/>
    <col min="1537" max="1538" width="11.109375" bestFit="1" customWidth="1"/>
    <col min="1539" max="1546" width="11" bestFit="1" customWidth="1"/>
    <col min="1547" max="1547" width="11.109375" bestFit="1" customWidth="1"/>
    <col min="1548" max="1555" width="11" bestFit="1" customWidth="1"/>
    <col min="1556" max="1556" width="11.109375" bestFit="1" customWidth="1"/>
    <col min="1557" max="1572" width="11" bestFit="1" customWidth="1"/>
    <col min="1573" max="1573" width="11.109375" bestFit="1" customWidth="1"/>
    <col min="1574" max="1581" width="11" bestFit="1" customWidth="1"/>
    <col min="1582" max="1582" width="11.109375" bestFit="1" customWidth="1"/>
    <col min="1583" max="1599" width="11" bestFit="1" customWidth="1"/>
    <col min="1600" max="1600" width="11.109375" bestFit="1" customWidth="1"/>
    <col min="1601" max="1636" width="11" bestFit="1" customWidth="1"/>
    <col min="1637" max="1637" width="11.109375" bestFit="1" customWidth="1"/>
    <col min="1638" max="1640" width="11" bestFit="1" customWidth="1"/>
    <col min="1641" max="1641" width="12.33203125" bestFit="1" customWidth="1"/>
    <col min="1642" max="1642" width="11.109375" bestFit="1" customWidth="1"/>
    <col min="1643" max="1645" width="11" bestFit="1" customWidth="1"/>
    <col min="1646" max="1646" width="12.33203125" bestFit="1" customWidth="1"/>
    <col min="1647" max="1650" width="11" bestFit="1" customWidth="1"/>
    <col min="1651" max="1651" width="11.109375" bestFit="1" customWidth="1"/>
    <col min="1652" max="1653" width="11" bestFit="1" customWidth="1"/>
    <col min="1654" max="1654" width="11.109375" bestFit="1" customWidth="1"/>
    <col min="1655" max="1687" width="11" bestFit="1" customWidth="1"/>
    <col min="1688" max="1688" width="11.109375" bestFit="1" customWidth="1"/>
    <col min="1689" max="1702" width="11" bestFit="1" customWidth="1"/>
    <col min="1703" max="1703" width="12.33203125" bestFit="1" customWidth="1"/>
    <col min="1704" max="1710" width="11" bestFit="1" customWidth="1"/>
    <col min="1711" max="1711" width="12.33203125" bestFit="1" customWidth="1"/>
    <col min="1712" max="1725" width="11" bestFit="1" customWidth="1"/>
    <col min="1726" max="1726" width="11.109375" bestFit="1" customWidth="1"/>
    <col min="1727" max="1734" width="11" bestFit="1" customWidth="1"/>
    <col min="1735" max="1735" width="11.109375" bestFit="1" customWidth="1"/>
    <col min="1736" max="1736" width="11" bestFit="1" customWidth="1"/>
    <col min="1737" max="1737" width="11.109375" bestFit="1" customWidth="1"/>
    <col min="1738" max="1751" width="11" bestFit="1" customWidth="1"/>
    <col min="1752" max="1752" width="11.109375" bestFit="1" customWidth="1"/>
    <col min="1753" max="1764" width="11" bestFit="1" customWidth="1"/>
    <col min="1765" max="1765" width="11.109375" bestFit="1" customWidth="1"/>
    <col min="1766" max="1771" width="11" bestFit="1" customWidth="1"/>
    <col min="1772" max="1772" width="11.109375" bestFit="1" customWidth="1"/>
    <col min="1773" max="1773" width="11" bestFit="1" customWidth="1"/>
    <col min="1774" max="1774" width="11.109375" bestFit="1" customWidth="1"/>
    <col min="1775" max="1789" width="11" bestFit="1" customWidth="1"/>
    <col min="1790" max="1790" width="12.33203125" bestFit="1" customWidth="1"/>
    <col min="1791" max="1793" width="11" bestFit="1" customWidth="1"/>
    <col min="1794" max="1794" width="11.109375" bestFit="1" customWidth="1"/>
    <col min="1795" max="1798" width="11" bestFit="1" customWidth="1"/>
    <col min="1799" max="1799" width="11.109375" bestFit="1" customWidth="1"/>
    <col min="1800" max="1814" width="11" bestFit="1" customWidth="1"/>
    <col min="1815" max="1815" width="11.109375" bestFit="1" customWidth="1"/>
    <col min="1816" max="1821" width="11" bestFit="1" customWidth="1"/>
    <col min="1822" max="1822" width="11.109375" bestFit="1" customWidth="1"/>
    <col min="1823" max="1825" width="11" bestFit="1" customWidth="1"/>
    <col min="1826" max="1826" width="11.109375" bestFit="1" customWidth="1"/>
    <col min="1827" max="1828" width="11" bestFit="1" customWidth="1"/>
    <col min="1829" max="1829" width="11.109375" bestFit="1" customWidth="1"/>
    <col min="1830" max="1876" width="11" bestFit="1" customWidth="1"/>
    <col min="1877" max="1877" width="11.109375" bestFit="1" customWidth="1"/>
    <col min="1878" max="1879" width="11" bestFit="1" customWidth="1"/>
    <col min="1880" max="1880" width="11.109375" bestFit="1" customWidth="1"/>
    <col min="1881" max="1892" width="11" bestFit="1" customWidth="1"/>
    <col min="1893" max="1894" width="11.109375" bestFit="1" customWidth="1"/>
    <col min="1895" max="1897" width="11" bestFit="1" customWidth="1"/>
    <col min="1898" max="1898" width="11.109375" bestFit="1" customWidth="1"/>
    <col min="1899" max="1903" width="11" bestFit="1" customWidth="1"/>
    <col min="1904" max="1904" width="12.33203125" bestFit="1" customWidth="1"/>
    <col min="1905" max="1905" width="11" bestFit="1" customWidth="1"/>
    <col min="1906" max="1906" width="11.109375" bestFit="1" customWidth="1"/>
    <col min="1907" max="1908" width="11" bestFit="1" customWidth="1"/>
    <col min="1909" max="1909" width="11.109375" bestFit="1" customWidth="1"/>
    <col min="1910" max="1911" width="11" bestFit="1" customWidth="1"/>
    <col min="1912" max="1912" width="11.109375" bestFit="1" customWidth="1"/>
    <col min="1913" max="1915" width="11" bestFit="1" customWidth="1"/>
    <col min="1916" max="1916" width="11.109375" bestFit="1" customWidth="1"/>
    <col min="1917" max="1926" width="11" bestFit="1" customWidth="1"/>
    <col min="1927" max="1927" width="11.109375" bestFit="1" customWidth="1"/>
    <col min="1928" max="1933" width="11" bestFit="1" customWidth="1"/>
    <col min="1934" max="1934" width="11.109375" bestFit="1" customWidth="1"/>
    <col min="1935" max="1935" width="12.33203125" bestFit="1" customWidth="1"/>
    <col min="1936" max="1942" width="11" bestFit="1" customWidth="1"/>
    <col min="1943" max="1943" width="12.33203125" bestFit="1" customWidth="1"/>
    <col min="1944" max="1950" width="11" bestFit="1" customWidth="1"/>
    <col min="1951" max="1951" width="11.109375" bestFit="1" customWidth="1"/>
    <col min="1952" max="1957" width="11" bestFit="1" customWidth="1"/>
    <col min="1958" max="1958" width="11.109375" bestFit="1" customWidth="1"/>
    <col min="1959" max="1975" width="11" bestFit="1" customWidth="1"/>
    <col min="1976" max="1976" width="12.33203125" bestFit="1" customWidth="1"/>
    <col min="1977" max="1991" width="11" bestFit="1" customWidth="1"/>
    <col min="1992" max="1992" width="12.33203125" bestFit="1" customWidth="1"/>
    <col min="1993" max="1993" width="11" bestFit="1" customWidth="1"/>
    <col min="1994" max="1994" width="11.109375" bestFit="1" customWidth="1"/>
    <col min="1995" max="2000" width="11" bestFit="1" customWidth="1"/>
    <col min="2001" max="2001" width="12.33203125" bestFit="1" customWidth="1"/>
    <col min="2002" max="2003" width="11" bestFit="1" customWidth="1"/>
    <col min="2004" max="2004" width="12.33203125" bestFit="1" customWidth="1"/>
    <col min="2005" max="2006" width="11" bestFit="1" customWidth="1"/>
    <col min="2007" max="2007" width="12.33203125" bestFit="1" customWidth="1"/>
    <col min="2008" max="2012" width="11" bestFit="1" customWidth="1"/>
    <col min="2013" max="2013" width="11.109375" bestFit="1" customWidth="1"/>
    <col min="2014" max="2017" width="11" bestFit="1" customWidth="1"/>
    <col min="2018" max="2018" width="11.109375" bestFit="1" customWidth="1"/>
    <col min="2019" max="2027" width="11" bestFit="1" customWidth="1"/>
    <col min="2028" max="2029" width="11.109375" bestFit="1" customWidth="1"/>
    <col min="2030" max="2032" width="11" bestFit="1" customWidth="1"/>
    <col min="2033" max="2034" width="11.109375" bestFit="1" customWidth="1"/>
    <col min="2035" max="2045" width="11" bestFit="1" customWidth="1"/>
    <col min="2046" max="2046" width="12.33203125" bestFit="1" customWidth="1"/>
    <col min="2047" max="2048" width="11" bestFit="1" customWidth="1"/>
    <col min="2049" max="2049" width="11.109375" bestFit="1" customWidth="1"/>
    <col min="2050" max="2058" width="11" bestFit="1" customWidth="1"/>
    <col min="2059" max="2059" width="11.109375" bestFit="1" customWidth="1"/>
    <col min="2060" max="2061" width="11" bestFit="1" customWidth="1"/>
    <col min="2062" max="2063" width="11.109375" bestFit="1" customWidth="1"/>
    <col min="2064" max="2069" width="11" bestFit="1" customWidth="1"/>
    <col min="2070" max="2070" width="11.109375" bestFit="1" customWidth="1"/>
    <col min="2071" max="2075" width="11" bestFit="1" customWidth="1"/>
    <col min="2076" max="2076" width="11.109375" bestFit="1" customWidth="1"/>
    <col min="2077" max="2080" width="11" bestFit="1" customWidth="1"/>
    <col min="2081" max="2081" width="11.109375" bestFit="1" customWidth="1"/>
    <col min="2082" max="2098" width="11" bestFit="1" customWidth="1"/>
    <col min="2099" max="2099" width="11.109375" bestFit="1" customWidth="1"/>
    <col min="2100" max="2101" width="11" bestFit="1" customWidth="1"/>
    <col min="2102" max="2102" width="11.109375" bestFit="1" customWidth="1"/>
    <col min="2103" max="2107" width="11" bestFit="1" customWidth="1"/>
    <col min="2108" max="2108" width="11.109375" bestFit="1" customWidth="1"/>
    <col min="2109" max="2123" width="11" bestFit="1" customWidth="1"/>
    <col min="2124" max="2124" width="11.109375" bestFit="1" customWidth="1"/>
    <col min="2125" max="2152" width="11" bestFit="1" customWidth="1"/>
    <col min="2153" max="2153" width="11.109375" bestFit="1" customWidth="1"/>
    <col min="2154" max="2163" width="11" bestFit="1" customWidth="1"/>
    <col min="2164" max="2164" width="12.33203125" bestFit="1" customWidth="1"/>
    <col min="2165" max="2171" width="11" bestFit="1" customWidth="1"/>
    <col min="2172" max="2172" width="11.109375" bestFit="1" customWidth="1"/>
    <col min="2173" max="2181" width="11" bestFit="1" customWidth="1"/>
    <col min="2182" max="2182" width="11.109375" bestFit="1" customWidth="1"/>
    <col min="2183" max="2186" width="11" bestFit="1" customWidth="1"/>
    <col min="2187" max="2187" width="11.109375" bestFit="1" customWidth="1"/>
    <col min="2188" max="2189" width="11" bestFit="1" customWidth="1"/>
    <col min="2190" max="2190" width="11.109375" bestFit="1" customWidth="1"/>
    <col min="2191" max="2203" width="11" bestFit="1" customWidth="1"/>
    <col min="2204" max="2204" width="11.109375" bestFit="1" customWidth="1"/>
    <col min="2205" max="2212" width="11" bestFit="1" customWidth="1"/>
    <col min="2213" max="2213" width="11.109375" bestFit="1" customWidth="1"/>
    <col min="2214" max="2226" width="11" bestFit="1" customWidth="1"/>
    <col min="2227" max="2227" width="11.109375" bestFit="1" customWidth="1"/>
    <col min="2228" max="2232" width="11" bestFit="1" customWidth="1"/>
    <col min="2233" max="2233" width="12.33203125" bestFit="1" customWidth="1"/>
    <col min="2234" max="2247" width="11" bestFit="1" customWidth="1"/>
    <col min="2248" max="2248" width="11.109375" bestFit="1" customWidth="1"/>
    <col min="2249" max="2250" width="11" bestFit="1" customWidth="1"/>
    <col min="2251" max="2251" width="12.33203125" bestFit="1" customWidth="1"/>
    <col min="2252" max="2256" width="11" bestFit="1" customWidth="1"/>
    <col min="2257" max="2257" width="11.109375" bestFit="1" customWidth="1"/>
    <col min="2258" max="2259" width="11" bestFit="1" customWidth="1"/>
    <col min="2260" max="2260" width="11.109375" bestFit="1" customWidth="1"/>
    <col min="2261" max="2262" width="11" bestFit="1" customWidth="1"/>
    <col min="2263" max="2265" width="11.109375" bestFit="1" customWidth="1"/>
    <col min="2266" max="2278" width="11" bestFit="1" customWidth="1"/>
    <col min="2279" max="2279" width="12.33203125" bestFit="1" customWidth="1"/>
    <col min="2280" max="2286" width="11" bestFit="1" customWidth="1"/>
    <col min="2287" max="2287" width="11.109375" bestFit="1" customWidth="1"/>
    <col min="2288" max="2288" width="12.33203125" bestFit="1" customWidth="1"/>
    <col min="2289" max="2291" width="11" bestFit="1" customWidth="1"/>
    <col min="2292" max="2292" width="11.109375" bestFit="1" customWidth="1"/>
    <col min="2293" max="2300" width="11" bestFit="1" customWidth="1"/>
    <col min="2301" max="2301" width="11.109375" bestFit="1" customWidth="1"/>
    <col min="2302" max="2314" width="11" bestFit="1" customWidth="1"/>
    <col min="2315" max="2315" width="11.109375" bestFit="1" customWidth="1"/>
    <col min="2316" max="2321" width="11" bestFit="1" customWidth="1"/>
    <col min="2322" max="2322" width="11.109375" bestFit="1" customWidth="1"/>
    <col min="2323" max="2323" width="11" bestFit="1" customWidth="1"/>
    <col min="2324" max="2324" width="11.109375" bestFit="1" customWidth="1"/>
    <col min="2325" max="2328" width="11" bestFit="1" customWidth="1"/>
    <col min="2329" max="2329" width="11.109375" bestFit="1" customWidth="1"/>
    <col min="2330" max="2345" width="11" bestFit="1" customWidth="1"/>
    <col min="2346" max="2346" width="11.109375" bestFit="1" customWidth="1"/>
    <col min="2347" max="2348" width="11" bestFit="1" customWidth="1"/>
    <col min="2349" max="2349" width="11.109375" bestFit="1" customWidth="1"/>
    <col min="2350" max="2350" width="11" bestFit="1" customWidth="1"/>
    <col min="2351" max="2351" width="11.109375" bestFit="1" customWidth="1"/>
    <col min="2352" max="2355" width="11" bestFit="1" customWidth="1"/>
    <col min="2356" max="2356" width="12.33203125" bestFit="1" customWidth="1"/>
    <col min="2357" max="2357" width="11" bestFit="1" customWidth="1"/>
    <col min="2358" max="2359" width="11.109375" bestFit="1" customWidth="1"/>
    <col min="2360" max="2360" width="11" bestFit="1" customWidth="1"/>
    <col min="2361" max="2361" width="11.109375" bestFit="1" customWidth="1"/>
    <col min="2362" max="2363" width="11" bestFit="1" customWidth="1"/>
    <col min="2364" max="2364" width="11.109375" bestFit="1" customWidth="1"/>
    <col min="2365" max="2373" width="11" bestFit="1" customWidth="1"/>
    <col min="2374" max="2375" width="11.109375" bestFit="1" customWidth="1"/>
    <col min="2376" max="2376" width="11" bestFit="1" customWidth="1"/>
    <col min="2377" max="2377" width="11.109375" bestFit="1" customWidth="1"/>
    <col min="2378" max="2399" width="11" bestFit="1" customWidth="1"/>
    <col min="2400" max="2401" width="11.109375" bestFit="1" customWidth="1"/>
    <col min="2402" max="2434" width="11" bestFit="1" customWidth="1"/>
    <col min="2435" max="2435" width="12.33203125" bestFit="1" customWidth="1"/>
    <col min="2436" max="2464" width="11" bestFit="1" customWidth="1"/>
    <col min="2465" max="2465" width="11.109375" bestFit="1" customWidth="1"/>
    <col min="2466" max="2477" width="11" bestFit="1" customWidth="1"/>
    <col min="2478" max="2478" width="12.33203125" bestFit="1" customWidth="1"/>
    <col min="2479" max="2479" width="11" bestFit="1" customWidth="1"/>
    <col min="2480" max="2480" width="11.109375" bestFit="1" customWidth="1"/>
    <col min="2481" max="2491" width="11" bestFit="1" customWidth="1"/>
    <col min="2492" max="2492" width="11.109375" bestFit="1" customWidth="1"/>
    <col min="2493" max="2545" width="11" bestFit="1" customWidth="1"/>
    <col min="2546" max="2546" width="11.109375" bestFit="1" customWidth="1"/>
    <col min="2547" max="2588" width="11" bestFit="1" customWidth="1"/>
    <col min="2589" max="2589" width="11.109375" bestFit="1" customWidth="1"/>
    <col min="2590" max="2614" width="11" bestFit="1" customWidth="1"/>
    <col min="2615" max="2616" width="11.109375" bestFit="1" customWidth="1"/>
    <col min="2617" max="2621" width="11" bestFit="1" customWidth="1"/>
    <col min="2622" max="2622" width="12.33203125" bestFit="1" customWidth="1"/>
    <col min="2623" max="2648" width="11" bestFit="1" customWidth="1"/>
    <col min="2649" max="2649" width="11.109375" bestFit="1" customWidth="1"/>
    <col min="2650" max="2650" width="11" bestFit="1" customWidth="1"/>
    <col min="2651" max="2651" width="11.109375" bestFit="1" customWidth="1"/>
    <col min="2652" max="2652" width="11" bestFit="1" customWidth="1"/>
    <col min="2653" max="2653" width="11.109375" bestFit="1" customWidth="1"/>
    <col min="2654" max="2656" width="11" bestFit="1" customWidth="1"/>
    <col min="2657" max="2658" width="11.109375" bestFit="1" customWidth="1"/>
    <col min="2659" max="2667" width="11" bestFit="1" customWidth="1"/>
    <col min="2668" max="2668" width="11.109375" bestFit="1" customWidth="1"/>
    <col min="2669" max="2677" width="11" bestFit="1" customWidth="1"/>
    <col min="2678" max="2678" width="11.109375" bestFit="1" customWidth="1"/>
    <col min="2679" max="2687" width="11" bestFit="1" customWidth="1"/>
    <col min="2688" max="2688" width="11.109375" bestFit="1" customWidth="1"/>
    <col min="2689" max="2692" width="11" bestFit="1" customWidth="1"/>
    <col min="2693" max="2693" width="11.109375" bestFit="1" customWidth="1"/>
    <col min="2694" max="2695" width="11" bestFit="1" customWidth="1"/>
    <col min="2696" max="2696" width="11.109375" bestFit="1" customWidth="1"/>
    <col min="2697" max="2712" width="11" bestFit="1" customWidth="1"/>
    <col min="2713" max="2713" width="11.109375" bestFit="1" customWidth="1"/>
    <col min="2714" max="2716" width="11" bestFit="1" customWidth="1"/>
    <col min="2717" max="2717" width="11.109375" bestFit="1" customWidth="1"/>
    <col min="2718" max="2719" width="11" bestFit="1" customWidth="1"/>
    <col min="2720" max="2720" width="12.33203125" bestFit="1" customWidth="1"/>
    <col min="2721" max="2725" width="11" bestFit="1" customWidth="1"/>
    <col min="2726" max="2726" width="11.109375" bestFit="1" customWidth="1"/>
    <col min="2727" max="2731" width="11" bestFit="1" customWidth="1"/>
    <col min="2732" max="2732" width="11.109375" bestFit="1" customWidth="1"/>
    <col min="2733" max="2734" width="11" bestFit="1" customWidth="1"/>
    <col min="2735" max="2735" width="11.109375" bestFit="1" customWidth="1"/>
    <col min="2736" max="2736" width="11" bestFit="1" customWidth="1"/>
    <col min="2737" max="2737" width="11.109375" bestFit="1" customWidth="1"/>
    <col min="2738" max="2742" width="11" bestFit="1" customWidth="1"/>
    <col min="2743" max="2743" width="11.109375" bestFit="1" customWidth="1"/>
    <col min="2744" max="2745" width="11" bestFit="1" customWidth="1"/>
    <col min="2746" max="2746" width="11.109375" bestFit="1" customWidth="1"/>
    <col min="2747" max="2757" width="11" bestFit="1" customWidth="1"/>
    <col min="2758" max="2758" width="11.109375" bestFit="1" customWidth="1"/>
    <col min="2759" max="2767" width="11" bestFit="1" customWidth="1"/>
    <col min="2768" max="2768" width="11.109375" bestFit="1" customWidth="1"/>
    <col min="2769" max="2778" width="11" bestFit="1" customWidth="1"/>
    <col min="2779" max="2779" width="11.109375" bestFit="1" customWidth="1"/>
    <col min="2780" max="2781" width="11" bestFit="1" customWidth="1"/>
    <col min="2782" max="2782" width="12.33203125" bestFit="1" customWidth="1"/>
    <col min="2783" max="2783" width="11.109375" bestFit="1" customWidth="1"/>
    <col min="2784" max="2793" width="11" bestFit="1" customWidth="1"/>
    <col min="2794" max="2794" width="11.109375" bestFit="1" customWidth="1"/>
    <col min="2795" max="2798" width="11" bestFit="1" customWidth="1"/>
    <col min="2799" max="2799" width="11.109375" bestFit="1" customWidth="1"/>
    <col min="2800" max="2820" width="11" bestFit="1" customWidth="1"/>
    <col min="2821" max="2821" width="11.109375" bestFit="1" customWidth="1"/>
    <col min="2822" max="2824" width="11" bestFit="1" customWidth="1"/>
    <col min="2825" max="2825" width="12.33203125" bestFit="1" customWidth="1"/>
    <col min="2826" max="2829" width="11" bestFit="1" customWidth="1"/>
    <col min="2830" max="2830" width="11.109375" bestFit="1" customWidth="1"/>
    <col min="2831" max="2864" width="11" bestFit="1" customWidth="1"/>
    <col min="2865" max="2865" width="11.109375" bestFit="1" customWidth="1"/>
    <col min="2866" max="2867" width="11" bestFit="1" customWidth="1"/>
    <col min="2868" max="2868" width="11.109375" bestFit="1" customWidth="1"/>
    <col min="2869" max="2878" width="11" bestFit="1" customWidth="1"/>
    <col min="2879" max="2879" width="11.109375" bestFit="1" customWidth="1"/>
    <col min="2880" max="2880" width="11" bestFit="1" customWidth="1"/>
    <col min="2881" max="2881" width="11.109375" bestFit="1" customWidth="1"/>
    <col min="2882" max="2884" width="11" bestFit="1" customWidth="1"/>
    <col min="2885" max="2886" width="11.109375" bestFit="1" customWidth="1"/>
    <col min="2887" max="2897" width="11" bestFit="1" customWidth="1"/>
    <col min="2898" max="2898" width="12.33203125" bestFit="1" customWidth="1"/>
    <col min="2899" max="2901" width="11" bestFit="1" customWidth="1"/>
    <col min="2902" max="2902" width="11.109375" bestFit="1" customWidth="1"/>
    <col min="2903" max="2904" width="11" bestFit="1" customWidth="1"/>
    <col min="2905" max="2905" width="11.109375" bestFit="1" customWidth="1"/>
    <col min="2906" max="2906" width="11" bestFit="1" customWidth="1"/>
    <col min="2907" max="2907" width="11.109375" bestFit="1" customWidth="1"/>
    <col min="2908" max="2909" width="11" bestFit="1" customWidth="1"/>
    <col min="2910" max="2910" width="11.109375" bestFit="1" customWidth="1"/>
    <col min="2911" max="2912" width="11" bestFit="1" customWidth="1"/>
    <col min="2913" max="2913" width="11.109375" bestFit="1" customWidth="1"/>
    <col min="2914" max="2916" width="11" bestFit="1" customWidth="1"/>
    <col min="2917" max="2917" width="12.33203125" bestFit="1" customWidth="1"/>
    <col min="2918" max="2918" width="11" bestFit="1" customWidth="1"/>
    <col min="2919" max="2919" width="11.109375" bestFit="1" customWidth="1"/>
    <col min="2920" max="2941" width="11" bestFit="1" customWidth="1"/>
    <col min="2942" max="2942" width="11.109375" bestFit="1" customWidth="1"/>
    <col min="2943" max="2950" width="11" bestFit="1" customWidth="1"/>
    <col min="2951" max="2951" width="11.109375" bestFit="1" customWidth="1"/>
    <col min="2952" max="2952" width="12.33203125" bestFit="1" customWidth="1"/>
    <col min="2953" max="2957" width="11" bestFit="1" customWidth="1"/>
    <col min="2958" max="2958" width="11.109375" bestFit="1" customWidth="1"/>
    <col min="2959" max="2984" width="11" bestFit="1" customWidth="1"/>
    <col min="2985" max="2985" width="11.109375" bestFit="1" customWidth="1"/>
    <col min="2986" max="2996" width="11" bestFit="1" customWidth="1"/>
    <col min="2997" max="2997" width="11.109375" bestFit="1" customWidth="1"/>
    <col min="2998" max="3000" width="11" bestFit="1" customWidth="1"/>
    <col min="3001" max="3001" width="20.88671875" bestFit="1" customWidth="1"/>
    <col min="3002" max="3002" width="17.5546875" bestFit="1" customWidth="1"/>
  </cols>
  <sheetData>
    <row r="3" spans="1:11" x14ac:dyDescent="0.3">
      <c r="A3" t="s">
        <v>0</v>
      </c>
      <c r="B3" t="s">
        <v>1</v>
      </c>
      <c r="C3" t="s">
        <v>2</v>
      </c>
      <c r="F3" s="9" t="s">
        <v>3</v>
      </c>
      <c r="G3" t="s">
        <v>4</v>
      </c>
      <c r="H3" t="s">
        <v>5</v>
      </c>
      <c r="J3" s="9" t="s">
        <v>6</v>
      </c>
      <c r="K3" t="s">
        <v>5</v>
      </c>
    </row>
    <row r="4" spans="1:11" ht="18" x14ac:dyDescent="0.35">
      <c r="A4" s="17">
        <v>4072350.0831249971</v>
      </c>
      <c r="B4" s="19">
        <v>655542.85687499982</v>
      </c>
      <c r="C4" s="25">
        <v>1500</v>
      </c>
      <c r="D4" s="15">
        <f>GETPIVOTDATA("Total Profit",$A$3)/GETPIVOTDATA("Total Sales",$A$3)</f>
        <v>0.16097409198473336</v>
      </c>
      <c r="F4" t="s">
        <v>7</v>
      </c>
      <c r="G4" s="16">
        <v>787211.78177500004</v>
      </c>
      <c r="H4" s="16">
        <v>127575.19822500004</v>
      </c>
      <c r="J4" t="s">
        <v>8</v>
      </c>
      <c r="K4" s="16">
        <v>0</v>
      </c>
    </row>
    <row r="5" spans="1:11" x14ac:dyDescent="0.3">
      <c r="F5" t="s">
        <v>9</v>
      </c>
      <c r="G5" s="16">
        <v>827104.3526500006</v>
      </c>
      <c r="H5" s="16">
        <v>120259.05734999999</v>
      </c>
      <c r="J5" t="s">
        <v>10</v>
      </c>
      <c r="K5" s="16">
        <v>312142.1703749997</v>
      </c>
    </row>
    <row r="6" spans="1:11" x14ac:dyDescent="0.3">
      <c r="F6" t="s">
        <v>11</v>
      </c>
      <c r="G6" s="16">
        <v>894607.16994999966</v>
      </c>
      <c r="H6" s="16">
        <v>156474.61004999999</v>
      </c>
      <c r="J6" t="s">
        <v>12</v>
      </c>
      <c r="K6" s="16">
        <v>343400.68649999972</v>
      </c>
    </row>
    <row r="7" spans="1:11" x14ac:dyDescent="0.3">
      <c r="F7" t="s">
        <v>13</v>
      </c>
      <c r="G7" s="16">
        <v>770077.07189999952</v>
      </c>
      <c r="H7" s="16">
        <v>123051.79810000004</v>
      </c>
      <c r="J7" t="s">
        <v>14</v>
      </c>
      <c r="K7" s="16">
        <v>655542.85687499936</v>
      </c>
    </row>
    <row r="8" spans="1:11" x14ac:dyDescent="0.3">
      <c r="A8" s="9" t="s">
        <v>2964</v>
      </c>
      <c r="B8" s="9" t="s">
        <v>2965</v>
      </c>
      <c r="C8" t="s">
        <v>4</v>
      </c>
      <c r="F8" t="s">
        <v>16</v>
      </c>
      <c r="G8" s="16">
        <v>793349.70684999984</v>
      </c>
      <c r="H8" s="16">
        <v>128182.19314999999</v>
      </c>
    </row>
    <row r="9" spans="1:11" x14ac:dyDescent="0.3">
      <c r="A9" t="s">
        <v>2948</v>
      </c>
      <c r="B9" t="s">
        <v>2952</v>
      </c>
      <c r="C9" s="16">
        <v>145345.99154999998</v>
      </c>
      <c r="F9" t="s">
        <v>14</v>
      </c>
      <c r="G9" s="16">
        <v>4072350.0831249994</v>
      </c>
      <c r="H9" s="16">
        <v>655542.85687499994</v>
      </c>
      <c r="J9" s="9" t="s">
        <v>17</v>
      </c>
      <c r="K9" t="s">
        <v>4</v>
      </c>
    </row>
    <row r="10" spans="1:11" x14ac:dyDescent="0.3">
      <c r="B10" t="s">
        <v>2953</v>
      </c>
      <c r="C10" s="16">
        <v>131509.55609999999</v>
      </c>
      <c r="J10" t="s">
        <v>23</v>
      </c>
      <c r="K10" s="16">
        <v>626990.01787500014</v>
      </c>
    </row>
    <row r="11" spans="1:11" x14ac:dyDescent="0.3">
      <c r="B11" t="s">
        <v>2954</v>
      </c>
      <c r="C11" s="16">
        <v>188371.34564999992</v>
      </c>
      <c r="J11" t="s">
        <v>25</v>
      </c>
      <c r="K11" s="16">
        <v>647454.24217500025</v>
      </c>
    </row>
    <row r="12" spans="1:11" x14ac:dyDescent="0.3">
      <c r="B12" t="s">
        <v>2955</v>
      </c>
      <c r="C12" s="16">
        <v>139489.97107500004</v>
      </c>
      <c r="F12" s="9" t="s">
        <v>20</v>
      </c>
      <c r="G12" t="s">
        <v>4</v>
      </c>
      <c r="J12" t="s">
        <v>21</v>
      </c>
      <c r="K12" s="16">
        <v>654539.59715000016</v>
      </c>
    </row>
    <row r="13" spans="1:11" x14ac:dyDescent="0.3">
      <c r="B13" t="s">
        <v>2956</v>
      </c>
      <c r="C13" s="16">
        <v>108538.29172499999</v>
      </c>
      <c r="F13" t="s">
        <v>22</v>
      </c>
      <c r="G13" s="16">
        <v>1095216.6869250005</v>
      </c>
      <c r="J13" t="s">
        <v>27</v>
      </c>
      <c r="K13" s="16">
        <v>663561.7111999999</v>
      </c>
    </row>
    <row r="14" spans="1:11" x14ac:dyDescent="0.3">
      <c r="B14" t="s">
        <v>2957</v>
      </c>
      <c r="C14" s="16">
        <v>126092.107925</v>
      </c>
      <c r="F14" t="s">
        <v>24</v>
      </c>
      <c r="G14" s="16">
        <v>632393.82787500008</v>
      </c>
      <c r="J14" t="s">
        <v>18</v>
      </c>
      <c r="K14" s="16">
        <v>736279.12730000017</v>
      </c>
    </row>
    <row r="15" spans="1:11" x14ac:dyDescent="0.3">
      <c r="B15" t="s">
        <v>2958</v>
      </c>
      <c r="C15" s="16">
        <v>131292.93309999999</v>
      </c>
      <c r="F15" t="s">
        <v>26</v>
      </c>
      <c r="G15" s="16">
        <v>2344739.5683250027</v>
      </c>
      <c r="J15" t="s">
        <v>19</v>
      </c>
      <c r="K15" s="16">
        <v>743525.3874249995</v>
      </c>
    </row>
    <row r="16" spans="1:11" x14ac:dyDescent="0.3">
      <c r="B16" t="s">
        <v>2959</v>
      </c>
      <c r="C16" s="16">
        <v>149487.15747499999</v>
      </c>
      <c r="F16" t="s">
        <v>14</v>
      </c>
      <c r="G16" s="16">
        <v>4072350.0831250031</v>
      </c>
      <c r="J16" t="s">
        <v>14</v>
      </c>
      <c r="K16" s="16">
        <v>4072350.0831250004</v>
      </c>
    </row>
    <row r="17" spans="1:7" x14ac:dyDescent="0.3">
      <c r="B17" t="s">
        <v>2960</v>
      </c>
      <c r="C17" s="16">
        <v>141740.304175</v>
      </c>
    </row>
    <row r="18" spans="1:7" x14ac:dyDescent="0.3">
      <c r="B18" t="s">
        <v>2961</v>
      </c>
      <c r="C18" s="16">
        <v>72787.612174999987</v>
      </c>
    </row>
    <row r="19" spans="1:7" x14ac:dyDescent="0.3">
      <c r="B19" t="s">
        <v>2962</v>
      </c>
      <c r="C19" s="16">
        <v>134433.09484999996</v>
      </c>
    </row>
    <row r="20" spans="1:7" x14ac:dyDescent="0.3">
      <c r="B20" t="s">
        <v>2963</v>
      </c>
      <c r="C20" s="16">
        <v>111205.07777500003</v>
      </c>
      <c r="F20" s="9" t="s">
        <v>28</v>
      </c>
      <c r="G20" t="s">
        <v>5</v>
      </c>
    </row>
    <row r="21" spans="1:7" x14ac:dyDescent="0.3">
      <c r="A21" t="s">
        <v>2951</v>
      </c>
      <c r="C21" s="16">
        <v>1580293.4435749999</v>
      </c>
      <c r="F21" t="s">
        <v>33</v>
      </c>
      <c r="G21" s="16">
        <v>74306.793150000012</v>
      </c>
    </row>
    <row r="22" spans="1:7" x14ac:dyDescent="0.3">
      <c r="A22" t="s">
        <v>2949</v>
      </c>
      <c r="B22" t="s">
        <v>2952</v>
      </c>
      <c r="C22" s="16">
        <v>161397.94932500002</v>
      </c>
      <c r="F22" t="s">
        <v>29</v>
      </c>
      <c r="G22" s="16">
        <v>87964.502799999987</v>
      </c>
    </row>
    <row r="23" spans="1:7" x14ac:dyDescent="0.3">
      <c r="B23" t="s">
        <v>2953</v>
      </c>
      <c r="C23" s="16">
        <v>126356.25892499997</v>
      </c>
      <c r="F23" t="s">
        <v>30</v>
      </c>
      <c r="G23" s="16">
        <v>88243.920275000026</v>
      </c>
    </row>
    <row r="24" spans="1:7" x14ac:dyDescent="0.3">
      <c r="B24" t="s">
        <v>2954</v>
      </c>
      <c r="C24" s="16">
        <v>131192.79657499999</v>
      </c>
      <c r="F24" t="s">
        <v>35</v>
      </c>
      <c r="G24" s="16">
        <v>96417.502875000078</v>
      </c>
    </row>
    <row r="25" spans="1:7" x14ac:dyDescent="0.3">
      <c r="B25" t="s">
        <v>2955</v>
      </c>
      <c r="C25" s="16">
        <v>153705.859425</v>
      </c>
      <c r="F25" t="s">
        <v>32</v>
      </c>
      <c r="G25" s="16">
        <v>98011.143625000026</v>
      </c>
    </row>
    <row r="26" spans="1:7" x14ac:dyDescent="0.3">
      <c r="B26" t="s">
        <v>2956</v>
      </c>
      <c r="C26" s="16">
        <v>123703.1088</v>
      </c>
      <c r="F26" t="s">
        <v>31</v>
      </c>
      <c r="G26" s="16">
        <v>99487.012025000018</v>
      </c>
    </row>
    <row r="27" spans="1:7" x14ac:dyDescent="0.3">
      <c r="B27" t="s">
        <v>2957</v>
      </c>
      <c r="C27" s="16">
        <v>150316.26015000002</v>
      </c>
      <c r="F27" t="s">
        <v>34</v>
      </c>
      <c r="G27" s="16">
        <v>111111.98212500004</v>
      </c>
    </row>
    <row r="28" spans="1:7" x14ac:dyDescent="0.3">
      <c r="B28" t="s">
        <v>2958</v>
      </c>
      <c r="C28" s="16">
        <v>129300.51087500004</v>
      </c>
      <c r="F28" t="s">
        <v>14</v>
      </c>
      <c r="G28" s="16">
        <v>655542.85687500017</v>
      </c>
    </row>
    <row r="29" spans="1:7" x14ac:dyDescent="0.3">
      <c r="B29" t="s">
        <v>2959</v>
      </c>
      <c r="C29" s="16">
        <v>120083.84050000001</v>
      </c>
    </row>
    <row r="30" spans="1:7" x14ac:dyDescent="0.3">
      <c r="B30" t="s">
        <v>2960</v>
      </c>
      <c r="C30" s="16">
        <v>121676.03392499997</v>
      </c>
    </row>
    <row r="31" spans="1:7" x14ac:dyDescent="0.3">
      <c r="B31" t="s">
        <v>2961</v>
      </c>
      <c r="C31" s="16">
        <v>165124.525375</v>
      </c>
    </row>
    <row r="32" spans="1:7" x14ac:dyDescent="0.3">
      <c r="B32" t="s">
        <v>2962</v>
      </c>
      <c r="C32" s="16">
        <v>130480.49039999998</v>
      </c>
    </row>
    <row r="33" spans="1:3" x14ac:dyDescent="0.3">
      <c r="B33" t="s">
        <v>2963</v>
      </c>
      <c r="C33" s="16">
        <v>134562.40502500001</v>
      </c>
    </row>
    <row r="34" spans="1:3" x14ac:dyDescent="0.3">
      <c r="A34" t="s">
        <v>2966</v>
      </c>
      <c r="C34" s="16">
        <v>1647900.0392999998</v>
      </c>
    </row>
    <row r="35" spans="1:3" x14ac:dyDescent="0.3">
      <c r="A35" t="s">
        <v>2950</v>
      </c>
      <c r="B35" t="s">
        <v>2952</v>
      </c>
      <c r="C35" s="16">
        <v>161275.03110000002</v>
      </c>
    </row>
    <row r="36" spans="1:3" x14ac:dyDescent="0.3">
      <c r="B36" t="s">
        <v>2953</v>
      </c>
      <c r="C36" s="16">
        <v>125728.23625000002</v>
      </c>
    </row>
    <row r="37" spans="1:3" x14ac:dyDescent="0.3">
      <c r="B37" t="s">
        <v>2954</v>
      </c>
      <c r="C37" s="16">
        <v>170017.68324999994</v>
      </c>
    </row>
    <row r="38" spans="1:3" x14ac:dyDescent="0.3">
      <c r="B38" t="s">
        <v>2955</v>
      </c>
      <c r="C38" s="16">
        <v>120345.07712499997</v>
      </c>
    </row>
    <row r="39" spans="1:3" x14ac:dyDescent="0.3">
      <c r="B39" t="s">
        <v>2956</v>
      </c>
      <c r="C39" s="16">
        <v>139774.58215</v>
      </c>
    </row>
    <row r="40" spans="1:3" x14ac:dyDescent="0.3">
      <c r="B40" t="s">
        <v>2957</v>
      </c>
      <c r="C40" s="16">
        <v>127015.99037499998</v>
      </c>
    </row>
    <row r="41" spans="1:3" x14ac:dyDescent="0.3">
      <c r="A41" t="s">
        <v>2967</v>
      </c>
      <c r="C41" s="16">
        <v>844156.6002499999</v>
      </c>
    </row>
    <row r="42" spans="1:3" x14ac:dyDescent="0.3">
      <c r="A42" s="3" t="s">
        <v>14</v>
      </c>
      <c r="B42" s="3"/>
      <c r="C42" s="16">
        <v>4072350.0831250008</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Raw data</vt:lpstr>
      <vt:lpstr>Pivot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anjali Bhosale</cp:lastModifiedBy>
  <cp:revision/>
  <dcterms:created xsi:type="dcterms:W3CDTF">2025-06-21T13:19:11Z</dcterms:created>
  <dcterms:modified xsi:type="dcterms:W3CDTF">2026-05-11T09:46:47Z</dcterms:modified>
  <cp:category/>
  <cp:contentStatus/>
</cp:coreProperties>
</file>